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u\Desktop\AI Hiring Fairness &amp; Decision Analysis\Excel\"/>
    </mc:Choice>
  </mc:AlternateContent>
  <xr:revisionPtr revIDLastSave="0" documentId="13_ncr:1_{6FF1ADA3-14D1-478F-B88E-CE5146E0D13F}" xr6:coauthVersionLast="47" xr6:coauthVersionMax="47" xr10:uidLastSave="{00000000-0000-0000-0000-000000000000}"/>
  <bookViews>
    <workbookView xWindow="-120" yWindow="-120" windowWidth="20730" windowHeight="11040" activeTab="3" xr2:uid="{3D2BDFEF-E8A3-4540-BE47-F52EBF4A5ED1}"/>
  </bookViews>
  <sheets>
    <sheet name="Raw_Data" sheetId="1" r:id="rId1"/>
    <sheet name="Cleaned_Data" sheetId="3" r:id="rId2"/>
    <sheet name="Summary_Statistics" sheetId="4" r:id="rId3"/>
    <sheet name="Pivot_Table " sheetId="5" r:id="rId4"/>
    <sheet name="Fairness_Summary " sheetId="7" r:id="rId5"/>
  </sheets>
  <definedNames>
    <definedName name="_xlnm._FilterDatabase" localSheetId="1" hidden="1">Cleaned_Data!$A$1:$K$1501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G176" i="5" l="1"/>
  <c r="G175" i="5"/>
  <c r="G164" i="5"/>
  <c r="G163" i="5"/>
  <c r="G154" i="5"/>
  <c r="G153" i="5"/>
  <c r="G142" i="5"/>
  <c r="G141" i="5"/>
  <c r="G132" i="5"/>
  <c r="G131" i="5"/>
  <c r="E5" i="7"/>
  <c r="E6" i="7"/>
  <c r="E7" i="7"/>
  <c r="E8" i="7"/>
  <c r="E4" i="7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O187" i="3"/>
  <c r="O818" i="3"/>
  <c r="O859" i="3"/>
  <c r="O957" i="3"/>
  <c r="N10" i="3"/>
  <c r="O10" i="3" s="1"/>
  <c r="N2" i="3"/>
  <c r="O2" i="3" s="1"/>
  <c r="N3" i="3"/>
  <c r="O3" i="3" s="1"/>
  <c r="N4" i="3"/>
  <c r="O4" i="3" s="1"/>
  <c r="N5" i="3"/>
  <c r="O5" i="3" s="1"/>
  <c r="N6" i="3"/>
  <c r="O6" i="3" s="1"/>
  <c r="N7" i="3"/>
  <c r="O7" i="3" s="1"/>
  <c r="N8" i="3"/>
  <c r="O8" i="3" s="1"/>
  <c r="N9" i="3"/>
  <c r="O9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3" i="3"/>
  <c r="O213" i="3" s="1"/>
  <c r="N214" i="3"/>
  <c r="O214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O220" i="3" s="1"/>
  <c r="N221" i="3"/>
  <c r="O221" i="3" s="1"/>
  <c r="N222" i="3"/>
  <c r="O222" i="3" s="1"/>
  <c r="N223" i="3"/>
  <c r="O223" i="3" s="1"/>
  <c r="N224" i="3"/>
  <c r="O224" i="3" s="1"/>
  <c r="N225" i="3"/>
  <c r="O225" i="3" s="1"/>
  <c r="N226" i="3"/>
  <c r="O226" i="3" s="1"/>
  <c r="N227" i="3"/>
  <c r="O227" i="3" s="1"/>
  <c r="N228" i="3"/>
  <c r="O228" i="3" s="1"/>
  <c r="N229" i="3"/>
  <c r="O229" i="3" s="1"/>
  <c r="N230" i="3"/>
  <c r="O230" i="3" s="1"/>
  <c r="N231" i="3"/>
  <c r="O231" i="3" s="1"/>
  <c r="N232" i="3"/>
  <c r="O232" i="3" s="1"/>
  <c r="N233" i="3"/>
  <c r="O233" i="3" s="1"/>
  <c r="N234" i="3"/>
  <c r="O234" i="3" s="1"/>
  <c r="N235" i="3"/>
  <c r="O235" i="3" s="1"/>
  <c r="N236" i="3"/>
  <c r="O236" i="3" s="1"/>
  <c r="N237" i="3"/>
  <c r="O237" i="3" s="1"/>
  <c r="N238" i="3"/>
  <c r="O238" i="3" s="1"/>
  <c r="N239" i="3"/>
  <c r="O239" i="3" s="1"/>
  <c r="N240" i="3"/>
  <c r="O240" i="3" s="1"/>
  <c r="N241" i="3"/>
  <c r="O241" i="3" s="1"/>
  <c r="N242" i="3"/>
  <c r="O242" i="3" s="1"/>
  <c r="N243" i="3"/>
  <c r="O243" i="3" s="1"/>
  <c r="N244" i="3"/>
  <c r="O244" i="3" s="1"/>
  <c r="N245" i="3"/>
  <c r="O245" i="3" s="1"/>
  <c r="N246" i="3"/>
  <c r="O246" i="3" s="1"/>
  <c r="N247" i="3"/>
  <c r="O247" i="3" s="1"/>
  <c r="N248" i="3"/>
  <c r="O248" i="3" s="1"/>
  <c r="N249" i="3"/>
  <c r="O249" i="3" s="1"/>
  <c r="N250" i="3"/>
  <c r="O250" i="3" s="1"/>
  <c r="N251" i="3"/>
  <c r="O251" i="3" s="1"/>
  <c r="N252" i="3"/>
  <c r="O252" i="3" s="1"/>
  <c r="N253" i="3"/>
  <c r="O253" i="3" s="1"/>
  <c r="N254" i="3"/>
  <c r="O254" i="3" s="1"/>
  <c r="N255" i="3"/>
  <c r="O255" i="3" s="1"/>
  <c r="N256" i="3"/>
  <c r="O256" i="3" s="1"/>
  <c r="N257" i="3"/>
  <c r="O257" i="3" s="1"/>
  <c r="N258" i="3"/>
  <c r="O258" i="3" s="1"/>
  <c r="N259" i="3"/>
  <c r="O259" i="3" s="1"/>
  <c r="N260" i="3"/>
  <c r="O260" i="3" s="1"/>
  <c r="N261" i="3"/>
  <c r="O261" i="3" s="1"/>
  <c r="N262" i="3"/>
  <c r="O262" i="3" s="1"/>
  <c r="N263" i="3"/>
  <c r="O263" i="3" s="1"/>
  <c r="N264" i="3"/>
  <c r="O264" i="3" s="1"/>
  <c r="N265" i="3"/>
  <c r="O265" i="3" s="1"/>
  <c r="N266" i="3"/>
  <c r="O266" i="3" s="1"/>
  <c r="N267" i="3"/>
  <c r="O267" i="3" s="1"/>
  <c r="N268" i="3"/>
  <c r="O268" i="3" s="1"/>
  <c r="N269" i="3"/>
  <c r="O269" i="3" s="1"/>
  <c r="N270" i="3"/>
  <c r="O270" i="3" s="1"/>
  <c r="N271" i="3"/>
  <c r="O271" i="3" s="1"/>
  <c r="N272" i="3"/>
  <c r="O272" i="3" s="1"/>
  <c r="N273" i="3"/>
  <c r="O273" i="3" s="1"/>
  <c r="N274" i="3"/>
  <c r="O274" i="3" s="1"/>
  <c r="N275" i="3"/>
  <c r="O275" i="3" s="1"/>
  <c r="N276" i="3"/>
  <c r="O276" i="3" s="1"/>
  <c r="N277" i="3"/>
  <c r="O277" i="3" s="1"/>
  <c r="N278" i="3"/>
  <c r="O278" i="3" s="1"/>
  <c r="N279" i="3"/>
  <c r="O279" i="3" s="1"/>
  <c r="N280" i="3"/>
  <c r="O280" i="3" s="1"/>
  <c r="N281" i="3"/>
  <c r="O281" i="3" s="1"/>
  <c r="N282" i="3"/>
  <c r="O282" i="3" s="1"/>
  <c r="N283" i="3"/>
  <c r="O283" i="3" s="1"/>
  <c r="N284" i="3"/>
  <c r="O284" i="3" s="1"/>
  <c r="N285" i="3"/>
  <c r="O285" i="3" s="1"/>
  <c r="N286" i="3"/>
  <c r="O286" i="3" s="1"/>
  <c r="N287" i="3"/>
  <c r="O287" i="3" s="1"/>
  <c r="N288" i="3"/>
  <c r="O288" i="3" s="1"/>
  <c r="N289" i="3"/>
  <c r="O289" i="3" s="1"/>
  <c r="N290" i="3"/>
  <c r="O290" i="3" s="1"/>
  <c r="N291" i="3"/>
  <c r="O291" i="3" s="1"/>
  <c r="N292" i="3"/>
  <c r="O292" i="3" s="1"/>
  <c r="N293" i="3"/>
  <c r="O293" i="3" s="1"/>
  <c r="N294" i="3"/>
  <c r="O294" i="3" s="1"/>
  <c r="N295" i="3"/>
  <c r="O295" i="3" s="1"/>
  <c r="N296" i="3"/>
  <c r="O296" i="3" s="1"/>
  <c r="N297" i="3"/>
  <c r="O297" i="3" s="1"/>
  <c r="N298" i="3"/>
  <c r="O298" i="3" s="1"/>
  <c r="N299" i="3"/>
  <c r="O299" i="3" s="1"/>
  <c r="N300" i="3"/>
  <c r="O300" i="3" s="1"/>
  <c r="N301" i="3"/>
  <c r="O301" i="3" s="1"/>
  <c r="N302" i="3"/>
  <c r="O302" i="3" s="1"/>
  <c r="N303" i="3"/>
  <c r="O303" i="3" s="1"/>
  <c r="N304" i="3"/>
  <c r="O304" i="3" s="1"/>
  <c r="N305" i="3"/>
  <c r="O305" i="3" s="1"/>
  <c r="N306" i="3"/>
  <c r="O306" i="3" s="1"/>
  <c r="N307" i="3"/>
  <c r="O307" i="3" s="1"/>
  <c r="N308" i="3"/>
  <c r="O308" i="3" s="1"/>
  <c r="N309" i="3"/>
  <c r="O309" i="3" s="1"/>
  <c r="N310" i="3"/>
  <c r="O310" i="3" s="1"/>
  <c r="N311" i="3"/>
  <c r="O311" i="3" s="1"/>
  <c r="N312" i="3"/>
  <c r="O312" i="3" s="1"/>
  <c r="N313" i="3"/>
  <c r="O313" i="3" s="1"/>
  <c r="N314" i="3"/>
  <c r="O314" i="3" s="1"/>
  <c r="N315" i="3"/>
  <c r="O315" i="3" s="1"/>
  <c r="N316" i="3"/>
  <c r="O316" i="3" s="1"/>
  <c r="N317" i="3"/>
  <c r="O317" i="3" s="1"/>
  <c r="N318" i="3"/>
  <c r="O318" i="3" s="1"/>
  <c r="N319" i="3"/>
  <c r="O319" i="3" s="1"/>
  <c r="N320" i="3"/>
  <c r="O320" i="3" s="1"/>
  <c r="N321" i="3"/>
  <c r="O321" i="3" s="1"/>
  <c r="N322" i="3"/>
  <c r="O322" i="3" s="1"/>
  <c r="N323" i="3"/>
  <c r="O323" i="3" s="1"/>
  <c r="N324" i="3"/>
  <c r="O324" i="3" s="1"/>
  <c r="N325" i="3"/>
  <c r="O325" i="3" s="1"/>
  <c r="N326" i="3"/>
  <c r="O326" i="3" s="1"/>
  <c r="N327" i="3"/>
  <c r="O327" i="3" s="1"/>
  <c r="N328" i="3"/>
  <c r="O328" i="3" s="1"/>
  <c r="N329" i="3"/>
  <c r="O329" i="3" s="1"/>
  <c r="N330" i="3"/>
  <c r="O330" i="3" s="1"/>
  <c r="N331" i="3"/>
  <c r="O331" i="3" s="1"/>
  <c r="N332" i="3"/>
  <c r="O332" i="3" s="1"/>
  <c r="N333" i="3"/>
  <c r="O333" i="3" s="1"/>
  <c r="N334" i="3"/>
  <c r="O334" i="3" s="1"/>
  <c r="N335" i="3"/>
  <c r="O335" i="3" s="1"/>
  <c r="N336" i="3"/>
  <c r="O336" i="3" s="1"/>
  <c r="N337" i="3"/>
  <c r="O337" i="3" s="1"/>
  <c r="N338" i="3"/>
  <c r="O338" i="3" s="1"/>
  <c r="N339" i="3"/>
  <c r="O339" i="3" s="1"/>
  <c r="N340" i="3"/>
  <c r="O340" i="3" s="1"/>
  <c r="N341" i="3"/>
  <c r="O341" i="3" s="1"/>
  <c r="N342" i="3"/>
  <c r="O342" i="3" s="1"/>
  <c r="N343" i="3"/>
  <c r="O343" i="3" s="1"/>
  <c r="N344" i="3"/>
  <c r="O344" i="3" s="1"/>
  <c r="N345" i="3"/>
  <c r="O345" i="3" s="1"/>
  <c r="N346" i="3"/>
  <c r="O346" i="3" s="1"/>
  <c r="N347" i="3"/>
  <c r="O347" i="3" s="1"/>
  <c r="N348" i="3"/>
  <c r="O348" i="3" s="1"/>
  <c r="N349" i="3"/>
  <c r="O349" i="3" s="1"/>
  <c r="N350" i="3"/>
  <c r="O350" i="3" s="1"/>
  <c r="N351" i="3"/>
  <c r="O351" i="3" s="1"/>
  <c r="N352" i="3"/>
  <c r="O352" i="3" s="1"/>
  <c r="N353" i="3"/>
  <c r="O353" i="3" s="1"/>
  <c r="N354" i="3"/>
  <c r="O354" i="3" s="1"/>
  <c r="N355" i="3"/>
  <c r="O355" i="3" s="1"/>
  <c r="N356" i="3"/>
  <c r="O356" i="3" s="1"/>
  <c r="N357" i="3"/>
  <c r="O357" i="3" s="1"/>
  <c r="N358" i="3"/>
  <c r="O358" i="3" s="1"/>
  <c r="N359" i="3"/>
  <c r="O359" i="3" s="1"/>
  <c r="N360" i="3"/>
  <c r="O360" i="3" s="1"/>
  <c r="N361" i="3"/>
  <c r="O361" i="3" s="1"/>
  <c r="N362" i="3"/>
  <c r="O362" i="3" s="1"/>
  <c r="N363" i="3"/>
  <c r="O363" i="3" s="1"/>
  <c r="N364" i="3"/>
  <c r="O364" i="3" s="1"/>
  <c r="N365" i="3"/>
  <c r="O365" i="3" s="1"/>
  <c r="N366" i="3"/>
  <c r="O366" i="3" s="1"/>
  <c r="N367" i="3"/>
  <c r="O367" i="3" s="1"/>
  <c r="N368" i="3"/>
  <c r="O368" i="3" s="1"/>
  <c r="N369" i="3"/>
  <c r="O369" i="3" s="1"/>
  <c r="N370" i="3"/>
  <c r="O370" i="3" s="1"/>
  <c r="N371" i="3"/>
  <c r="O371" i="3" s="1"/>
  <c r="N372" i="3"/>
  <c r="O372" i="3" s="1"/>
  <c r="N373" i="3"/>
  <c r="O373" i="3" s="1"/>
  <c r="N374" i="3"/>
  <c r="O374" i="3" s="1"/>
  <c r="N375" i="3"/>
  <c r="O375" i="3" s="1"/>
  <c r="N376" i="3"/>
  <c r="O376" i="3" s="1"/>
  <c r="N377" i="3"/>
  <c r="O377" i="3" s="1"/>
  <c r="N378" i="3"/>
  <c r="O378" i="3" s="1"/>
  <c r="N379" i="3"/>
  <c r="O379" i="3" s="1"/>
  <c r="N380" i="3"/>
  <c r="O380" i="3" s="1"/>
  <c r="N381" i="3"/>
  <c r="O381" i="3" s="1"/>
  <c r="N382" i="3"/>
  <c r="O382" i="3" s="1"/>
  <c r="N383" i="3"/>
  <c r="O383" i="3" s="1"/>
  <c r="N384" i="3"/>
  <c r="O384" i="3" s="1"/>
  <c r="N385" i="3"/>
  <c r="O385" i="3" s="1"/>
  <c r="N386" i="3"/>
  <c r="O386" i="3" s="1"/>
  <c r="N387" i="3"/>
  <c r="O387" i="3" s="1"/>
  <c r="N388" i="3"/>
  <c r="O388" i="3" s="1"/>
  <c r="N389" i="3"/>
  <c r="O389" i="3" s="1"/>
  <c r="N390" i="3"/>
  <c r="O390" i="3" s="1"/>
  <c r="N391" i="3"/>
  <c r="O391" i="3" s="1"/>
  <c r="N392" i="3"/>
  <c r="O392" i="3" s="1"/>
  <c r="N393" i="3"/>
  <c r="O393" i="3" s="1"/>
  <c r="N394" i="3"/>
  <c r="O394" i="3" s="1"/>
  <c r="N395" i="3"/>
  <c r="O395" i="3" s="1"/>
  <c r="N396" i="3"/>
  <c r="O396" i="3" s="1"/>
  <c r="N397" i="3"/>
  <c r="O397" i="3" s="1"/>
  <c r="N398" i="3"/>
  <c r="O398" i="3" s="1"/>
  <c r="N399" i="3"/>
  <c r="O399" i="3" s="1"/>
  <c r="N400" i="3"/>
  <c r="O400" i="3" s="1"/>
  <c r="N401" i="3"/>
  <c r="O401" i="3" s="1"/>
  <c r="N402" i="3"/>
  <c r="O402" i="3" s="1"/>
  <c r="N403" i="3"/>
  <c r="O403" i="3" s="1"/>
  <c r="N404" i="3"/>
  <c r="O404" i="3" s="1"/>
  <c r="N405" i="3"/>
  <c r="O405" i="3" s="1"/>
  <c r="N406" i="3"/>
  <c r="O406" i="3" s="1"/>
  <c r="N407" i="3"/>
  <c r="O407" i="3" s="1"/>
  <c r="N408" i="3"/>
  <c r="O408" i="3" s="1"/>
  <c r="N409" i="3"/>
  <c r="O409" i="3" s="1"/>
  <c r="N410" i="3"/>
  <c r="O410" i="3" s="1"/>
  <c r="N411" i="3"/>
  <c r="O411" i="3" s="1"/>
  <c r="N412" i="3"/>
  <c r="O412" i="3" s="1"/>
  <c r="N413" i="3"/>
  <c r="O413" i="3" s="1"/>
  <c r="N414" i="3"/>
  <c r="O414" i="3" s="1"/>
  <c r="N415" i="3"/>
  <c r="O415" i="3" s="1"/>
  <c r="N416" i="3"/>
  <c r="O416" i="3" s="1"/>
  <c r="N417" i="3"/>
  <c r="O417" i="3" s="1"/>
  <c r="N418" i="3"/>
  <c r="O418" i="3" s="1"/>
  <c r="N419" i="3"/>
  <c r="O419" i="3" s="1"/>
  <c r="N420" i="3"/>
  <c r="O420" i="3" s="1"/>
  <c r="N421" i="3"/>
  <c r="O421" i="3" s="1"/>
  <c r="N422" i="3"/>
  <c r="O422" i="3" s="1"/>
  <c r="N423" i="3"/>
  <c r="O423" i="3" s="1"/>
  <c r="N424" i="3"/>
  <c r="O424" i="3" s="1"/>
  <c r="N425" i="3"/>
  <c r="O425" i="3" s="1"/>
  <c r="N426" i="3"/>
  <c r="O426" i="3" s="1"/>
  <c r="N427" i="3"/>
  <c r="O427" i="3" s="1"/>
  <c r="N428" i="3"/>
  <c r="O428" i="3" s="1"/>
  <c r="N429" i="3"/>
  <c r="O429" i="3" s="1"/>
  <c r="N430" i="3"/>
  <c r="O430" i="3" s="1"/>
  <c r="N431" i="3"/>
  <c r="O431" i="3" s="1"/>
  <c r="N432" i="3"/>
  <c r="O432" i="3" s="1"/>
  <c r="N433" i="3"/>
  <c r="O433" i="3" s="1"/>
  <c r="N434" i="3"/>
  <c r="O434" i="3" s="1"/>
  <c r="N435" i="3"/>
  <c r="O435" i="3" s="1"/>
  <c r="N436" i="3"/>
  <c r="O436" i="3" s="1"/>
  <c r="N437" i="3"/>
  <c r="O437" i="3" s="1"/>
  <c r="N438" i="3"/>
  <c r="O438" i="3" s="1"/>
  <c r="N439" i="3"/>
  <c r="O439" i="3" s="1"/>
  <c r="N440" i="3"/>
  <c r="O440" i="3" s="1"/>
  <c r="N441" i="3"/>
  <c r="O441" i="3" s="1"/>
  <c r="N442" i="3"/>
  <c r="O442" i="3" s="1"/>
  <c r="N443" i="3"/>
  <c r="O443" i="3" s="1"/>
  <c r="N444" i="3"/>
  <c r="O444" i="3" s="1"/>
  <c r="N445" i="3"/>
  <c r="O445" i="3" s="1"/>
  <c r="N446" i="3"/>
  <c r="O446" i="3" s="1"/>
  <c r="N447" i="3"/>
  <c r="O447" i="3" s="1"/>
  <c r="N448" i="3"/>
  <c r="O448" i="3" s="1"/>
  <c r="N449" i="3"/>
  <c r="O449" i="3" s="1"/>
  <c r="N450" i="3"/>
  <c r="O450" i="3" s="1"/>
  <c r="N451" i="3"/>
  <c r="O451" i="3" s="1"/>
  <c r="N452" i="3"/>
  <c r="O452" i="3" s="1"/>
  <c r="N453" i="3"/>
  <c r="O453" i="3" s="1"/>
  <c r="N454" i="3"/>
  <c r="O454" i="3" s="1"/>
  <c r="N455" i="3"/>
  <c r="O455" i="3" s="1"/>
  <c r="N456" i="3"/>
  <c r="O456" i="3" s="1"/>
  <c r="N457" i="3"/>
  <c r="O457" i="3" s="1"/>
  <c r="N458" i="3"/>
  <c r="O458" i="3" s="1"/>
  <c r="N459" i="3"/>
  <c r="O459" i="3" s="1"/>
  <c r="N460" i="3"/>
  <c r="O460" i="3" s="1"/>
  <c r="N461" i="3"/>
  <c r="O461" i="3" s="1"/>
  <c r="N462" i="3"/>
  <c r="O462" i="3" s="1"/>
  <c r="N463" i="3"/>
  <c r="O463" i="3" s="1"/>
  <c r="N464" i="3"/>
  <c r="O464" i="3" s="1"/>
  <c r="N465" i="3"/>
  <c r="O465" i="3" s="1"/>
  <c r="N466" i="3"/>
  <c r="O466" i="3" s="1"/>
  <c r="N467" i="3"/>
  <c r="O467" i="3" s="1"/>
  <c r="N468" i="3"/>
  <c r="O468" i="3" s="1"/>
  <c r="N469" i="3"/>
  <c r="O469" i="3" s="1"/>
  <c r="N470" i="3"/>
  <c r="O470" i="3" s="1"/>
  <c r="N471" i="3"/>
  <c r="O471" i="3" s="1"/>
  <c r="N472" i="3"/>
  <c r="O472" i="3" s="1"/>
  <c r="N473" i="3"/>
  <c r="O473" i="3" s="1"/>
  <c r="N474" i="3"/>
  <c r="O474" i="3" s="1"/>
  <c r="N475" i="3"/>
  <c r="O475" i="3" s="1"/>
  <c r="N476" i="3"/>
  <c r="O476" i="3" s="1"/>
  <c r="N477" i="3"/>
  <c r="O477" i="3" s="1"/>
  <c r="N478" i="3"/>
  <c r="O478" i="3" s="1"/>
  <c r="N479" i="3"/>
  <c r="O479" i="3" s="1"/>
  <c r="N480" i="3"/>
  <c r="O480" i="3" s="1"/>
  <c r="N481" i="3"/>
  <c r="O481" i="3" s="1"/>
  <c r="N482" i="3"/>
  <c r="O482" i="3" s="1"/>
  <c r="N483" i="3"/>
  <c r="O483" i="3" s="1"/>
  <c r="N484" i="3"/>
  <c r="O484" i="3" s="1"/>
  <c r="N485" i="3"/>
  <c r="O485" i="3" s="1"/>
  <c r="N486" i="3"/>
  <c r="O486" i="3" s="1"/>
  <c r="N487" i="3"/>
  <c r="O487" i="3" s="1"/>
  <c r="N488" i="3"/>
  <c r="O488" i="3" s="1"/>
  <c r="N489" i="3"/>
  <c r="O489" i="3" s="1"/>
  <c r="N490" i="3"/>
  <c r="O490" i="3" s="1"/>
  <c r="N491" i="3"/>
  <c r="O491" i="3" s="1"/>
  <c r="N492" i="3"/>
  <c r="O492" i="3" s="1"/>
  <c r="N493" i="3"/>
  <c r="O493" i="3" s="1"/>
  <c r="N494" i="3"/>
  <c r="O494" i="3" s="1"/>
  <c r="N495" i="3"/>
  <c r="O495" i="3" s="1"/>
  <c r="N496" i="3"/>
  <c r="O496" i="3" s="1"/>
  <c r="N497" i="3"/>
  <c r="O497" i="3" s="1"/>
  <c r="N498" i="3"/>
  <c r="O498" i="3" s="1"/>
  <c r="N499" i="3"/>
  <c r="O499" i="3" s="1"/>
  <c r="N500" i="3"/>
  <c r="O500" i="3" s="1"/>
  <c r="N501" i="3"/>
  <c r="O501" i="3" s="1"/>
  <c r="N502" i="3"/>
  <c r="O502" i="3" s="1"/>
  <c r="N503" i="3"/>
  <c r="O503" i="3" s="1"/>
  <c r="N504" i="3"/>
  <c r="O504" i="3" s="1"/>
  <c r="N505" i="3"/>
  <c r="O505" i="3" s="1"/>
  <c r="N506" i="3"/>
  <c r="O506" i="3" s="1"/>
  <c r="N507" i="3"/>
  <c r="O507" i="3" s="1"/>
  <c r="N508" i="3"/>
  <c r="O508" i="3" s="1"/>
  <c r="N509" i="3"/>
  <c r="O509" i="3" s="1"/>
  <c r="N510" i="3"/>
  <c r="O510" i="3" s="1"/>
  <c r="N511" i="3"/>
  <c r="O511" i="3" s="1"/>
  <c r="N512" i="3"/>
  <c r="O512" i="3" s="1"/>
  <c r="N513" i="3"/>
  <c r="O513" i="3" s="1"/>
  <c r="N514" i="3"/>
  <c r="O514" i="3" s="1"/>
  <c r="N515" i="3"/>
  <c r="O515" i="3" s="1"/>
  <c r="N516" i="3"/>
  <c r="O516" i="3" s="1"/>
  <c r="N517" i="3"/>
  <c r="O517" i="3" s="1"/>
  <c r="N518" i="3"/>
  <c r="O518" i="3" s="1"/>
  <c r="N519" i="3"/>
  <c r="O519" i="3" s="1"/>
  <c r="N520" i="3"/>
  <c r="O520" i="3" s="1"/>
  <c r="N521" i="3"/>
  <c r="O521" i="3" s="1"/>
  <c r="N522" i="3"/>
  <c r="O522" i="3" s="1"/>
  <c r="N523" i="3"/>
  <c r="O523" i="3" s="1"/>
  <c r="N524" i="3"/>
  <c r="O524" i="3" s="1"/>
  <c r="N525" i="3"/>
  <c r="O525" i="3" s="1"/>
  <c r="N526" i="3"/>
  <c r="O526" i="3" s="1"/>
  <c r="N527" i="3"/>
  <c r="O527" i="3" s="1"/>
  <c r="N528" i="3"/>
  <c r="O528" i="3" s="1"/>
  <c r="N529" i="3"/>
  <c r="O529" i="3" s="1"/>
  <c r="N530" i="3"/>
  <c r="O530" i="3" s="1"/>
  <c r="N531" i="3"/>
  <c r="O531" i="3" s="1"/>
  <c r="N532" i="3"/>
  <c r="O532" i="3" s="1"/>
  <c r="N533" i="3"/>
  <c r="O533" i="3" s="1"/>
  <c r="N534" i="3"/>
  <c r="O534" i="3" s="1"/>
  <c r="N535" i="3"/>
  <c r="O535" i="3" s="1"/>
  <c r="N536" i="3"/>
  <c r="O536" i="3" s="1"/>
  <c r="N537" i="3"/>
  <c r="O537" i="3" s="1"/>
  <c r="N538" i="3"/>
  <c r="O538" i="3" s="1"/>
  <c r="N539" i="3"/>
  <c r="O539" i="3" s="1"/>
  <c r="N540" i="3"/>
  <c r="O540" i="3" s="1"/>
  <c r="N541" i="3"/>
  <c r="O541" i="3" s="1"/>
  <c r="N542" i="3"/>
  <c r="O542" i="3" s="1"/>
  <c r="N543" i="3"/>
  <c r="O543" i="3" s="1"/>
  <c r="N544" i="3"/>
  <c r="O544" i="3" s="1"/>
  <c r="N545" i="3"/>
  <c r="O545" i="3" s="1"/>
  <c r="N546" i="3"/>
  <c r="O546" i="3" s="1"/>
  <c r="N547" i="3"/>
  <c r="O547" i="3" s="1"/>
  <c r="N548" i="3"/>
  <c r="O548" i="3" s="1"/>
  <c r="N549" i="3"/>
  <c r="O549" i="3" s="1"/>
  <c r="N550" i="3"/>
  <c r="O550" i="3" s="1"/>
  <c r="N551" i="3"/>
  <c r="O551" i="3" s="1"/>
  <c r="N552" i="3"/>
  <c r="O552" i="3" s="1"/>
  <c r="N553" i="3"/>
  <c r="O553" i="3" s="1"/>
  <c r="N554" i="3"/>
  <c r="O554" i="3" s="1"/>
  <c r="N555" i="3"/>
  <c r="O555" i="3" s="1"/>
  <c r="N556" i="3"/>
  <c r="O556" i="3" s="1"/>
  <c r="N557" i="3"/>
  <c r="O557" i="3" s="1"/>
  <c r="N558" i="3"/>
  <c r="O558" i="3" s="1"/>
  <c r="N559" i="3"/>
  <c r="O559" i="3" s="1"/>
  <c r="N560" i="3"/>
  <c r="O560" i="3" s="1"/>
  <c r="N561" i="3"/>
  <c r="O561" i="3" s="1"/>
  <c r="N562" i="3"/>
  <c r="O562" i="3" s="1"/>
  <c r="N563" i="3"/>
  <c r="O563" i="3" s="1"/>
  <c r="N564" i="3"/>
  <c r="O564" i="3" s="1"/>
  <c r="N565" i="3"/>
  <c r="O565" i="3" s="1"/>
  <c r="N566" i="3"/>
  <c r="O566" i="3" s="1"/>
  <c r="N567" i="3"/>
  <c r="O567" i="3" s="1"/>
  <c r="N568" i="3"/>
  <c r="O568" i="3" s="1"/>
  <c r="N569" i="3"/>
  <c r="O569" i="3" s="1"/>
  <c r="N570" i="3"/>
  <c r="O570" i="3" s="1"/>
  <c r="N571" i="3"/>
  <c r="O571" i="3" s="1"/>
  <c r="N572" i="3"/>
  <c r="O572" i="3" s="1"/>
  <c r="N573" i="3"/>
  <c r="O573" i="3" s="1"/>
  <c r="N574" i="3"/>
  <c r="O574" i="3" s="1"/>
  <c r="N575" i="3"/>
  <c r="O575" i="3" s="1"/>
  <c r="N576" i="3"/>
  <c r="O576" i="3" s="1"/>
  <c r="N577" i="3"/>
  <c r="O577" i="3" s="1"/>
  <c r="N578" i="3"/>
  <c r="O578" i="3" s="1"/>
  <c r="N579" i="3"/>
  <c r="O579" i="3" s="1"/>
  <c r="N580" i="3"/>
  <c r="O580" i="3" s="1"/>
  <c r="N581" i="3"/>
  <c r="O581" i="3" s="1"/>
  <c r="N582" i="3"/>
  <c r="O582" i="3" s="1"/>
  <c r="N583" i="3"/>
  <c r="O583" i="3" s="1"/>
  <c r="N584" i="3"/>
  <c r="O584" i="3" s="1"/>
  <c r="N585" i="3"/>
  <c r="O585" i="3" s="1"/>
  <c r="N586" i="3"/>
  <c r="O586" i="3" s="1"/>
  <c r="N587" i="3"/>
  <c r="O587" i="3" s="1"/>
  <c r="N588" i="3"/>
  <c r="O588" i="3" s="1"/>
  <c r="N589" i="3"/>
  <c r="O589" i="3" s="1"/>
  <c r="N590" i="3"/>
  <c r="O590" i="3" s="1"/>
  <c r="N591" i="3"/>
  <c r="O591" i="3" s="1"/>
  <c r="N592" i="3"/>
  <c r="O592" i="3" s="1"/>
  <c r="N593" i="3"/>
  <c r="O593" i="3" s="1"/>
  <c r="N594" i="3"/>
  <c r="O594" i="3" s="1"/>
  <c r="N595" i="3"/>
  <c r="O595" i="3" s="1"/>
  <c r="N596" i="3"/>
  <c r="O596" i="3" s="1"/>
  <c r="N597" i="3"/>
  <c r="O597" i="3" s="1"/>
  <c r="N598" i="3"/>
  <c r="O598" i="3" s="1"/>
  <c r="N599" i="3"/>
  <c r="O599" i="3" s="1"/>
  <c r="N600" i="3"/>
  <c r="O600" i="3" s="1"/>
  <c r="N601" i="3"/>
  <c r="O601" i="3" s="1"/>
  <c r="N602" i="3"/>
  <c r="O602" i="3" s="1"/>
  <c r="N603" i="3"/>
  <c r="O603" i="3" s="1"/>
  <c r="N604" i="3"/>
  <c r="O604" i="3" s="1"/>
  <c r="N605" i="3"/>
  <c r="O605" i="3" s="1"/>
  <c r="N606" i="3"/>
  <c r="O606" i="3" s="1"/>
  <c r="N607" i="3"/>
  <c r="O607" i="3" s="1"/>
  <c r="N608" i="3"/>
  <c r="O608" i="3" s="1"/>
  <c r="N609" i="3"/>
  <c r="O609" i="3" s="1"/>
  <c r="N610" i="3"/>
  <c r="O610" i="3" s="1"/>
  <c r="N611" i="3"/>
  <c r="O611" i="3" s="1"/>
  <c r="N612" i="3"/>
  <c r="O612" i="3" s="1"/>
  <c r="N613" i="3"/>
  <c r="O613" i="3" s="1"/>
  <c r="N614" i="3"/>
  <c r="O614" i="3" s="1"/>
  <c r="N615" i="3"/>
  <c r="O615" i="3" s="1"/>
  <c r="N616" i="3"/>
  <c r="O616" i="3" s="1"/>
  <c r="N617" i="3"/>
  <c r="O617" i="3" s="1"/>
  <c r="N618" i="3"/>
  <c r="O618" i="3" s="1"/>
  <c r="N619" i="3"/>
  <c r="O619" i="3" s="1"/>
  <c r="N620" i="3"/>
  <c r="O620" i="3" s="1"/>
  <c r="N621" i="3"/>
  <c r="O621" i="3" s="1"/>
  <c r="N622" i="3"/>
  <c r="O622" i="3" s="1"/>
  <c r="N623" i="3"/>
  <c r="O623" i="3" s="1"/>
  <c r="N624" i="3"/>
  <c r="O624" i="3" s="1"/>
  <c r="N625" i="3"/>
  <c r="O625" i="3" s="1"/>
  <c r="N626" i="3"/>
  <c r="O626" i="3" s="1"/>
  <c r="N627" i="3"/>
  <c r="O627" i="3" s="1"/>
  <c r="N628" i="3"/>
  <c r="O628" i="3" s="1"/>
  <c r="N629" i="3"/>
  <c r="O629" i="3" s="1"/>
  <c r="N630" i="3"/>
  <c r="O630" i="3" s="1"/>
  <c r="N631" i="3"/>
  <c r="O631" i="3" s="1"/>
  <c r="N632" i="3"/>
  <c r="O632" i="3" s="1"/>
  <c r="N633" i="3"/>
  <c r="O633" i="3" s="1"/>
  <c r="N634" i="3"/>
  <c r="O634" i="3" s="1"/>
  <c r="N635" i="3"/>
  <c r="O635" i="3" s="1"/>
  <c r="N636" i="3"/>
  <c r="O636" i="3" s="1"/>
  <c r="N637" i="3"/>
  <c r="O637" i="3" s="1"/>
  <c r="N638" i="3"/>
  <c r="O638" i="3" s="1"/>
  <c r="N639" i="3"/>
  <c r="O639" i="3" s="1"/>
  <c r="N640" i="3"/>
  <c r="O640" i="3" s="1"/>
  <c r="N641" i="3"/>
  <c r="O641" i="3" s="1"/>
  <c r="N642" i="3"/>
  <c r="O642" i="3" s="1"/>
  <c r="N643" i="3"/>
  <c r="O643" i="3" s="1"/>
  <c r="N644" i="3"/>
  <c r="O644" i="3" s="1"/>
  <c r="N645" i="3"/>
  <c r="O645" i="3" s="1"/>
  <c r="N646" i="3"/>
  <c r="O646" i="3" s="1"/>
  <c r="N647" i="3"/>
  <c r="O647" i="3" s="1"/>
  <c r="N648" i="3"/>
  <c r="O648" i="3" s="1"/>
  <c r="N649" i="3"/>
  <c r="O649" i="3" s="1"/>
  <c r="N650" i="3"/>
  <c r="O650" i="3" s="1"/>
  <c r="N651" i="3"/>
  <c r="O651" i="3" s="1"/>
  <c r="N652" i="3"/>
  <c r="O652" i="3" s="1"/>
  <c r="N653" i="3"/>
  <c r="O653" i="3" s="1"/>
  <c r="N654" i="3"/>
  <c r="O654" i="3" s="1"/>
  <c r="N655" i="3"/>
  <c r="O655" i="3" s="1"/>
  <c r="N656" i="3"/>
  <c r="O656" i="3" s="1"/>
  <c r="N657" i="3"/>
  <c r="O657" i="3" s="1"/>
  <c r="N658" i="3"/>
  <c r="O658" i="3" s="1"/>
  <c r="N659" i="3"/>
  <c r="O659" i="3" s="1"/>
  <c r="N660" i="3"/>
  <c r="O660" i="3" s="1"/>
  <c r="N661" i="3"/>
  <c r="O661" i="3" s="1"/>
  <c r="N662" i="3"/>
  <c r="O662" i="3" s="1"/>
  <c r="N663" i="3"/>
  <c r="O663" i="3" s="1"/>
  <c r="N664" i="3"/>
  <c r="O664" i="3" s="1"/>
  <c r="N665" i="3"/>
  <c r="O665" i="3" s="1"/>
  <c r="N666" i="3"/>
  <c r="O666" i="3" s="1"/>
  <c r="N667" i="3"/>
  <c r="O667" i="3" s="1"/>
  <c r="N668" i="3"/>
  <c r="O668" i="3" s="1"/>
  <c r="N669" i="3"/>
  <c r="O669" i="3" s="1"/>
  <c r="N670" i="3"/>
  <c r="O670" i="3" s="1"/>
  <c r="N671" i="3"/>
  <c r="O671" i="3" s="1"/>
  <c r="N672" i="3"/>
  <c r="O672" i="3" s="1"/>
  <c r="N673" i="3"/>
  <c r="O673" i="3" s="1"/>
  <c r="N674" i="3"/>
  <c r="O674" i="3" s="1"/>
  <c r="N675" i="3"/>
  <c r="O675" i="3" s="1"/>
  <c r="N676" i="3"/>
  <c r="O676" i="3" s="1"/>
  <c r="N677" i="3"/>
  <c r="O677" i="3" s="1"/>
  <c r="N678" i="3"/>
  <c r="O678" i="3" s="1"/>
  <c r="N679" i="3"/>
  <c r="O679" i="3" s="1"/>
  <c r="N680" i="3"/>
  <c r="O680" i="3" s="1"/>
  <c r="N681" i="3"/>
  <c r="O681" i="3" s="1"/>
  <c r="N682" i="3"/>
  <c r="O682" i="3" s="1"/>
  <c r="N683" i="3"/>
  <c r="O683" i="3" s="1"/>
  <c r="N684" i="3"/>
  <c r="O684" i="3" s="1"/>
  <c r="N685" i="3"/>
  <c r="O685" i="3" s="1"/>
  <c r="N686" i="3"/>
  <c r="O686" i="3" s="1"/>
  <c r="N687" i="3"/>
  <c r="O687" i="3" s="1"/>
  <c r="N688" i="3"/>
  <c r="O688" i="3" s="1"/>
  <c r="N689" i="3"/>
  <c r="O689" i="3" s="1"/>
  <c r="N690" i="3"/>
  <c r="O690" i="3" s="1"/>
  <c r="N691" i="3"/>
  <c r="O691" i="3" s="1"/>
  <c r="N692" i="3"/>
  <c r="O692" i="3" s="1"/>
  <c r="N693" i="3"/>
  <c r="O693" i="3" s="1"/>
  <c r="N694" i="3"/>
  <c r="O694" i="3" s="1"/>
  <c r="N695" i="3"/>
  <c r="O695" i="3" s="1"/>
  <c r="N696" i="3"/>
  <c r="O696" i="3" s="1"/>
  <c r="N697" i="3"/>
  <c r="O697" i="3" s="1"/>
  <c r="N698" i="3"/>
  <c r="O698" i="3" s="1"/>
  <c r="N699" i="3"/>
  <c r="O699" i="3" s="1"/>
  <c r="N700" i="3"/>
  <c r="O700" i="3" s="1"/>
  <c r="N701" i="3"/>
  <c r="O701" i="3" s="1"/>
  <c r="N702" i="3"/>
  <c r="O702" i="3" s="1"/>
  <c r="N703" i="3"/>
  <c r="O703" i="3" s="1"/>
  <c r="N704" i="3"/>
  <c r="O704" i="3" s="1"/>
  <c r="N705" i="3"/>
  <c r="O705" i="3" s="1"/>
  <c r="N706" i="3"/>
  <c r="O706" i="3" s="1"/>
  <c r="N707" i="3"/>
  <c r="O707" i="3" s="1"/>
  <c r="N708" i="3"/>
  <c r="O708" i="3" s="1"/>
  <c r="N709" i="3"/>
  <c r="O709" i="3" s="1"/>
  <c r="N710" i="3"/>
  <c r="O710" i="3" s="1"/>
  <c r="N711" i="3"/>
  <c r="O711" i="3" s="1"/>
  <c r="N712" i="3"/>
  <c r="O712" i="3" s="1"/>
  <c r="N713" i="3"/>
  <c r="O713" i="3" s="1"/>
  <c r="N714" i="3"/>
  <c r="O714" i="3" s="1"/>
  <c r="N715" i="3"/>
  <c r="O715" i="3" s="1"/>
  <c r="N716" i="3"/>
  <c r="O716" i="3" s="1"/>
  <c r="N717" i="3"/>
  <c r="O717" i="3" s="1"/>
  <c r="N718" i="3"/>
  <c r="O718" i="3" s="1"/>
  <c r="N719" i="3"/>
  <c r="O719" i="3" s="1"/>
  <c r="N720" i="3"/>
  <c r="O720" i="3" s="1"/>
  <c r="N721" i="3"/>
  <c r="O721" i="3" s="1"/>
  <c r="N722" i="3"/>
  <c r="O722" i="3" s="1"/>
  <c r="N723" i="3"/>
  <c r="O723" i="3" s="1"/>
  <c r="N724" i="3"/>
  <c r="O724" i="3" s="1"/>
  <c r="N725" i="3"/>
  <c r="O725" i="3" s="1"/>
  <c r="N726" i="3"/>
  <c r="O726" i="3" s="1"/>
  <c r="N727" i="3"/>
  <c r="O727" i="3" s="1"/>
  <c r="N728" i="3"/>
  <c r="O728" i="3" s="1"/>
  <c r="N729" i="3"/>
  <c r="O729" i="3" s="1"/>
  <c r="N730" i="3"/>
  <c r="O730" i="3" s="1"/>
  <c r="N731" i="3"/>
  <c r="O731" i="3" s="1"/>
  <c r="N732" i="3"/>
  <c r="O732" i="3" s="1"/>
  <c r="N733" i="3"/>
  <c r="O733" i="3" s="1"/>
  <c r="N734" i="3"/>
  <c r="O734" i="3" s="1"/>
  <c r="N735" i="3"/>
  <c r="O735" i="3" s="1"/>
  <c r="N736" i="3"/>
  <c r="O736" i="3" s="1"/>
  <c r="N737" i="3"/>
  <c r="O737" i="3" s="1"/>
  <c r="N738" i="3"/>
  <c r="O738" i="3" s="1"/>
  <c r="N739" i="3"/>
  <c r="O739" i="3" s="1"/>
  <c r="N740" i="3"/>
  <c r="O740" i="3" s="1"/>
  <c r="N741" i="3"/>
  <c r="O741" i="3" s="1"/>
  <c r="N742" i="3"/>
  <c r="O742" i="3" s="1"/>
  <c r="N743" i="3"/>
  <c r="O743" i="3" s="1"/>
  <c r="N744" i="3"/>
  <c r="O744" i="3" s="1"/>
  <c r="N745" i="3"/>
  <c r="O745" i="3" s="1"/>
  <c r="N746" i="3"/>
  <c r="O746" i="3" s="1"/>
  <c r="N747" i="3"/>
  <c r="O747" i="3" s="1"/>
  <c r="N748" i="3"/>
  <c r="O748" i="3" s="1"/>
  <c r="N749" i="3"/>
  <c r="O749" i="3" s="1"/>
  <c r="N750" i="3"/>
  <c r="O750" i="3" s="1"/>
  <c r="N751" i="3"/>
  <c r="O751" i="3" s="1"/>
  <c r="N752" i="3"/>
  <c r="O752" i="3" s="1"/>
  <c r="N753" i="3"/>
  <c r="O753" i="3" s="1"/>
  <c r="N754" i="3"/>
  <c r="O754" i="3" s="1"/>
  <c r="N755" i="3"/>
  <c r="O755" i="3" s="1"/>
  <c r="N756" i="3"/>
  <c r="O756" i="3" s="1"/>
  <c r="N757" i="3"/>
  <c r="O757" i="3" s="1"/>
  <c r="N758" i="3"/>
  <c r="O758" i="3" s="1"/>
  <c r="N759" i="3"/>
  <c r="O759" i="3" s="1"/>
  <c r="N760" i="3"/>
  <c r="O760" i="3" s="1"/>
  <c r="N761" i="3"/>
  <c r="O761" i="3" s="1"/>
  <c r="N762" i="3"/>
  <c r="O762" i="3" s="1"/>
  <c r="N763" i="3"/>
  <c r="O763" i="3" s="1"/>
  <c r="N764" i="3"/>
  <c r="O764" i="3" s="1"/>
  <c r="N765" i="3"/>
  <c r="O765" i="3" s="1"/>
  <c r="N766" i="3"/>
  <c r="O766" i="3" s="1"/>
  <c r="N767" i="3"/>
  <c r="O767" i="3" s="1"/>
  <c r="N768" i="3"/>
  <c r="O768" i="3" s="1"/>
  <c r="N769" i="3"/>
  <c r="O769" i="3" s="1"/>
  <c r="N770" i="3"/>
  <c r="O770" i="3" s="1"/>
  <c r="N771" i="3"/>
  <c r="O771" i="3" s="1"/>
  <c r="N772" i="3"/>
  <c r="O772" i="3" s="1"/>
  <c r="N773" i="3"/>
  <c r="O773" i="3" s="1"/>
  <c r="N774" i="3"/>
  <c r="O774" i="3" s="1"/>
  <c r="N775" i="3"/>
  <c r="O775" i="3" s="1"/>
  <c r="N776" i="3"/>
  <c r="O776" i="3" s="1"/>
  <c r="N777" i="3"/>
  <c r="O777" i="3" s="1"/>
  <c r="N778" i="3"/>
  <c r="O778" i="3" s="1"/>
  <c r="N779" i="3"/>
  <c r="O779" i="3" s="1"/>
  <c r="N780" i="3"/>
  <c r="O780" i="3" s="1"/>
  <c r="N781" i="3"/>
  <c r="O781" i="3" s="1"/>
  <c r="N782" i="3"/>
  <c r="O782" i="3" s="1"/>
  <c r="N783" i="3"/>
  <c r="O783" i="3" s="1"/>
  <c r="N784" i="3"/>
  <c r="O784" i="3" s="1"/>
  <c r="N785" i="3"/>
  <c r="O785" i="3" s="1"/>
  <c r="N786" i="3"/>
  <c r="O786" i="3" s="1"/>
  <c r="N787" i="3"/>
  <c r="O787" i="3" s="1"/>
  <c r="N788" i="3"/>
  <c r="O788" i="3" s="1"/>
  <c r="N789" i="3"/>
  <c r="O789" i="3" s="1"/>
  <c r="N790" i="3"/>
  <c r="O790" i="3" s="1"/>
  <c r="N791" i="3"/>
  <c r="O791" i="3" s="1"/>
  <c r="N792" i="3"/>
  <c r="O792" i="3" s="1"/>
  <c r="N793" i="3"/>
  <c r="O793" i="3" s="1"/>
  <c r="N794" i="3"/>
  <c r="O794" i="3" s="1"/>
  <c r="N795" i="3"/>
  <c r="O795" i="3" s="1"/>
  <c r="N796" i="3"/>
  <c r="O796" i="3" s="1"/>
  <c r="N797" i="3"/>
  <c r="O797" i="3" s="1"/>
  <c r="N798" i="3"/>
  <c r="O798" i="3" s="1"/>
  <c r="N799" i="3"/>
  <c r="O799" i="3" s="1"/>
  <c r="N800" i="3"/>
  <c r="O800" i="3" s="1"/>
  <c r="N801" i="3"/>
  <c r="O801" i="3" s="1"/>
  <c r="N802" i="3"/>
  <c r="O802" i="3" s="1"/>
  <c r="N803" i="3"/>
  <c r="O803" i="3" s="1"/>
  <c r="N804" i="3"/>
  <c r="O804" i="3" s="1"/>
  <c r="N805" i="3"/>
  <c r="O805" i="3" s="1"/>
  <c r="N806" i="3"/>
  <c r="O806" i="3" s="1"/>
  <c r="N807" i="3"/>
  <c r="O807" i="3" s="1"/>
  <c r="N808" i="3"/>
  <c r="O808" i="3" s="1"/>
  <c r="N809" i="3"/>
  <c r="O809" i="3" s="1"/>
  <c r="N810" i="3"/>
  <c r="O810" i="3" s="1"/>
  <c r="N811" i="3"/>
  <c r="O811" i="3" s="1"/>
  <c r="N812" i="3"/>
  <c r="O812" i="3" s="1"/>
  <c r="N813" i="3"/>
  <c r="O813" i="3" s="1"/>
  <c r="N814" i="3"/>
  <c r="O814" i="3" s="1"/>
  <c r="N815" i="3"/>
  <c r="O815" i="3" s="1"/>
  <c r="N816" i="3"/>
  <c r="O816" i="3" s="1"/>
  <c r="N817" i="3"/>
  <c r="O817" i="3" s="1"/>
  <c r="N818" i="3"/>
  <c r="N819" i="3"/>
  <c r="O819" i="3" s="1"/>
  <c r="N820" i="3"/>
  <c r="O820" i="3" s="1"/>
  <c r="N821" i="3"/>
  <c r="O821" i="3" s="1"/>
  <c r="N822" i="3"/>
  <c r="O822" i="3" s="1"/>
  <c r="N823" i="3"/>
  <c r="O823" i="3" s="1"/>
  <c r="N824" i="3"/>
  <c r="O824" i="3" s="1"/>
  <c r="N825" i="3"/>
  <c r="O825" i="3" s="1"/>
  <c r="N826" i="3"/>
  <c r="O826" i="3" s="1"/>
  <c r="N827" i="3"/>
  <c r="O827" i="3" s="1"/>
  <c r="N828" i="3"/>
  <c r="O828" i="3" s="1"/>
  <c r="N829" i="3"/>
  <c r="O829" i="3" s="1"/>
  <c r="N830" i="3"/>
  <c r="O830" i="3" s="1"/>
  <c r="N831" i="3"/>
  <c r="O831" i="3" s="1"/>
  <c r="N832" i="3"/>
  <c r="O832" i="3" s="1"/>
  <c r="N833" i="3"/>
  <c r="O833" i="3" s="1"/>
  <c r="N834" i="3"/>
  <c r="O834" i="3" s="1"/>
  <c r="N835" i="3"/>
  <c r="O835" i="3" s="1"/>
  <c r="N836" i="3"/>
  <c r="O836" i="3" s="1"/>
  <c r="N837" i="3"/>
  <c r="O837" i="3" s="1"/>
  <c r="N838" i="3"/>
  <c r="O838" i="3" s="1"/>
  <c r="N839" i="3"/>
  <c r="O839" i="3" s="1"/>
  <c r="N840" i="3"/>
  <c r="O840" i="3" s="1"/>
  <c r="N841" i="3"/>
  <c r="O841" i="3" s="1"/>
  <c r="N842" i="3"/>
  <c r="O842" i="3" s="1"/>
  <c r="N843" i="3"/>
  <c r="O843" i="3" s="1"/>
  <c r="N844" i="3"/>
  <c r="O844" i="3" s="1"/>
  <c r="N845" i="3"/>
  <c r="O845" i="3" s="1"/>
  <c r="N846" i="3"/>
  <c r="O846" i="3" s="1"/>
  <c r="N847" i="3"/>
  <c r="O847" i="3" s="1"/>
  <c r="N848" i="3"/>
  <c r="O848" i="3" s="1"/>
  <c r="N849" i="3"/>
  <c r="O849" i="3" s="1"/>
  <c r="N850" i="3"/>
  <c r="O850" i="3" s="1"/>
  <c r="N851" i="3"/>
  <c r="O851" i="3" s="1"/>
  <c r="N852" i="3"/>
  <c r="O852" i="3" s="1"/>
  <c r="N853" i="3"/>
  <c r="O853" i="3" s="1"/>
  <c r="N854" i="3"/>
  <c r="O854" i="3" s="1"/>
  <c r="N855" i="3"/>
  <c r="O855" i="3" s="1"/>
  <c r="N856" i="3"/>
  <c r="O856" i="3" s="1"/>
  <c r="N857" i="3"/>
  <c r="O857" i="3" s="1"/>
  <c r="N858" i="3"/>
  <c r="O858" i="3" s="1"/>
  <c r="N859" i="3"/>
  <c r="N860" i="3"/>
  <c r="O860" i="3" s="1"/>
  <c r="N861" i="3"/>
  <c r="O861" i="3" s="1"/>
  <c r="N862" i="3"/>
  <c r="O862" i="3" s="1"/>
  <c r="N863" i="3"/>
  <c r="O863" i="3" s="1"/>
  <c r="N864" i="3"/>
  <c r="O864" i="3" s="1"/>
  <c r="N865" i="3"/>
  <c r="O865" i="3" s="1"/>
  <c r="N866" i="3"/>
  <c r="O866" i="3" s="1"/>
  <c r="N867" i="3"/>
  <c r="O867" i="3" s="1"/>
  <c r="N868" i="3"/>
  <c r="O868" i="3" s="1"/>
  <c r="N869" i="3"/>
  <c r="O869" i="3" s="1"/>
  <c r="N870" i="3"/>
  <c r="O870" i="3" s="1"/>
  <c r="N871" i="3"/>
  <c r="O871" i="3" s="1"/>
  <c r="N872" i="3"/>
  <c r="O872" i="3" s="1"/>
  <c r="N873" i="3"/>
  <c r="O873" i="3" s="1"/>
  <c r="N874" i="3"/>
  <c r="O874" i="3" s="1"/>
  <c r="N875" i="3"/>
  <c r="O875" i="3" s="1"/>
  <c r="N876" i="3"/>
  <c r="O876" i="3" s="1"/>
  <c r="N877" i="3"/>
  <c r="O877" i="3" s="1"/>
  <c r="N878" i="3"/>
  <c r="O878" i="3" s="1"/>
  <c r="N879" i="3"/>
  <c r="O879" i="3" s="1"/>
  <c r="N880" i="3"/>
  <c r="O880" i="3" s="1"/>
  <c r="N881" i="3"/>
  <c r="O881" i="3" s="1"/>
  <c r="N882" i="3"/>
  <c r="O882" i="3" s="1"/>
  <c r="N883" i="3"/>
  <c r="O883" i="3" s="1"/>
  <c r="N884" i="3"/>
  <c r="O884" i="3" s="1"/>
  <c r="N885" i="3"/>
  <c r="O885" i="3" s="1"/>
  <c r="N886" i="3"/>
  <c r="O886" i="3" s="1"/>
  <c r="N887" i="3"/>
  <c r="O887" i="3" s="1"/>
  <c r="N888" i="3"/>
  <c r="O888" i="3" s="1"/>
  <c r="N889" i="3"/>
  <c r="O889" i="3" s="1"/>
  <c r="N890" i="3"/>
  <c r="O890" i="3" s="1"/>
  <c r="N891" i="3"/>
  <c r="O891" i="3" s="1"/>
  <c r="N892" i="3"/>
  <c r="O892" i="3" s="1"/>
  <c r="N893" i="3"/>
  <c r="O893" i="3" s="1"/>
  <c r="N894" i="3"/>
  <c r="O894" i="3" s="1"/>
  <c r="N895" i="3"/>
  <c r="O895" i="3" s="1"/>
  <c r="N896" i="3"/>
  <c r="O896" i="3" s="1"/>
  <c r="N897" i="3"/>
  <c r="O897" i="3" s="1"/>
  <c r="N898" i="3"/>
  <c r="O898" i="3" s="1"/>
  <c r="N899" i="3"/>
  <c r="O899" i="3" s="1"/>
  <c r="N900" i="3"/>
  <c r="O900" i="3" s="1"/>
  <c r="N901" i="3"/>
  <c r="O901" i="3" s="1"/>
  <c r="N902" i="3"/>
  <c r="O902" i="3" s="1"/>
  <c r="N903" i="3"/>
  <c r="O903" i="3" s="1"/>
  <c r="N904" i="3"/>
  <c r="O904" i="3" s="1"/>
  <c r="N905" i="3"/>
  <c r="O905" i="3" s="1"/>
  <c r="N906" i="3"/>
  <c r="O906" i="3" s="1"/>
  <c r="N907" i="3"/>
  <c r="O907" i="3" s="1"/>
  <c r="N908" i="3"/>
  <c r="O908" i="3" s="1"/>
  <c r="N909" i="3"/>
  <c r="O909" i="3" s="1"/>
  <c r="N910" i="3"/>
  <c r="O910" i="3" s="1"/>
  <c r="N911" i="3"/>
  <c r="O911" i="3" s="1"/>
  <c r="N912" i="3"/>
  <c r="O912" i="3" s="1"/>
  <c r="N913" i="3"/>
  <c r="O913" i="3" s="1"/>
  <c r="N914" i="3"/>
  <c r="O914" i="3" s="1"/>
  <c r="N915" i="3"/>
  <c r="O915" i="3" s="1"/>
  <c r="N916" i="3"/>
  <c r="O916" i="3" s="1"/>
  <c r="N917" i="3"/>
  <c r="O917" i="3" s="1"/>
  <c r="N918" i="3"/>
  <c r="O918" i="3" s="1"/>
  <c r="N919" i="3"/>
  <c r="O919" i="3" s="1"/>
  <c r="N920" i="3"/>
  <c r="O920" i="3" s="1"/>
  <c r="N921" i="3"/>
  <c r="O921" i="3" s="1"/>
  <c r="N922" i="3"/>
  <c r="O922" i="3" s="1"/>
  <c r="N923" i="3"/>
  <c r="O923" i="3" s="1"/>
  <c r="N924" i="3"/>
  <c r="O924" i="3" s="1"/>
  <c r="N925" i="3"/>
  <c r="O925" i="3" s="1"/>
  <c r="N926" i="3"/>
  <c r="O926" i="3" s="1"/>
  <c r="N927" i="3"/>
  <c r="O927" i="3" s="1"/>
  <c r="N928" i="3"/>
  <c r="O928" i="3" s="1"/>
  <c r="N929" i="3"/>
  <c r="O929" i="3" s="1"/>
  <c r="N930" i="3"/>
  <c r="O930" i="3" s="1"/>
  <c r="N931" i="3"/>
  <c r="O931" i="3" s="1"/>
  <c r="N932" i="3"/>
  <c r="O932" i="3" s="1"/>
  <c r="N933" i="3"/>
  <c r="O933" i="3" s="1"/>
  <c r="N934" i="3"/>
  <c r="O934" i="3" s="1"/>
  <c r="N935" i="3"/>
  <c r="O935" i="3" s="1"/>
  <c r="N936" i="3"/>
  <c r="O936" i="3" s="1"/>
  <c r="N937" i="3"/>
  <c r="O937" i="3" s="1"/>
  <c r="N938" i="3"/>
  <c r="O938" i="3" s="1"/>
  <c r="N939" i="3"/>
  <c r="O939" i="3" s="1"/>
  <c r="N940" i="3"/>
  <c r="O940" i="3" s="1"/>
  <c r="N941" i="3"/>
  <c r="O941" i="3" s="1"/>
  <c r="N942" i="3"/>
  <c r="O942" i="3" s="1"/>
  <c r="N943" i="3"/>
  <c r="O943" i="3" s="1"/>
  <c r="N944" i="3"/>
  <c r="O944" i="3" s="1"/>
  <c r="N945" i="3"/>
  <c r="O945" i="3" s="1"/>
  <c r="N946" i="3"/>
  <c r="O946" i="3" s="1"/>
  <c r="N947" i="3"/>
  <c r="O947" i="3" s="1"/>
  <c r="N948" i="3"/>
  <c r="O948" i="3" s="1"/>
  <c r="N949" i="3"/>
  <c r="O949" i="3" s="1"/>
  <c r="N950" i="3"/>
  <c r="O950" i="3" s="1"/>
  <c r="N951" i="3"/>
  <c r="O951" i="3" s="1"/>
  <c r="N952" i="3"/>
  <c r="O952" i="3" s="1"/>
  <c r="N953" i="3"/>
  <c r="O953" i="3" s="1"/>
  <c r="N954" i="3"/>
  <c r="O954" i="3" s="1"/>
  <c r="N955" i="3"/>
  <c r="O955" i="3" s="1"/>
  <c r="N956" i="3"/>
  <c r="O956" i="3" s="1"/>
  <c r="N957" i="3"/>
  <c r="N958" i="3"/>
  <c r="O958" i="3" s="1"/>
  <c r="N959" i="3"/>
  <c r="O959" i="3" s="1"/>
  <c r="N960" i="3"/>
  <c r="O960" i="3" s="1"/>
  <c r="N961" i="3"/>
  <c r="O961" i="3" s="1"/>
  <c r="N962" i="3"/>
  <c r="O962" i="3" s="1"/>
  <c r="N963" i="3"/>
  <c r="O963" i="3" s="1"/>
  <c r="N964" i="3"/>
  <c r="O964" i="3" s="1"/>
  <c r="N965" i="3"/>
  <c r="O965" i="3" s="1"/>
  <c r="N966" i="3"/>
  <c r="O966" i="3" s="1"/>
  <c r="N967" i="3"/>
  <c r="O967" i="3" s="1"/>
  <c r="N968" i="3"/>
  <c r="O968" i="3" s="1"/>
  <c r="N969" i="3"/>
  <c r="O969" i="3" s="1"/>
  <c r="N970" i="3"/>
  <c r="O970" i="3" s="1"/>
  <c r="N971" i="3"/>
  <c r="O971" i="3" s="1"/>
  <c r="N972" i="3"/>
  <c r="O972" i="3" s="1"/>
  <c r="N973" i="3"/>
  <c r="O973" i="3" s="1"/>
  <c r="N974" i="3"/>
  <c r="O974" i="3" s="1"/>
  <c r="N975" i="3"/>
  <c r="O975" i="3" s="1"/>
  <c r="N976" i="3"/>
  <c r="O976" i="3" s="1"/>
  <c r="N977" i="3"/>
  <c r="O977" i="3" s="1"/>
  <c r="N978" i="3"/>
  <c r="O978" i="3" s="1"/>
  <c r="N979" i="3"/>
  <c r="O979" i="3" s="1"/>
  <c r="N980" i="3"/>
  <c r="O980" i="3" s="1"/>
  <c r="N981" i="3"/>
  <c r="O981" i="3" s="1"/>
  <c r="N982" i="3"/>
  <c r="O982" i="3" s="1"/>
  <c r="N983" i="3"/>
  <c r="O983" i="3" s="1"/>
  <c r="N984" i="3"/>
  <c r="O984" i="3" s="1"/>
  <c r="N985" i="3"/>
  <c r="O985" i="3" s="1"/>
  <c r="N986" i="3"/>
  <c r="O986" i="3" s="1"/>
  <c r="N987" i="3"/>
  <c r="O987" i="3" s="1"/>
  <c r="N988" i="3"/>
  <c r="O988" i="3" s="1"/>
  <c r="N989" i="3"/>
  <c r="O989" i="3" s="1"/>
  <c r="N990" i="3"/>
  <c r="O990" i="3" s="1"/>
  <c r="N991" i="3"/>
  <c r="O991" i="3" s="1"/>
  <c r="N992" i="3"/>
  <c r="O992" i="3" s="1"/>
  <c r="N993" i="3"/>
  <c r="O993" i="3" s="1"/>
  <c r="N994" i="3"/>
  <c r="O994" i="3" s="1"/>
  <c r="N995" i="3"/>
  <c r="O995" i="3" s="1"/>
  <c r="N996" i="3"/>
  <c r="O996" i="3" s="1"/>
  <c r="N997" i="3"/>
  <c r="O997" i="3" s="1"/>
  <c r="N998" i="3"/>
  <c r="O998" i="3" s="1"/>
  <c r="N999" i="3"/>
  <c r="O999" i="3" s="1"/>
  <c r="N1000" i="3"/>
  <c r="O1000" i="3" s="1"/>
  <c r="N1001" i="3"/>
  <c r="O1001" i="3" s="1"/>
  <c r="N1002" i="3"/>
  <c r="O1002" i="3" s="1"/>
  <c r="N1003" i="3"/>
  <c r="O1003" i="3" s="1"/>
  <c r="N1004" i="3"/>
  <c r="O1004" i="3" s="1"/>
  <c r="N1005" i="3"/>
  <c r="O1005" i="3" s="1"/>
  <c r="N1006" i="3"/>
  <c r="O1006" i="3" s="1"/>
  <c r="N1007" i="3"/>
  <c r="O1007" i="3" s="1"/>
  <c r="N1008" i="3"/>
  <c r="O1008" i="3" s="1"/>
  <c r="N1009" i="3"/>
  <c r="O1009" i="3" s="1"/>
  <c r="N1010" i="3"/>
  <c r="O1010" i="3" s="1"/>
  <c r="N1011" i="3"/>
  <c r="O1011" i="3" s="1"/>
  <c r="N1012" i="3"/>
  <c r="O1012" i="3" s="1"/>
  <c r="N1013" i="3"/>
  <c r="O1013" i="3" s="1"/>
  <c r="N1014" i="3"/>
  <c r="O1014" i="3" s="1"/>
  <c r="N1015" i="3"/>
  <c r="O1015" i="3" s="1"/>
  <c r="N1016" i="3"/>
  <c r="O1016" i="3" s="1"/>
  <c r="N1017" i="3"/>
  <c r="O1017" i="3" s="1"/>
  <c r="N1018" i="3"/>
  <c r="O1018" i="3" s="1"/>
  <c r="N1019" i="3"/>
  <c r="O1019" i="3" s="1"/>
  <c r="N1020" i="3"/>
  <c r="O1020" i="3" s="1"/>
  <c r="N1021" i="3"/>
  <c r="O1021" i="3" s="1"/>
  <c r="N1022" i="3"/>
  <c r="O1022" i="3" s="1"/>
  <c r="N1023" i="3"/>
  <c r="O1023" i="3" s="1"/>
  <c r="N1024" i="3"/>
  <c r="O1024" i="3" s="1"/>
  <c r="N1025" i="3"/>
  <c r="O1025" i="3" s="1"/>
  <c r="N1026" i="3"/>
  <c r="O1026" i="3" s="1"/>
  <c r="N1027" i="3"/>
  <c r="O1027" i="3" s="1"/>
  <c r="N1028" i="3"/>
  <c r="O1028" i="3" s="1"/>
  <c r="N1029" i="3"/>
  <c r="O1029" i="3" s="1"/>
  <c r="N1030" i="3"/>
  <c r="O1030" i="3" s="1"/>
  <c r="N1031" i="3"/>
  <c r="O1031" i="3" s="1"/>
  <c r="N1032" i="3"/>
  <c r="O1032" i="3" s="1"/>
  <c r="N1033" i="3"/>
  <c r="O1033" i="3" s="1"/>
  <c r="N1034" i="3"/>
  <c r="O1034" i="3" s="1"/>
  <c r="N1035" i="3"/>
  <c r="O1035" i="3" s="1"/>
  <c r="N1036" i="3"/>
  <c r="O1036" i="3" s="1"/>
  <c r="N1037" i="3"/>
  <c r="O1037" i="3" s="1"/>
  <c r="N1038" i="3"/>
  <c r="O1038" i="3" s="1"/>
  <c r="N1039" i="3"/>
  <c r="O1039" i="3" s="1"/>
  <c r="N1040" i="3"/>
  <c r="O1040" i="3" s="1"/>
  <c r="N1041" i="3"/>
  <c r="O1041" i="3" s="1"/>
  <c r="N1042" i="3"/>
  <c r="O1042" i="3" s="1"/>
  <c r="N1043" i="3"/>
  <c r="O1043" i="3" s="1"/>
  <c r="N1044" i="3"/>
  <c r="O1044" i="3" s="1"/>
  <c r="N1045" i="3"/>
  <c r="O1045" i="3" s="1"/>
  <c r="N1046" i="3"/>
  <c r="O1046" i="3" s="1"/>
  <c r="N1047" i="3"/>
  <c r="O1047" i="3" s="1"/>
  <c r="N1048" i="3"/>
  <c r="O1048" i="3" s="1"/>
  <c r="N1049" i="3"/>
  <c r="O1049" i="3" s="1"/>
  <c r="N1050" i="3"/>
  <c r="O1050" i="3" s="1"/>
  <c r="N1051" i="3"/>
  <c r="O1051" i="3" s="1"/>
  <c r="N1052" i="3"/>
  <c r="O1052" i="3" s="1"/>
  <c r="N1053" i="3"/>
  <c r="O1053" i="3" s="1"/>
  <c r="N1054" i="3"/>
  <c r="O1054" i="3" s="1"/>
  <c r="N1055" i="3"/>
  <c r="O1055" i="3" s="1"/>
  <c r="N1056" i="3"/>
  <c r="O1056" i="3" s="1"/>
  <c r="N1057" i="3"/>
  <c r="O1057" i="3" s="1"/>
  <c r="N1058" i="3"/>
  <c r="O1058" i="3" s="1"/>
  <c r="N1059" i="3"/>
  <c r="O1059" i="3" s="1"/>
  <c r="N1060" i="3"/>
  <c r="O1060" i="3" s="1"/>
  <c r="N1061" i="3"/>
  <c r="O1061" i="3" s="1"/>
  <c r="N1062" i="3"/>
  <c r="O1062" i="3" s="1"/>
  <c r="N1063" i="3"/>
  <c r="O1063" i="3" s="1"/>
  <c r="N1064" i="3"/>
  <c r="O1064" i="3" s="1"/>
  <c r="N1065" i="3"/>
  <c r="O1065" i="3" s="1"/>
  <c r="N1066" i="3"/>
  <c r="O1066" i="3" s="1"/>
  <c r="N1067" i="3"/>
  <c r="O1067" i="3" s="1"/>
  <c r="N1068" i="3"/>
  <c r="O1068" i="3" s="1"/>
  <c r="N1069" i="3"/>
  <c r="O1069" i="3" s="1"/>
  <c r="N1070" i="3"/>
  <c r="O1070" i="3" s="1"/>
  <c r="N1071" i="3"/>
  <c r="O1071" i="3" s="1"/>
  <c r="N1072" i="3"/>
  <c r="O1072" i="3" s="1"/>
  <c r="N1073" i="3"/>
  <c r="O1073" i="3" s="1"/>
  <c r="N1074" i="3"/>
  <c r="O1074" i="3" s="1"/>
  <c r="N1075" i="3"/>
  <c r="O1075" i="3" s="1"/>
  <c r="N1076" i="3"/>
  <c r="O1076" i="3" s="1"/>
  <c r="N1077" i="3"/>
  <c r="O1077" i="3" s="1"/>
  <c r="N1078" i="3"/>
  <c r="O1078" i="3" s="1"/>
  <c r="N1079" i="3"/>
  <c r="O1079" i="3" s="1"/>
  <c r="N1080" i="3"/>
  <c r="O1080" i="3" s="1"/>
  <c r="N1081" i="3"/>
  <c r="O1081" i="3" s="1"/>
  <c r="N1082" i="3"/>
  <c r="O1082" i="3" s="1"/>
  <c r="N1083" i="3"/>
  <c r="O1083" i="3" s="1"/>
  <c r="N1084" i="3"/>
  <c r="O1084" i="3" s="1"/>
  <c r="N1085" i="3"/>
  <c r="O1085" i="3" s="1"/>
  <c r="N1086" i="3"/>
  <c r="O1086" i="3" s="1"/>
  <c r="N1087" i="3"/>
  <c r="O1087" i="3" s="1"/>
  <c r="N1088" i="3"/>
  <c r="O1088" i="3" s="1"/>
  <c r="N1089" i="3"/>
  <c r="O1089" i="3" s="1"/>
  <c r="N1090" i="3"/>
  <c r="O1090" i="3" s="1"/>
  <c r="N1091" i="3"/>
  <c r="O1091" i="3" s="1"/>
  <c r="N1092" i="3"/>
  <c r="O1092" i="3" s="1"/>
  <c r="N1093" i="3"/>
  <c r="O1093" i="3" s="1"/>
  <c r="N1094" i="3"/>
  <c r="O1094" i="3" s="1"/>
  <c r="N1095" i="3"/>
  <c r="O1095" i="3" s="1"/>
  <c r="N1096" i="3"/>
  <c r="O1096" i="3" s="1"/>
  <c r="N1097" i="3"/>
  <c r="O1097" i="3" s="1"/>
  <c r="N1098" i="3"/>
  <c r="O1098" i="3" s="1"/>
  <c r="N1099" i="3"/>
  <c r="O1099" i="3" s="1"/>
  <c r="N1100" i="3"/>
  <c r="O1100" i="3" s="1"/>
  <c r="N1101" i="3"/>
  <c r="O1101" i="3" s="1"/>
  <c r="N1102" i="3"/>
  <c r="O1102" i="3" s="1"/>
  <c r="N1103" i="3"/>
  <c r="O1103" i="3" s="1"/>
  <c r="N1104" i="3"/>
  <c r="O1104" i="3" s="1"/>
  <c r="N1105" i="3"/>
  <c r="O1105" i="3" s="1"/>
  <c r="N1106" i="3"/>
  <c r="O1106" i="3" s="1"/>
  <c r="N1107" i="3"/>
  <c r="O1107" i="3" s="1"/>
  <c r="N1108" i="3"/>
  <c r="O1108" i="3" s="1"/>
  <c r="N1109" i="3"/>
  <c r="O1109" i="3" s="1"/>
  <c r="N1110" i="3"/>
  <c r="O1110" i="3" s="1"/>
  <c r="N1111" i="3"/>
  <c r="O1111" i="3" s="1"/>
  <c r="N1112" i="3"/>
  <c r="O1112" i="3" s="1"/>
  <c r="N1113" i="3"/>
  <c r="O1113" i="3" s="1"/>
  <c r="N1114" i="3"/>
  <c r="O1114" i="3" s="1"/>
  <c r="N1115" i="3"/>
  <c r="O1115" i="3" s="1"/>
  <c r="N1116" i="3"/>
  <c r="O1116" i="3" s="1"/>
  <c r="N1117" i="3"/>
  <c r="O1117" i="3" s="1"/>
  <c r="N1118" i="3"/>
  <c r="O1118" i="3" s="1"/>
  <c r="N1119" i="3"/>
  <c r="O1119" i="3" s="1"/>
  <c r="N1120" i="3"/>
  <c r="O1120" i="3" s="1"/>
  <c r="N1121" i="3"/>
  <c r="O1121" i="3" s="1"/>
  <c r="N1122" i="3"/>
  <c r="O1122" i="3" s="1"/>
  <c r="N1123" i="3"/>
  <c r="O1123" i="3" s="1"/>
  <c r="N1124" i="3"/>
  <c r="O1124" i="3" s="1"/>
  <c r="N1125" i="3"/>
  <c r="O1125" i="3" s="1"/>
  <c r="N1126" i="3"/>
  <c r="O1126" i="3" s="1"/>
  <c r="N1127" i="3"/>
  <c r="O1127" i="3" s="1"/>
  <c r="N1128" i="3"/>
  <c r="O1128" i="3" s="1"/>
  <c r="N1129" i="3"/>
  <c r="O1129" i="3" s="1"/>
  <c r="N1130" i="3"/>
  <c r="O1130" i="3" s="1"/>
  <c r="N1131" i="3"/>
  <c r="O1131" i="3" s="1"/>
  <c r="N1132" i="3"/>
  <c r="O1132" i="3" s="1"/>
  <c r="N1133" i="3"/>
  <c r="O1133" i="3" s="1"/>
  <c r="N1134" i="3"/>
  <c r="O1134" i="3" s="1"/>
  <c r="N1135" i="3"/>
  <c r="O1135" i="3" s="1"/>
  <c r="N1136" i="3"/>
  <c r="O1136" i="3" s="1"/>
  <c r="N1137" i="3"/>
  <c r="O1137" i="3" s="1"/>
  <c r="N1138" i="3"/>
  <c r="O1138" i="3" s="1"/>
  <c r="N1139" i="3"/>
  <c r="O1139" i="3" s="1"/>
  <c r="N1140" i="3"/>
  <c r="O1140" i="3" s="1"/>
  <c r="N1141" i="3"/>
  <c r="O1141" i="3" s="1"/>
  <c r="N1142" i="3"/>
  <c r="O1142" i="3" s="1"/>
  <c r="N1143" i="3"/>
  <c r="O1143" i="3" s="1"/>
  <c r="N1144" i="3"/>
  <c r="O1144" i="3" s="1"/>
  <c r="N1145" i="3"/>
  <c r="O1145" i="3" s="1"/>
  <c r="N1146" i="3"/>
  <c r="O1146" i="3" s="1"/>
  <c r="N1147" i="3"/>
  <c r="O1147" i="3" s="1"/>
  <c r="N1148" i="3"/>
  <c r="O1148" i="3" s="1"/>
  <c r="N1149" i="3"/>
  <c r="O1149" i="3" s="1"/>
  <c r="N1150" i="3"/>
  <c r="O1150" i="3" s="1"/>
  <c r="N1151" i="3"/>
  <c r="O1151" i="3" s="1"/>
  <c r="N1152" i="3"/>
  <c r="O1152" i="3" s="1"/>
  <c r="N1153" i="3"/>
  <c r="O1153" i="3" s="1"/>
  <c r="N1154" i="3"/>
  <c r="O1154" i="3" s="1"/>
  <c r="N1155" i="3"/>
  <c r="O1155" i="3" s="1"/>
  <c r="N1156" i="3"/>
  <c r="O1156" i="3" s="1"/>
  <c r="N1157" i="3"/>
  <c r="O1157" i="3" s="1"/>
  <c r="N1158" i="3"/>
  <c r="O1158" i="3" s="1"/>
  <c r="N1159" i="3"/>
  <c r="O1159" i="3" s="1"/>
  <c r="N1160" i="3"/>
  <c r="O1160" i="3" s="1"/>
  <c r="N1161" i="3"/>
  <c r="O1161" i="3" s="1"/>
  <c r="N1162" i="3"/>
  <c r="O1162" i="3" s="1"/>
  <c r="N1163" i="3"/>
  <c r="O1163" i="3" s="1"/>
  <c r="N1164" i="3"/>
  <c r="O1164" i="3" s="1"/>
  <c r="N1165" i="3"/>
  <c r="O1165" i="3" s="1"/>
  <c r="N1166" i="3"/>
  <c r="O1166" i="3" s="1"/>
  <c r="N1167" i="3"/>
  <c r="O1167" i="3" s="1"/>
  <c r="N1168" i="3"/>
  <c r="O1168" i="3" s="1"/>
  <c r="N1169" i="3"/>
  <c r="O1169" i="3" s="1"/>
  <c r="N1170" i="3"/>
  <c r="O1170" i="3" s="1"/>
  <c r="N1171" i="3"/>
  <c r="O1171" i="3" s="1"/>
  <c r="N1172" i="3"/>
  <c r="O1172" i="3" s="1"/>
  <c r="N1173" i="3"/>
  <c r="O1173" i="3" s="1"/>
  <c r="N1174" i="3"/>
  <c r="O1174" i="3" s="1"/>
  <c r="N1175" i="3"/>
  <c r="O1175" i="3" s="1"/>
  <c r="N1176" i="3"/>
  <c r="O1176" i="3" s="1"/>
  <c r="N1177" i="3"/>
  <c r="O1177" i="3" s="1"/>
  <c r="N1178" i="3"/>
  <c r="O1178" i="3" s="1"/>
  <c r="N1179" i="3"/>
  <c r="O1179" i="3" s="1"/>
  <c r="N1180" i="3"/>
  <c r="O1180" i="3" s="1"/>
  <c r="N1181" i="3"/>
  <c r="O1181" i="3" s="1"/>
  <c r="N1182" i="3"/>
  <c r="O1182" i="3" s="1"/>
  <c r="N1183" i="3"/>
  <c r="O1183" i="3" s="1"/>
  <c r="N1184" i="3"/>
  <c r="O1184" i="3" s="1"/>
  <c r="N1185" i="3"/>
  <c r="O1185" i="3" s="1"/>
  <c r="N1186" i="3"/>
  <c r="O1186" i="3" s="1"/>
  <c r="N1187" i="3"/>
  <c r="O1187" i="3" s="1"/>
  <c r="N1188" i="3"/>
  <c r="O1188" i="3" s="1"/>
  <c r="N1189" i="3"/>
  <c r="O1189" i="3" s="1"/>
  <c r="N1190" i="3"/>
  <c r="O1190" i="3" s="1"/>
  <c r="N1191" i="3"/>
  <c r="O1191" i="3" s="1"/>
  <c r="N1192" i="3"/>
  <c r="O1192" i="3" s="1"/>
  <c r="N1193" i="3"/>
  <c r="O1193" i="3" s="1"/>
  <c r="N1194" i="3"/>
  <c r="O1194" i="3" s="1"/>
  <c r="N1195" i="3"/>
  <c r="O1195" i="3" s="1"/>
  <c r="N1196" i="3"/>
  <c r="O1196" i="3" s="1"/>
  <c r="N1197" i="3"/>
  <c r="O1197" i="3" s="1"/>
  <c r="N1198" i="3"/>
  <c r="O1198" i="3" s="1"/>
  <c r="N1199" i="3"/>
  <c r="O1199" i="3" s="1"/>
  <c r="N1200" i="3"/>
  <c r="O1200" i="3" s="1"/>
  <c r="N1201" i="3"/>
  <c r="O1201" i="3" s="1"/>
  <c r="N1202" i="3"/>
  <c r="O1202" i="3" s="1"/>
  <c r="N1203" i="3"/>
  <c r="O1203" i="3" s="1"/>
  <c r="N1204" i="3"/>
  <c r="O1204" i="3" s="1"/>
  <c r="N1205" i="3"/>
  <c r="O1205" i="3" s="1"/>
  <c r="N1206" i="3"/>
  <c r="O1206" i="3" s="1"/>
  <c r="N1207" i="3"/>
  <c r="O1207" i="3" s="1"/>
  <c r="N1208" i="3"/>
  <c r="O1208" i="3" s="1"/>
  <c r="N1209" i="3"/>
  <c r="O1209" i="3" s="1"/>
  <c r="N1210" i="3"/>
  <c r="O1210" i="3" s="1"/>
  <c r="N1211" i="3"/>
  <c r="O1211" i="3" s="1"/>
  <c r="N1212" i="3"/>
  <c r="O1212" i="3" s="1"/>
  <c r="N1213" i="3"/>
  <c r="O1213" i="3" s="1"/>
  <c r="N1214" i="3"/>
  <c r="O1214" i="3" s="1"/>
  <c r="N1215" i="3"/>
  <c r="O1215" i="3" s="1"/>
  <c r="N1216" i="3"/>
  <c r="O1216" i="3" s="1"/>
  <c r="N1217" i="3"/>
  <c r="O1217" i="3" s="1"/>
  <c r="N1218" i="3"/>
  <c r="O1218" i="3" s="1"/>
  <c r="N1219" i="3"/>
  <c r="O1219" i="3" s="1"/>
  <c r="N1220" i="3"/>
  <c r="O1220" i="3" s="1"/>
  <c r="N1221" i="3"/>
  <c r="O1221" i="3" s="1"/>
  <c r="N1222" i="3"/>
  <c r="O1222" i="3" s="1"/>
  <c r="N1223" i="3"/>
  <c r="O1223" i="3" s="1"/>
  <c r="N1224" i="3"/>
  <c r="O1224" i="3" s="1"/>
  <c r="N1225" i="3"/>
  <c r="O1225" i="3" s="1"/>
  <c r="N1226" i="3"/>
  <c r="O1226" i="3" s="1"/>
  <c r="N1227" i="3"/>
  <c r="O1227" i="3" s="1"/>
  <c r="N1228" i="3"/>
  <c r="O1228" i="3" s="1"/>
  <c r="N1229" i="3"/>
  <c r="O1229" i="3" s="1"/>
  <c r="N1230" i="3"/>
  <c r="O1230" i="3" s="1"/>
  <c r="N1231" i="3"/>
  <c r="O1231" i="3" s="1"/>
  <c r="N1232" i="3"/>
  <c r="O1232" i="3" s="1"/>
  <c r="N1233" i="3"/>
  <c r="O1233" i="3" s="1"/>
  <c r="N1234" i="3"/>
  <c r="O1234" i="3" s="1"/>
  <c r="N1235" i="3"/>
  <c r="O1235" i="3" s="1"/>
  <c r="N1236" i="3"/>
  <c r="O1236" i="3" s="1"/>
  <c r="N1237" i="3"/>
  <c r="O1237" i="3" s="1"/>
  <c r="N1238" i="3"/>
  <c r="O1238" i="3" s="1"/>
  <c r="N1239" i="3"/>
  <c r="O1239" i="3" s="1"/>
  <c r="N1240" i="3"/>
  <c r="O1240" i="3" s="1"/>
  <c r="N1241" i="3"/>
  <c r="O1241" i="3" s="1"/>
  <c r="N1242" i="3"/>
  <c r="O1242" i="3" s="1"/>
  <c r="N1243" i="3"/>
  <c r="O1243" i="3" s="1"/>
  <c r="N1244" i="3"/>
  <c r="O1244" i="3" s="1"/>
  <c r="N1245" i="3"/>
  <c r="O1245" i="3" s="1"/>
  <c r="N1246" i="3"/>
  <c r="O1246" i="3" s="1"/>
  <c r="N1247" i="3"/>
  <c r="O1247" i="3" s="1"/>
  <c r="N1248" i="3"/>
  <c r="O1248" i="3" s="1"/>
  <c r="N1249" i="3"/>
  <c r="O1249" i="3" s="1"/>
  <c r="N1250" i="3"/>
  <c r="O1250" i="3" s="1"/>
  <c r="N1251" i="3"/>
  <c r="O1251" i="3" s="1"/>
  <c r="N1252" i="3"/>
  <c r="O1252" i="3" s="1"/>
  <c r="N1253" i="3"/>
  <c r="O1253" i="3" s="1"/>
  <c r="N1254" i="3"/>
  <c r="O1254" i="3" s="1"/>
  <c r="N1255" i="3"/>
  <c r="O1255" i="3" s="1"/>
  <c r="N1256" i="3"/>
  <c r="O1256" i="3" s="1"/>
  <c r="N1257" i="3"/>
  <c r="O1257" i="3" s="1"/>
  <c r="N1258" i="3"/>
  <c r="O1258" i="3" s="1"/>
  <c r="N1259" i="3"/>
  <c r="O1259" i="3" s="1"/>
  <c r="N1260" i="3"/>
  <c r="O1260" i="3" s="1"/>
  <c r="N1261" i="3"/>
  <c r="O1261" i="3" s="1"/>
  <c r="N1262" i="3"/>
  <c r="O1262" i="3" s="1"/>
  <c r="N1263" i="3"/>
  <c r="O1263" i="3" s="1"/>
  <c r="N1264" i="3"/>
  <c r="O1264" i="3" s="1"/>
  <c r="N1265" i="3"/>
  <c r="O1265" i="3" s="1"/>
  <c r="N1266" i="3"/>
  <c r="O1266" i="3" s="1"/>
  <c r="N1267" i="3"/>
  <c r="O1267" i="3" s="1"/>
  <c r="N1268" i="3"/>
  <c r="O1268" i="3" s="1"/>
  <c r="N1269" i="3"/>
  <c r="O1269" i="3" s="1"/>
  <c r="N1270" i="3"/>
  <c r="O1270" i="3" s="1"/>
  <c r="N1271" i="3"/>
  <c r="O1271" i="3" s="1"/>
  <c r="N1272" i="3"/>
  <c r="O1272" i="3" s="1"/>
  <c r="N1273" i="3"/>
  <c r="O1273" i="3" s="1"/>
  <c r="N1274" i="3"/>
  <c r="O1274" i="3" s="1"/>
  <c r="N1275" i="3"/>
  <c r="O1275" i="3" s="1"/>
  <c r="N1276" i="3"/>
  <c r="O1276" i="3" s="1"/>
  <c r="N1277" i="3"/>
  <c r="O1277" i="3" s="1"/>
  <c r="N1278" i="3"/>
  <c r="O1278" i="3" s="1"/>
  <c r="N1279" i="3"/>
  <c r="O1279" i="3" s="1"/>
  <c r="N1280" i="3"/>
  <c r="O1280" i="3" s="1"/>
  <c r="N1281" i="3"/>
  <c r="O1281" i="3" s="1"/>
  <c r="N1282" i="3"/>
  <c r="O1282" i="3" s="1"/>
  <c r="N1283" i="3"/>
  <c r="O1283" i="3" s="1"/>
  <c r="N1284" i="3"/>
  <c r="O1284" i="3" s="1"/>
  <c r="N1285" i="3"/>
  <c r="O1285" i="3" s="1"/>
  <c r="N1286" i="3"/>
  <c r="O1286" i="3" s="1"/>
  <c r="N1287" i="3"/>
  <c r="O1287" i="3" s="1"/>
  <c r="N1288" i="3"/>
  <c r="O1288" i="3" s="1"/>
  <c r="N1289" i="3"/>
  <c r="O1289" i="3" s="1"/>
  <c r="N1290" i="3"/>
  <c r="O1290" i="3" s="1"/>
  <c r="N1291" i="3"/>
  <c r="O1291" i="3" s="1"/>
  <c r="N1292" i="3"/>
  <c r="O1292" i="3" s="1"/>
  <c r="N1293" i="3"/>
  <c r="O1293" i="3" s="1"/>
  <c r="N1294" i="3"/>
  <c r="O1294" i="3" s="1"/>
  <c r="N1295" i="3"/>
  <c r="O1295" i="3" s="1"/>
  <c r="N1296" i="3"/>
  <c r="O1296" i="3" s="1"/>
  <c r="N1297" i="3"/>
  <c r="O1297" i="3" s="1"/>
  <c r="N1298" i="3"/>
  <c r="O1298" i="3" s="1"/>
  <c r="N1299" i="3"/>
  <c r="O1299" i="3" s="1"/>
  <c r="N1300" i="3"/>
  <c r="O1300" i="3" s="1"/>
  <c r="N1301" i="3"/>
  <c r="O1301" i="3" s="1"/>
  <c r="N1302" i="3"/>
  <c r="O1302" i="3" s="1"/>
  <c r="N1303" i="3"/>
  <c r="O1303" i="3" s="1"/>
  <c r="N1304" i="3"/>
  <c r="O1304" i="3" s="1"/>
  <c r="N1305" i="3"/>
  <c r="O1305" i="3" s="1"/>
  <c r="N1306" i="3"/>
  <c r="O1306" i="3" s="1"/>
  <c r="N1307" i="3"/>
  <c r="O1307" i="3" s="1"/>
  <c r="N1308" i="3"/>
  <c r="O1308" i="3" s="1"/>
  <c r="N1309" i="3"/>
  <c r="O1309" i="3" s="1"/>
  <c r="N1310" i="3"/>
  <c r="O1310" i="3" s="1"/>
  <c r="N1311" i="3"/>
  <c r="O1311" i="3" s="1"/>
  <c r="N1312" i="3"/>
  <c r="O1312" i="3" s="1"/>
  <c r="N1313" i="3"/>
  <c r="O1313" i="3" s="1"/>
  <c r="N1314" i="3"/>
  <c r="O1314" i="3" s="1"/>
  <c r="N1315" i="3"/>
  <c r="O1315" i="3" s="1"/>
  <c r="N1316" i="3"/>
  <c r="O1316" i="3" s="1"/>
  <c r="N1317" i="3"/>
  <c r="O1317" i="3" s="1"/>
  <c r="N1318" i="3"/>
  <c r="O1318" i="3" s="1"/>
  <c r="N1319" i="3"/>
  <c r="O1319" i="3" s="1"/>
  <c r="N1320" i="3"/>
  <c r="O1320" i="3" s="1"/>
  <c r="N1321" i="3"/>
  <c r="O1321" i="3" s="1"/>
  <c r="N1322" i="3"/>
  <c r="O1322" i="3" s="1"/>
  <c r="N1323" i="3"/>
  <c r="O1323" i="3" s="1"/>
  <c r="N1324" i="3"/>
  <c r="O1324" i="3" s="1"/>
  <c r="N1325" i="3"/>
  <c r="O1325" i="3" s="1"/>
  <c r="N1326" i="3"/>
  <c r="O1326" i="3" s="1"/>
  <c r="N1327" i="3"/>
  <c r="O1327" i="3" s="1"/>
  <c r="N1328" i="3"/>
  <c r="O1328" i="3" s="1"/>
  <c r="N1329" i="3"/>
  <c r="O1329" i="3" s="1"/>
  <c r="N1330" i="3"/>
  <c r="O1330" i="3" s="1"/>
  <c r="N1331" i="3"/>
  <c r="O1331" i="3" s="1"/>
  <c r="N1332" i="3"/>
  <c r="O1332" i="3" s="1"/>
  <c r="N1333" i="3"/>
  <c r="O1333" i="3" s="1"/>
  <c r="N1334" i="3"/>
  <c r="O1334" i="3" s="1"/>
  <c r="N1335" i="3"/>
  <c r="O1335" i="3" s="1"/>
  <c r="N1336" i="3"/>
  <c r="O1336" i="3" s="1"/>
  <c r="N1337" i="3"/>
  <c r="O1337" i="3" s="1"/>
  <c r="N1338" i="3"/>
  <c r="O1338" i="3" s="1"/>
  <c r="N1339" i="3"/>
  <c r="O1339" i="3" s="1"/>
  <c r="N1340" i="3"/>
  <c r="O1340" i="3" s="1"/>
  <c r="N1341" i="3"/>
  <c r="O1341" i="3" s="1"/>
  <c r="N1342" i="3"/>
  <c r="O1342" i="3" s="1"/>
  <c r="N1343" i="3"/>
  <c r="O1343" i="3" s="1"/>
  <c r="N1344" i="3"/>
  <c r="O1344" i="3" s="1"/>
  <c r="N1345" i="3"/>
  <c r="O1345" i="3" s="1"/>
  <c r="N1346" i="3"/>
  <c r="O1346" i="3" s="1"/>
  <c r="N1347" i="3"/>
  <c r="O1347" i="3" s="1"/>
  <c r="N1348" i="3"/>
  <c r="O1348" i="3" s="1"/>
  <c r="N1349" i="3"/>
  <c r="O1349" i="3" s="1"/>
  <c r="N1350" i="3"/>
  <c r="O1350" i="3" s="1"/>
  <c r="N1351" i="3"/>
  <c r="O1351" i="3" s="1"/>
  <c r="N1352" i="3"/>
  <c r="O1352" i="3" s="1"/>
  <c r="N1353" i="3"/>
  <c r="O1353" i="3" s="1"/>
  <c r="N1354" i="3"/>
  <c r="O1354" i="3" s="1"/>
  <c r="N1355" i="3"/>
  <c r="O1355" i="3" s="1"/>
  <c r="N1356" i="3"/>
  <c r="O1356" i="3" s="1"/>
  <c r="N1357" i="3"/>
  <c r="O1357" i="3" s="1"/>
  <c r="N1358" i="3"/>
  <c r="O1358" i="3" s="1"/>
  <c r="N1359" i="3"/>
  <c r="O1359" i="3" s="1"/>
  <c r="N1360" i="3"/>
  <c r="O1360" i="3" s="1"/>
  <c r="N1361" i="3"/>
  <c r="O1361" i="3" s="1"/>
  <c r="N1362" i="3"/>
  <c r="O1362" i="3" s="1"/>
  <c r="N1363" i="3"/>
  <c r="O1363" i="3" s="1"/>
  <c r="N1364" i="3"/>
  <c r="O1364" i="3" s="1"/>
  <c r="N1365" i="3"/>
  <c r="O1365" i="3" s="1"/>
  <c r="N1366" i="3"/>
  <c r="O1366" i="3" s="1"/>
  <c r="N1367" i="3"/>
  <c r="O1367" i="3" s="1"/>
  <c r="N1368" i="3"/>
  <c r="O1368" i="3" s="1"/>
  <c r="N1369" i="3"/>
  <c r="O1369" i="3" s="1"/>
  <c r="N1370" i="3"/>
  <c r="O1370" i="3" s="1"/>
  <c r="N1371" i="3"/>
  <c r="O1371" i="3" s="1"/>
  <c r="N1372" i="3"/>
  <c r="O1372" i="3" s="1"/>
  <c r="N1373" i="3"/>
  <c r="O1373" i="3" s="1"/>
  <c r="N1374" i="3"/>
  <c r="O1374" i="3" s="1"/>
  <c r="N1375" i="3"/>
  <c r="O1375" i="3" s="1"/>
  <c r="N1376" i="3"/>
  <c r="O1376" i="3" s="1"/>
  <c r="N1377" i="3"/>
  <c r="O1377" i="3" s="1"/>
  <c r="N1378" i="3"/>
  <c r="O1378" i="3" s="1"/>
  <c r="N1379" i="3"/>
  <c r="O1379" i="3" s="1"/>
  <c r="N1380" i="3"/>
  <c r="O1380" i="3" s="1"/>
  <c r="N1381" i="3"/>
  <c r="O1381" i="3" s="1"/>
  <c r="N1382" i="3"/>
  <c r="O1382" i="3" s="1"/>
  <c r="N1383" i="3"/>
  <c r="O1383" i="3" s="1"/>
  <c r="N1384" i="3"/>
  <c r="O1384" i="3" s="1"/>
  <c r="N1385" i="3"/>
  <c r="O1385" i="3" s="1"/>
  <c r="N1386" i="3"/>
  <c r="O1386" i="3" s="1"/>
  <c r="N1387" i="3"/>
  <c r="O1387" i="3" s="1"/>
  <c r="N1388" i="3"/>
  <c r="O1388" i="3" s="1"/>
  <c r="N1389" i="3"/>
  <c r="O1389" i="3" s="1"/>
  <c r="N1390" i="3"/>
  <c r="O1390" i="3" s="1"/>
  <c r="N1391" i="3"/>
  <c r="O1391" i="3" s="1"/>
  <c r="N1392" i="3"/>
  <c r="O1392" i="3" s="1"/>
  <c r="N1393" i="3"/>
  <c r="O1393" i="3" s="1"/>
  <c r="N1394" i="3"/>
  <c r="O1394" i="3" s="1"/>
  <c r="N1395" i="3"/>
  <c r="O1395" i="3" s="1"/>
  <c r="N1396" i="3"/>
  <c r="O1396" i="3" s="1"/>
  <c r="N1397" i="3"/>
  <c r="O1397" i="3" s="1"/>
  <c r="N1398" i="3"/>
  <c r="O1398" i="3" s="1"/>
  <c r="N1399" i="3"/>
  <c r="O1399" i="3" s="1"/>
  <c r="N1400" i="3"/>
  <c r="O1400" i="3" s="1"/>
  <c r="N1401" i="3"/>
  <c r="O1401" i="3" s="1"/>
  <c r="N1402" i="3"/>
  <c r="O1402" i="3" s="1"/>
  <c r="N1403" i="3"/>
  <c r="O1403" i="3" s="1"/>
  <c r="N1404" i="3"/>
  <c r="O1404" i="3" s="1"/>
  <c r="N1405" i="3"/>
  <c r="O1405" i="3" s="1"/>
  <c r="N1406" i="3"/>
  <c r="O1406" i="3" s="1"/>
  <c r="N1407" i="3"/>
  <c r="O1407" i="3" s="1"/>
  <c r="N1408" i="3"/>
  <c r="O1408" i="3" s="1"/>
  <c r="N1409" i="3"/>
  <c r="O1409" i="3" s="1"/>
  <c r="N1410" i="3"/>
  <c r="O1410" i="3" s="1"/>
  <c r="N1411" i="3"/>
  <c r="O1411" i="3" s="1"/>
  <c r="N1412" i="3"/>
  <c r="O1412" i="3" s="1"/>
  <c r="N1413" i="3"/>
  <c r="O1413" i="3" s="1"/>
  <c r="N1414" i="3"/>
  <c r="O1414" i="3" s="1"/>
  <c r="N1415" i="3"/>
  <c r="O1415" i="3" s="1"/>
  <c r="N1416" i="3"/>
  <c r="O1416" i="3" s="1"/>
  <c r="N1417" i="3"/>
  <c r="O1417" i="3" s="1"/>
  <c r="N1418" i="3"/>
  <c r="O1418" i="3" s="1"/>
  <c r="N1419" i="3"/>
  <c r="O1419" i="3" s="1"/>
  <c r="N1420" i="3"/>
  <c r="O1420" i="3" s="1"/>
  <c r="N1421" i="3"/>
  <c r="O1421" i="3" s="1"/>
  <c r="N1422" i="3"/>
  <c r="O1422" i="3" s="1"/>
  <c r="N1423" i="3"/>
  <c r="O1423" i="3" s="1"/>
  <c r="N1424" i="3"/>
  <c r="O1424" i="3" s="1"/>
  <c r="N1425" i="3"/>
  <c r="O1425" i="3" s="1"/>
  <c r="N1426" i="3"/>
  <c r="O1426" i="3" s="1"/>
  <c r="N1427" i="3"/>
  <c r="O1427" i="3" s="1"/>
  <c r="N1428" i="3"/>
  <c r="O1428" i="3" s="1"/>
  <c r="N1429" i="3"/>
  <c r="O1429" i="3" s="1"/>
  <c r="N1430" i="3"/>
  <c r="O1430" i="3" s="1"/>
  <c r="N1431" i="3"/>
  <c r="O1431" i="3" s="1"/>
  <c r="N1432" i="3"/>
  <c r="O1432" i="3" s="1"/>
  <c r="N1433" i="3"/>
  <c r="O1433" i="3" s="1"/>
  <c r="N1434" i="3"/>
  <c r="O1434" i="3" s="1"/>
  <c r="N1435" i="3"/>
  <c r="O1435" i="3" s="1"/>
  <c r="N1436" i="3"/>
  <c r="O1436" i="3" s="1"/>
  <c r="N1437" i="3"/>
  <c r="O1437" i="3" s="1"/>
  <c r="N1438" i="3"/>
  <c r="O1438" i="3" s="1"/>
  <c r="N1439" i="3"/>
  <c r="O1439" i="3" s="1"/>
  <c r="N1440" i="3"/>
  <c r="O1440" i="3" s="1"/>
  <c r="N1441" i="3"/>
  <c r="O1441" i="3" s="1"/>
  <c r="N1442" i="3"/>
  <c r="O1442" i="3" s="1"/>
  <c r="N1443" i="3"/>
  <c r="O1443" i="3" s="1"/>
  <c r="N1444" i="3"/>
  <c r="O1444" i="3" s="1"/>
  <c r="N1445" i="3"/>
  <c r="O1445" i="3" s="1"/>
  <c r="N1446" i="3"/>
  <c r="O1446" i="3" s="1"/>
  <c r="N1447" i="3"/>
  <c r="O1447" i="3" s="1"/>
  <c r="N1448" i="3"/>
  <c r="O1448" i="3" s="1"/>
  <c r="N1449" i="3"/>
  <c r="O1449" i="3" s="1"/>
  <c r="N1450" i="3"/>
  <c r="O1450" i="3" s="1"/>
  <c r="N1451" i="3"/>
  <c r="O1451" i="3" s="1"/>
  <c r="N1452" i="3"/>
  <c r="O1452" i="3" s="1"/>
  <c r="N1453" i="3"/>
  <c r="O1453" i="3" s="1"/>
  <c r="N1454" i="3"/>
  <c r="O1454" i="3" s="1"/>
  <c r="N1455" i="3"/>
  <c r="O1455" i="3" s="1"/>
  <c r="N1456" i="3"/>
  <c r="O1456" i="3" s="1"/>
  <c r="N1457" i="3"/>
  <c r="O1457" i="3" s="1"/>
  <c r="N1458" i="3"/>
  <c r="O1458" i="3" s="1"/>
  <c r="N1459" i="3"/>
  <c r="O1459" i="3" s="1"/>
  <c r="N1460" i="3"/>
  <c r="O1460" i="3" s="1"/>
  <c r="N1461" i="3"/>
  <c r="O1461" i="3" s="1"/>
  <c r="N1462" i="3"/>
  <c r="O1462" i="3" s="1"/>
  <c r="N1463" i="3"/>
  <c r="O1463" i="3" s="1"/>
  <c r="N1464" i="3"/>
  <c r="O1464" i="3" s="1"/>
  <c r="N1465" i="3"/>
  <c r="O1465" i="3" s="1"/>
  <c r="N1466" i="3"/>
  <c r="O1466" i="3" s="1"/>
  <c r="N1467" i="3"/>
  <c r="O1467" i="3" s="1"/>
  <c r="N1468" i="3"/>
  <c r="O1468" i="3" s="1"/>
  <c r="N1469" i="3"/>
  <c r="O1469" i="3" s="1"/>
  <c r="N1470" i="3"/>
  <c r="O1470" i="3" s="1"/>
  <c r="N1471" i="3"/>
  <c r="O1471" i="3" s="1"/>
  <c r="N1472" i="3"/>
  <c r="O1472" i="3" s="1"/>
  <c r="N1473" i="3"/>
  <c r="O1473" i="3" s="1"/>
  <c r="N1474" i="3"/>
  <c r="O1474" i="3" s="1"/>
  <c r="N1475" i="3"/>
  <c r="O1475" i="3" s="1"/>
  <c r="N1476" i="3"/>
  <c r="O1476" i="3" s="1"/>
  <c r="N1477" i="3"/>
  <c r="O1477" i="3" s="1"/>
  <c r="N1478" i="3"/>
  <c r="O1478" i="3" s="1"/>
  <c r="N1479" i="3"/>
  <c r="O1479" i="3" s="1"/>
  <c r="N1480" i="3"/>
  <c r="O1480" i="3" s="1"/>
  <c r="N1481" i="3"/>
  <c r="O1481" i="3" s="1"/>
  <c r="N1482" i="3"/>
  <c r="O1482" i="3" s="1"/>
  <c r="N1483" i="3"/>
  <c r="O1483" i="3" s="1"/>
  <c r="N1484" i="3"/>
  <c r="O1484" i="3" s="1"/>
  <c r="N1485" i="3"/>
  <c r="O1485" i="3" s="1"/>
  <c r="N1486" i="3"/>
  <c r="O1486" i="3" s="1"/>
  <c r="N1487" i="3"/>
  <c r="O1487" i="3" s="1"/>
  <c r="N1488" i="3"/>
  <c r="O1488" i="3" s="1"/>
  <c r="N1489" i="3"/>
  <c r="O1489" i="3" s="1"/>
  <c r="N1490" i="3"/>
  <c r="O1490" i="3" s="1"/>
  <c r="N1491" i="3"/>
  <c r="O1491" i="3" s="1"/>
  <c r="N1492" i="3"/>
  <c r="O1492" i="3" s="1"/>
  <c r="N1493" i="3"/>
  <c r="O1493" i="3" s="1"/>
  <c r="N1494" i="3"/>
  <c r="O1494" i="3" s="1"/>
  <c r="N1495" i="3"/>
  <c r="O1495" i="3" s="1"/>
  <c r="N1496" i="3"/>
  <c r="O1496" i="3" s="1"/>
  <c r="N1497" i="3"/>
  <c r="O1497" i="3" s="1"/>
  <c r="N1498" i="3"/>
  <c r="O1498" i="3" s="1"/>
  <c r="N1499" i="3"/>
  <c r="O1499" i="3" s="1"/>
  <c r="N1500" i="3"/>
  <c r="O1500" i="3" s="1"/>
  <c r="N1501" i="3"/>
  <c r="O1501" i="3" s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L3" i="3"/>
  <c r="L2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C8" i="4"/>
  <c r="C7" i="4"/>
  <c r="B8" i="4"/>
  <c r="B7" i="4"/>
  <c r="C6" i="4"/>
  <c r="B6" i="4"/>
  <c r="C5" i="4"/>
  <c r="B5" i="4"/>
  <c r="C4" i="4"/>
  <c r="B4" i="4"/>
  <c r="C3" i="4"/>
  <c r="B3" i="4"/>
  <c r="C2" i="4"/>
  <c r="B2" i="4"/>
</calcChain>
</file>

<file path=xl/sharedStrings.xml><?xml version="1.0" encoding="utf-8"?>
<sst xmlns="http://schemas.openxmlformats.org/spreadsheetml/2006/main" count="266" uniqueCount="121">
  <si>
    <t>Age</t>
  </si>
  <si>
    <t>Gender</t>
  </si>
  <si>
    <t>ExperienceYears</t>
  </si>
  <si>
    <t>PreviousCompanies</t>
  </si>
  <si>
    <t>DistanceFromCompany</t>
  </si>
  <si>
    <t>InterviewScore</t>
  </si>
  <si>
    <t>SkillScore</t>
  </si>
  <si>
    <t>PersonalityScore</t>
  </si>
  <si>
    <t>Education Level</t>
  </si>
  <si>
    <t>Experience Years</t>
  </si>
  <si>
    <t>Previous Companies</t>
  </si>
  <si>
    <t>Distance From Company</t>
  </si>
  <si>
    <t>Interview Score</t>
  </si>
  <si>
    <t>Skill Score</t>
  </si>
  <si>
    <t>Personality Score</t>
  </si>
  <si>
    <t>Recruitment Strategy</t>
  </si>
  <si>
    <t>Hiring Decision</t>
  </si>
  <si>
    <t>Column</t>
  </si>
  <si>
    <t>Minimum</t>
  </si>
  <si>
    <t>Maximum</t>
  </si>
  <si>
    <t>Age Group</t>
  </si>
  <si>
    <t>Experience Level</t>
  </si>
  <si>
    <t>Overall Assessment Score</t>
  </si>
  <si>
    <t>1.Gender vs Hiring Decision</t>
  </si>
  <si>
    <t>Row Labels</t>
  </si>
  <si>
    <t>Grand Total</t>
  </si>
  <si>
    <t>Column Labels</t>
  </si>
  <si>
    <t>Count of Hiring Decision</t>
  </si>
  <si>
    <t>2.Education Level vs Hiring Decision</t>
  </si>
  <si>
    <t>3.Experience Level vs Hiring Decision</t>
  </si>
  <si>
    <t>Entry Level</t>
  </si>
  <si>
    <t>Mid Level</t>
  </si>
  <si>
    <t>Senior Level</t>
  </si>
  <si>
    <t>4.Age Group vs Hiring Decision.</t>
  </si>
  <si>
    <t>20-25</t>
  </si>
  <si>
    <t>26-30</t>
  </si>
  <si>
    <t>31-35</t>
  </si>
  <si>
    <t>36-40</t>
  </si>
  <si>
    <t>41-45</t>
  </si>
  <si>
    <t>46-50</t>
  </si>
  <si>
    <t>5.Recruitment Strategy vs Hiring Decision</t>
  </si>
  <si>
    <t>6.Hiring Decision vs Candidate Assessment Scores</t>
  </si>
  <si>
    <t>Average of Interview Score</t>
  </si>
  <si>
    <t>Average of Skill Score</t>
  </si>
  <si>
    <t>Average of Personality Score</t>
  </si>
  <si>
    <t>Average of Overall Assessment Score</t>
  </si>
  <si>
    <t>Candidates with a positive hiring decision had higher average interview, skill, personality, and overall assessment scores.</t>
  </si>
  <si>
    <t>7.Assessment Scores by Gender</t>
  </si>
  <si>
    <t>9.Education Level vs Assessment Scores</t>
  </si>
  <si>
    <t>10.Experience Level vs Assessment Scores</t>
  </si>
  <si>
    <t>8.Age Group vs Assessment Scores</t>
  </si>
  <si>
    <t>Assessment Score Band</t>
  </si>
  <si>
    <t>11.Assessment Score Band vs Hiring Decision.</t>
  </si>
  <si>
    <t>0-49</t>
  </si>
  <si>
    <t>50-59</t>
  </si>
  <si>
    <t>60-69</t>
  </si>
  <si>
    <t>70-79</t>
  </si>
  <si>
    <t>80-89</t>
  </si>
  <si>
    <t>90-100</t>
  </si>
  <si>
    <t>12. Gender-Based Hiring Outcomes &amp; Assessment Scores</t>
  </si>
  <si>
    <t>13. Recruitment Strategy vs Assessment Scores</t>
  </si>
  <si>
    <t>Distance Band</t>
  </si>
  <si>
    <t>14.Distance Band vs Hiring Decision</t>
  </si>
  <si>
    <t>0-10</t>
  </si>
  <si>
    <t>10-20</t>
  </si>
  <si>
    <t>20-30</t>
  </si>
  <si>
    <t>30-40</t>
  </si>
  <si>
    <t>40-50</t>
  </si>
  <si>
    <t>50+</t>
  </si>
  <si>
    <t>Fairness Metric</t>
  </si>
  <si>
    <t>Result</t>
  </si>
  <si>
    <t>Gender 0 Selection Rate</t>
  </si>
  <si>
    <t>Gender 1 Selection Rate</t>
  </si>
  <si>
    <t>Selection Rate Difference</t>
  </si>
  <si>
    <t>Disparate Impact Ratio</t>
  </si>
  <si>
    <t>15.Gender Hiring Fairness Analysis</t>
  </si>
  <si>
    <t>16. Education Level Hiring Fairness Analysis</t>
  </si>
  <si>
    <t>Education Level 1 Selection Rate</t>
  </si>
  <si>
    <t>Education Level 2 Selection Rate</t>
  </si>
  <si>
    <t>Education Level 3 Selection Rate</t>
  </si>
  <si>
    <t>Education Level 4 Selection Rate</t>
  </si>
  <si>
    <t>33.82 percentage points</t>
  </si>
  <si>
    <t>Disparate Impact Ratio (Level 1 vs Level 4)</t>
  </si>
  <si>
    <t>Selection Rate Difference(Level 1 vs Level 4)</t>
  </si>
  <si>
    <t>17. Age Group Hiring Fairness Analysis</t>
  </si>
  <si>
    <t>Age 20–25 Selection Rate</t>
  </si>
  <si>
    <t>Age 26–30 Selection Rate</t>
  </si>
  <si>
    <t>Age 31–35 Selection Rate</t>
  </si>
  <si>
    <t>Age 36–40 Selection Rate</t>
  </si>
  <si>
    <t>Age 41–45 Selection Rate</t>
  </si>
  <si>
    <t>Age 46–50 Selection Rate</t>
  </si>
  <si>
    <t>Selection Rate Difference (36–40 vs 26–30)</t>
  </si>
  <si>
    <t>9.81 percentage points</t>
  </si>
  <si>
    <t>Disparate Impact Ratio (36–40 vs 26–30)</t>
  </si>
  <si>
    <t>18. Experience Level Hiring Fairness Analysis</t>
  </si>
  <si>
    <t>Entry Level Selection Rate</t>
  </si>
  <si>
    <t>Mid Level Selection Rate</t>
  </si>
  <si>
    <t>Senior Level Selection Rate</t>
  </si>
  <si>
    <t>Selection Rate Difference (Entry vs Senior)</t>
  </si>
  <si>
    <t>16.96 percentage points</t>
  </si>
  <si>
    <t>Disparate Impact Ratio (Entry vs Senior)</t>
  </si>
  <si>
    <t>19. Distance-Based Hiring Fairness Analysis</t>
  </si>
  <si>
    <t>0–10 Distance Selection Rate</t>
  </si>
  <si>
    <t>10–20 Distance Selection Rate</t>
  </si>
  <si>
    <t>20–30 Distance Selection Rate</t>
  </si>
  <si>
    <t>30–40 Distance Selection Rate</t>
  </si>
  <si>
    <t>40–50 Distance Selection Rate</t>
  </si>
  <si>
    <t>50+ Distance Selection Rate</t>
  </si>
  <si>
    <t>Selection Rate Difference (40–50 vs 50+)</t>
  </si>
  <si>
    <t>7.99 percentage points</t>
  </si>
  <si>
    <t>Disparate Impact Ratio (40–50 vs 50+)</t>
  </si>
  <si>
    <t>AI Hiring Fairness Summary</t>
  </si>
  <si>
    <t>Fairness Dimension</t>
  </si>
  <si>
    <t>Lowest Selection Rate</t>
  </si>
  <si>
    <t>Highest Selection Rate</t>
  </si>
  <si>
    <t>Initial Finding</t>
  </si>
  <si>
    <t>Very similar selection rates</t>
  </si>
  <si>
    <t>Largest disparity</t>
  </si>
  <si>
    <t>Moderate variation</t>
  </si>
  <si>
    <t>Substantial variation</t>
  </si>
  <si>
    <t>0.21 percentage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</si>
</sst>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0" xfId="0" applyBorder="1" applyAlignment="1">
      <alignment vertical="center"/>
    </xf>
    <xf numFmtId="2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/>
    <xf numFmtId="0" fontId="18" fillId="0" borderId="0" xfId="0" applyFont="1"/>
    <xf numFmtId="0" fontId="0" fillId="0" borderId="0" xfId="0" pivotButton="1"/>
    <xf numFmtId="1" fontId="0" fillId="0" borderId="0" xfId="0" applyNumberFormat="1" applyAlignment="1">
      <alignment horizontal="left"/>
    </xf>
    <xf numFmtId="10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6" fillId="0" borderId="0" xfId="0" applyFont="1"/>
    <xf numFmtId="0" fontId="19" fillId="0" borderId="0" xfId="0" applyFont="1"/>
    <xf numFmtId="0" fontId="18" fillId="0" borderId="0" xfId="0" applyFont="1" applyAlignment="1">
      <alignment vertical="center"/>
    </xf>
    <xf numFmtId="0" fontId="0" fillId="0" borderId="10" xfId="0" applyBorder="1"/>
    <xf numFmtId="10" fontId="0" fillId="0" borderId="10" xfId="0" applyNumberFormat="1" applyBorder="1"/>
    <xf numFmtId="0" fontId="21" fillId="0" borderId="0" xfId="0" applyFont="1" applyAlignment="1">
      <alignment horizontal="left" vertical="top" wrapText="1"/>
    </xf>
    <xf numFmtId="0" fontId="20" fillId="0" borderId="0" xfId="0" applyFont="1"/>
    <xf numFmtId="0" fontId="16" fillId="0" borderId="10" xfId="0" applyFont="1" applyBorder="1" applyAlignment="1">
      <alignment vertical="center" wrapText="1"/>
    </xf>
    <xf numFmtId="10" fontId="0" fillId="0" borderId="10" xfId="0" applyNumberFormat="1" applyBorder="1" applyAlignment="1">
      <alignment vertical="center" wrapText="1"/>
    </xf>
    <xf numFmtId="10" fontId="0" fillId="0" borderId="10" xfId="0" applyNumberFormat="1" applyBorder="1" applyAlignment="1">
      <alignment horizontal="right" vertical="center" wrapText="1"/>
    </xf>
    <xf numFmtId="164" fontId="0" fillId="0" borderId="10" xfId="0" applyNumberFormat="1" applyBorder="1" applyAlignment="1">
      <alignment horizontal="right" vertic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8" fillId="0" borderId="0" xfId="0" applyFont="1" applyAlignment="1">
      <alignment horizontal="left" vertical="top"/>
    </xf>
    <xf numFmtId="0" fontId="0" fillId="0" borderId="0" xfId="0" pivotButton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10" fontId="0" fillId="0" borderId="0" xfId="0" applyNumberFormat="1" applyAlignment="1">
      <alignment horizontal="left" vertical="top"/>
    </xf>
    <xf numFmtId="0" fontId="16" fillId="0" borderId="0" xfId="0" applyFont="1" applyAlignment="1">
      <alignment horizontal="left" vertical="top"/>
    </xf>
    <xf numFmtId="10" fontId="16" fillId="0" borderId="10" xfId="0" applyNumberFormat="1" applyFont="1" applyBorder="1" applyAlignment="1">
      <alignment horizontal="left" vertical="top"/>
    </xf>
    <xf numFmtId="164" fontId="16" fillId="0" borderId="10" xfId="0" applyNumberFormat="1" applyFont="1" applyBorder="1" applyAlignment="1">
      <alignment horizontal="left" vertical="top"/>
    </xf>
    <xf numFmtId="0" fontId="20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3"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ku" refreshedDate="46246.036933333336" createdVersion="8" refreshedVersion="8" minRefreshableVersion="3" recordCount="1500" xr:uid="{392972DC-BE00-4271-8CA5-CCE53CA9A694}">
  <cacheSource type="worksheet">
    <worksheetSource name="Table1"/>
  </cacheSource>
  <cacheFields count="16">
    <cacheField name="Age" numFmtId="0">
      <sharedItems containsSemiMixedTypes="0" containsString="0" containsNumber="1" containsInteger="1" minValue="20" maxValue="50"/>
    </cacheField>
    <cacheField name="Gender" numFmtId="1">
      <sharedItems containsSemiMixedTypes="0" containsString="0" containsNumber="1" containsInteger="1" minValue="0" maxValue="1" count="2">
        <n v="1"/>
        <n v="0"/>
      </sharedItems>
    </cacheField>
    <cacheField name="Education Level" numFmtId="1">
      <sharedItems containsSemiMixedTypes="0" containsString="0" containsNumber="1" containsInteger="1" minValue="1" maxValue="4" count="4">
        <n v="2"/>
        <n v="4"/>
        <n v="1"/>
        <n v="3"/>
      </sharedItems>
    </cacheField>
    <cacheField name="Experience Years" numFmtId="1">
      <sharedItems containsSemiMixedTypes="0" containsString="0" containsNumber="1" containsInteger="1" minValue="0" maxValue="15"/>
    </cacheField>
    <cacheField name="Previous Companies" numFmtId="1">
      <sharedItems containsSemiMixedTypes="0" containsString="0" containsNumber="1" containsInteger="1" minValue="1" maxValue="5"/>
    </cacheField>
    <cacheField name="Distance From Company" numFmtId="2">
      <sharedItems containsSemiMixedTypes="0" containsString="0" containsNumber="1" minValue="1.0313758310000001" maxValue="50.99246222"/>
    </cacheField>
    <cacheField name="Interview Score" numFmtId="1">
      <sharedItems containsSemiMixedTypes="0" containsString="0" containsNumber="1" containsInteger="1" minValue="0" maxValue="100"/>
    </cacheField>
    <cacheField name="Skill Score" numFmtId="1">
      <sharedItems containsSemiMixedTypes="0" containsString="0" containsNumber="1" containsInteger="1" minValue="0" maxValue="100"/>
    </cacheField>
    <cacheField name="Personality Score" numFmtId="1">
      <sharedItems containsSemiMixedTypes="0" containsString="0" containsNumber="1" containsInteger="1" minValue="0" maxValue="100"/>
    </cacheField>
    <cacheField name="Recruitment Strategy" numFmtId="1">
      <sharedItems containsSemiMixedTypes="0" containsString="0" containsNumber="1" containsInteger="1" minValue="1" maxValue="3" count="3">
        <n v="1"/>
        <n v="2"/>
        <n v="3"/>
      </sharedItems>
    </cacheField>
    <cacheField name="Hiring Decision" numFmtId="1">
      <sharedItems containsSemiMixedTypes="0" containsString="0" containsNumber="1" containsInteger="1" minValue="0" maxValue="1" count="2">
        <n v="1"/>
        <n v="0"/>
      </sharedItems>
    </cacheField>
    <cacheField name="Age Group" numFmtId="1">
      <sharedItems count="6">
        <s v="26-30"/>
        <s v="36-40"/>
        <s v="46-50"/>
        <s v="31-35"/>
        <s v="41-45"/>
        <s v="20-25"/>
      </sharedItems>
    </cacheField>
    <cacheField name="Experience Level" numFmtId="0">
      <sharedItems count="3">
        <s v="Entry Level"/>
        <s v="Senior Level"/>
        <s v="Mid Level"/>
      </sharedItems>
    </cacheField>
    <cacheField name="Overall Assessment Score" numFmtId="2">
      <sharedItems containsSemiMixedTypes="0" containsString="0" containsNumber="1" minValue="2" maxValue="91.666666666666671"/>
    </cacheField>
    <cacheField name="Assessment Score Band" numFmtId="1">
      <sharedItems count="6">
        <s v="70-79"/>
        <s v="60-69"/>
        <s v="0-49"/>
        <s v="50-59"/>
        <s v="80-89"/>
        <s v="90-100"/>
      </sharedItems>
    </cacheField>
    <cacheField name="Distance Band" numFmtId="1">
      <sharedItems count="6">
        <s v="20-30"/>
        <s v="0-10"/>
        <s v="40-50"/>
        <s v="30-40"/>
        <s v="10-20"/>
        <s v="5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26"/>
    <x v="0"/>
    <x v="0"/>
    <n v="0"/>
    <n v="3"/>
    <n v="26.783827550000002"/>
    <n v="48"/>
    <n v="78"/>
    <n v="91"/>
    <x v="0"/>
    <x v="0"/>
    <x v="0"/>
    <x v="0"/>
    <n v="72.333333333333329"/>
    <x v="0"/>
    <x v="0"/>
  </r>
  <r>
    <n v="39"/>
    <x v="0"/>
    <x v="1"/>
    <n v="12"/>
    <n v="3"/>
    <n v="25.86269433"/>
    <n v="35"/>
    <n v="68"/>
    <n v="80"/>
    <x v="1"/>
    <x v="0"/>
    <x v="1"/>
    <x v="1"/>
    <n v="61"/>
    <x v="1"/>
    <x v="0"/>
  </r>
  <r>
    <n v="48"/>
    <x v="1"/>
    <x v="0"/>
    <n v="3"/>
    <n v="2"/>
    <n v="9.9208048279999996"/>
    <n v="20"/>
    <n v="67"/>
    <n v="13"/>
    <x v="1"/>
    <x v="1"/>
    <x v="2"/>
    <x v="2"/>
    <n v="33.333333333333336"/>
    <x v="2"/>
    <x v="1"/>
  </r>
  <r>
    <n v="34"/>
    <x v="0"/>
    <x v="0"/>
    <n v="5"/>
    <n v="2"/>
    <n v="6.407750729"/>
    <n v="36"/>
    <n v="27"/>
    <n v="70"/>
    <x v="2"/>
    <x v="1"/>
    <x v="3"/>
    <x v="2"/>
    <n v="44.333333333333336"/>
    <x v="2"/>
    <x v="1"/>
  </r>
  <r>
    <n v="30"/>
    <x v="1"/>
    <x v="2"/>
    <n v="6"/>
    <n v="1"/>
    <n v="43.105343120000001"/>
    <n v="23"/>
    <n v="52"/>
    <n v="85"/>
    <x v="1"/>
    <x v="1"/>
    <x v="0"/>
    <x v="2"/>
    <n v="53.333333333333336"/>
    <x v="3"/>
    <x v="2"/>
  </r>
  <r>
    <n v="27"/>
    <x v="1"/>
    <x v="3"/>
    <n v="14"/>
    <n v="4"/>
    <n v="31.70665881"/>
    <n v="54"/>
    <n v="50"/>
    <n v="50"/>
    <x v="0"/>
    <x v="0"/>
    <x v="0"/>
    <x v="1"/>
    <n v="51.333333333333336"/>
    <x v="3"/>
    <x v="3"/>
  </r>
  <r>
    <n v="48"/>
    <x v="1"/>
    <x v="0"/>
    <n v="6"/>
    <n v="1"/>
    <n v="17.2912292"/>
    <n v="24"/>
    <n v="52"/>
    <n v="64"/>
    <x v="2"/>
    <x v="1"/>
    <x v="2"/>
    <x v="2"/>
    <n v="46.666666666666664"/>
    <x v="2"/>
    <x v="4"/>
  </r>
  <r>
    <n v="40"/>
    <x v="1"/>
    <x v="1"/>
    <n v="13"/>
    <n v="3"/>
    <n v="10.586810870000001"/>
    <n v="6"/>
    <n v="3"/>
    <n v="92"/>
    <x v="2"/>
    <x v="1"/>
    <x v="1"/>
    <x v="1"/>
    <n v="33.666666666666664"/>
    <x v="2"/>
    <x v="4"/>
  </r>
  <r>
    <n v="26"/>
    <x v="0"/>
    <x v="3"/>
    <n v="6"/>
    <n v="5"/>
    <n v="28.774864010000002"/>
    <n v="80"/>
    <n v="78"/>
    <n v="51"/>
    <x v="0"/>
    <x v="0"/>
    <x v="0"/>
    <x v="2"/>
    <n v="69.666666666666671"/>
    <x v="1"/>
    <x v="0"/>
  </r>
  <r>
    <n v="45"/>
    <x v="0"/>
    <x v="0"/>
    <n v="2"/>
    <n v="5"/>
    <n v="30.195964459999999"/>
    <n v="92"/>
    <n v="16"/>
    <n v="94"/>
    <x v="2"/>
    <x v="1"/>
    <x v="4"/>
    <x v="0"/>
    <n v="67.333333333333329"/>
    <x v="1"/>
    <x v="3"/>
  </r>
  <r>
    <n v="38"/>
    <x v="0"/>
    <x v="2"/>
    <n v="15"/>
    <n v="2"/>
    <n v="11.349680060000001"/>
    <n v="93"/>
    <n v="66"/>
    <n v="29"/>
    <x v="1"/>
    <x v="1"/>
    <x v="1"/>
    <x v="1"/>
    <n v="62.666666666666664"/>
    <x v="1"/>
    <x v="4"/>
  </r>
  <r>
    <n v="42"/>
    <x v="1"/>
    <x v="3"/>
    <n v="5"/>
    <n v="5"/>
    <n v="43.570287389999997"/>
    <n v="70"/>
    <n v="73"/>
    <n v="56"/>
    <x v="1"/>
    <x v="1"/>
    <x v="4"/>
    <x v="2"/>
    <n v="66.333333333333329"/>
    <x v="1"/>
    <x v="2"/>
  </r>
  <r>
    <n v="30"/>
    <x v="1"/>
    <x v="3"/>
    <n v="12"/>
    <n v="5"/>
    <n v="5.2132183080000001"/>
    <n v="96"/>
    <n v="46"/>
    <n v="78"/>
    <x v="2"/>
    <x v="0"/>
    <x v="0"/>
    <x v="1"/>
    <n v="73.333333333333329"/>
    <x v="0"/>
    <x v="1"/>
  </r>
  <r>
    <n v="30"/>
    <x v="1"/>
    <x v="2"/>
    <n v="7"/>
    <n v="5"/>
    <n v="18.80465426"/>
    <n v="70"/>
    <n v="55"/>
    <n v="81"/>
    <x v="1"/>
    <x v="1"/>
    <x v="0"/>
    <x v="2"/>
    <n v="68.666666666666671"/>
    <x v="1"/>
    <x v="4"/>
  </r>
  <r>
    <n v="43"/>
    <x v="0"/>
    <x v="0"/>
    <n v="3"/>
    <n v="3"/>
    <n v="35.019220689999997"/>
    <n v="23"/>
    <n v="22"/>
    <n v="98"/>
    <x v="0"/>
    <x v="1"/>
    <x v="4"/>
    <x v="2"/>
    <n v="47.666666666666664"/>
    <x v="2"/>
    <x v="3"/>
  </r>
  <r>
    <n v="40"/>
    <x v="1"/>
    <x v="3"/>
    <n v="12"/>
    <n v="5"/>
    <n v="14.70601819"/>
    <n v="10"/>
    <n v="17"/>
    <n v="29"/>
    <x v="1"/>
    <x v="1"/>
    <x v="1"/>
    <x v="1"/>
    <n v="18.666666666666668"/>
    <x v="2"/>
    <x v="4"/>
  </r>
  <r>
    <n v="23"/>
    <x v="0"/>
    <x v="2"/>
    <n v="7"/>
    <n v="5"/>
    <n v="42.383759740000002"/>
    <n v="72"/>
    <n v="0"/>
    <n v="97"/>
    <x v="1"/>
    <x v="1"/>
    <x v="5"/>
    <x v="2"/>
    <n v="56.333333333333336"/>
    <x v="3"/>
    <x v="2"/>
  </r>
  <r>
    <n v="27"/>
    <x v="0"/>
    <x v="1"/>
    <n v="1"/>
    <n v="5"/>
    <n v="37.993391330000001"/>
    <n v="11"/>
    <n v="34"/>
    <n v="41"/>
    <x v="0"/>
    <x v="1"/>
    <x v="0"/>
    <x v="0"/>
    <n v="28.666666666666668"/>
    <x v="2"/>
    <x v="3"/>
  </r>
  <r>
    <n v="43"/>
    <x v="0"/>
    <x v="0"/>
    <n v="14"/>
    <n v="1"/>
    <n v="40.451142230000002"/>
    <n v="34"/>
    <n v="63"/>
    <n v="10"/>
    <x v="1"/>
    <x v="1"/>
    <x v="4"/>
    <x v="1"/>
    <n v="35.666666666666664"/>
    <x v="2"/>
    <x v="2"/>
  </r>
  <r>
    <n v="22"/>
    <x v="0"/>
    <x v="2"/>
    <n v="9"/>
    <n v="3"/>
    <n v="6.9553267940000003"/>
    <n v="62"/>
    <n v="57"/>
    <n v="26"/>
    <x v="1"/>
    <x v="1"/>
    <x v="5"/>
    <x v="1"/>
    <n v="48.333333333333336"/>
    <x v="2"/>
    <x v="1"/>
  </r>
  <r>
    <n v="41"/>
    <x v="0"/>
    <x v="3"/>
    <n v="8"/>
    <n v="2"/>
    <n v="8.0273564000000004"/>
    <n v="67"/>
    <n v="94"/>
    <n v="23"/>
    <x v="1"/>
    <x v="1"/>
    <x v="4"/>
    <x v="1"/>
    <n v="61.333333333333336"/>
    <x v="1"/>
    <x v="1"/>
  </r>
  <r>
    <n v="40"/>
    <x v="0"/>
    <x v="0"/>
    <n v="8"/>
    <n v="1"/>
    <n v="15.323686889999999"/>
    <n v="99"/>
    <n v="58"/>
    <n v="98"/>
    <x v="1"/>
    <x v="0"/>
    <x v="1"/>
    <x v="1"/>
    <n v="85"/>
    <x v="4"/>
    <x v="4"/>
  </r>
  <r>
    <n v="21"/>
    <x v="1"/>
    <x v="0"/>
    <n v="7"/>
    <n v="4"/>
    <n v="26.90385826"/>
    <n v="91"/>
    <n v="0"/>
    <n v="38"/>
    <x v="2"/>
    <x v="1"/>
    <x v="5"/>
    <x v="2"/>
    <n v="43"/>
    <x v="2"/>
    <x v="0"/>
  </r>
  <r>
    <n v="43"/>
    <x v="1"/>
    <x v="2"/>
    <n v="9"/>
    <n v="3"/>
    <n v="38.400803830000001"/>
    <n v="56"/>
    <n v="2"/>
    <n v="71"/>
    <x v="1"/>
    <x v="1"/>
    <x v="4"/>
    <x v="1"/>
    <n v="43"/>
    <x v="2"/>
    <x v="3"/>
  </r>
  <r>
    <n v="31"/>
    <x v="0"/>
    <x v="2"/>
    <n v="13"/>
    <n v="3"/>
    <n v="42.82654454"/>
    <n v="12"/>
    <n v="66"/>
    <n v="17"/>
    <x v="1"/>
    <x v="1"/>
    <x v="3"/>
    <x v="1"/>
    <n v="31.666666666666668"/>
    <x v="2"/>
    <x v="2"/>
  </r>
  <r>
    <n v="49"/>
    <x v="0"/>
    <x v="0"/>
    <n v="12"/>
    <n v="4"/>
    <n v="36.216765799999997"/>
    <n v="22"/>
    <n v="36"/>
    <n v="76"/>
    <x v="0"/>
    <x v="0"/>
    <x v="2"/>
    <x v="1"/>
    <n v="44.666666666666664"/>
    <x v="2"/>
    <x v="3"/>
  </r>
  <r>
    <n v="25"/>
    <x v="1"/>
    <x v="0"/>
    <n v="9"/>
    <n v="4"/>
    <n v="47.429844080000002"/>
    <n v="82"/>
    <n v="82"/>
    <n v="44"/>
    <x v="1"/>
    <x v="1"/>
    <x v="5"/>
    <x v="1"/>
    <n v="69.333333333333329"/>
    <x v="1"/>
    <x v="2"/>
  </r>
  <r>
    <n v="21"/>
    <x v="0"/>
    <x v="0"/>
    <n v="0"/>
    <n v="4"/>
    <n v="37.937175480000001"/>
    <n v="100"/>
    <n v="28"/>
    <n v="87"/>
    <x v="2"/>
    <x v="1"/>
    <x v="5"/>
    <x v="0"/>
    <n v="71.666666666666671"/>
    <x v="0"/>
    <x v="3"/>
  </r>
  <r>
    <n v="47"/>
    <x v="0"/>
    <x v="3"/>
    <n v="1"/>
    <n v="2"/>
    <n v="16.313394349999999"/>
    <n v="38"/>
    <n v="88"/>
    <n v="86"/>
    <x v="1"/>
    <x v="1"/>
    <x v="2"/>
    <x v="0"/>
    <n v="70.666666666666671"/>
    <x v="0"/>
    <x v="4"/>
  </r>
  <r>
    <n v="40"/>
    <x v="1"/>
    <x v="0"/>
    <n v="5"/>
    <n v="5"/>
    <n v="14.25406422"/>
    <n v="87"/>
    <n v="32"/>
    <n v="11"/>
    <x v="1"/>
    <x v="1"/>
    <x v="1"/>
    <x v="2"/>
    <n v="43.333333333333336"/>
    <x v="2"/>
    <x v="4"/>
  </r>
  <r>
    <n v="20"/>
    <x v="0"/>
    <x v="2"/>
    <n v="9"/>
    <n v="3"/>
    <n v="35.809622519999998"/>
    <n v="79"/>
    <n v="99"/>
    <n v="48"/>
    <x v="1"/>
    <x v="1"/>
    <x v="5"/>
    <x v="1"/>
    <n v="75.333333333333329"/>
    <x v="0"/>
    <x v="3"/>
  </r>
  <r>
    <n v="31"/>
    <x v="0"/>
    <x v="0"/>
    <n v="4"/>
    <n v="5"/>
    <n v="10.64352843"/>
    <n v="96"/>
    <n v="60"/>
    <n v="93"/>
    <x v="1"/>
    <x v="1"/>
    <x v="3"/>
    <x v="2"/>
    <n v="83"/>
    <x v="4"/>
    <x v="4"/>
  </r>
  <r>
    <n v="45"/>
    <x v="0"/>
    <x v="1"/>
    <n v="11"/>
    <n v="5"/>
    <n v="5.6357405409999997"/>
    <n v="11"/>
    <n v="92"/>
    <n v="30"/>
    <x v="0"/>
    <x v="0"/>
    <x v="4"/>
    <x v="1"/>
    <n v="44.333333333333336"/>
    <x v="2"/>
    <x v="1"/>
  </r>
  <r>
    <n v="41"/>
    <x v="1"/>
    <x v="3"/>
    <n v="13"/>
    <n v="4"/>
    <n v="27.611143739999999"/>
    <n v="33"/>
    <n v="89"/>
    <n v="91"/>
    <x v="2"/>
    <x v="0"/>
    <x v="4"/>
    <x v="1"/>
    <n v="71"/>
    <x v="0"/>
    <x v="0"/>
  </r>
  <r>
    <n v="48"/>
    <x v="1"/>
    <x v="0"/>
    <n v="8"/>
    <n v="2"/>
    <n v="42.082078490000001"/>
    <n v="70"/>
    <n v="3"/>
    <n v="21"/>
    <x v="0"/>
    <x v="1"/>
    <x v="2"/>
    <x v="1"/>
    <n v="31.333333333333332"/>
    <x v="2"/>
    <x v="2"/>
  </r>
  <r>
    <n v="31"/>
    <x v="1"/>
    <x v="0"/>
    <n v="4"/>
    <n v="1"/>
    <n v="6.0689921230000001"/>
    <n v="74"/>
    <n v="13"/>
    <n v="43"/>
    <x v="1"/>
    <x v="1"/>
    <x v="3"/>
    <x v="2"/>
    <n v="43.333333333333336"/>
    <x v="2"/>
    <x v="1"/>
  </r>
  <r>
    <n v="44"/>
    <x v="0"/>
    <x v="0"/>
    <n v="1"/>
    <n v="2"/>
    <n v="40.594566190000002"/>
    <n v="30"/>
    <n v="90"/>
    <n v="91"/>
    <x v="1"/>
    <x v="1"/>
    <x v="4"/>
    <x v="0"/>
    <n v="70.333333333333329"/>
    <x v="0"/>
    <x v="2"/>
  </r>
  <r>
    <n v="36"/>
    <x v="0"/>
    <x v="3"/>
    <n v="9"/>
    <n v="5"/>
    <n v="41.578600219999998"/>
    <n v="92"/>
    <n v="32"/>
    <n v="63"/>
    <x v="1"/>
    <x v="0"/>
    <x v="1"/>
    <x v="1"/>
    <n v="62.333333333333336"/>
    <x v="1"/>
    <x v="2"/>
  </r>
  <r>
    <n v="46"/>
    <x v="1"/>
    <x v="3"/>
    <n v="3"/>
    <n v="2"/>
    <n v="25.113700000000001"/>
    <n v="61"/>
    <n v="21"/>
    <n v="76"/>
    <x v="0"/>
    <x v="0"/>
    <x v="2"/>
    <x v="2"/>
    <n v="52.666666666666664"/>
    <x v="3"/>
    <x v="0"/>
  </r>
  <r>
    <n v="46"/>
    <x v="0"/>
    <x v="0"/>
    <n v="8"/>
    <n v="4"/>
    <n v="3.865515501"/>
    <n v="12"/>
    <n v="47"/>
    <n v="24"/>
    <x v="1"/>
    <x v="1"/>
    <x v="2"/>
    <x v="1"/>
    <n v="27.666666666666668"/>
    <x v="2"/>
    <x v="1"/>
  </r>
  <r>
    <n v="50"/>
    <x v="0"/>
    <x v="3"/>
    <n v="0"/>
    <n v="1"/>
    <n v="9.7294925620000008"/>
    <n v="30"/>
    <n v="2"/>
    <n v="50"/>
    <x v="0"/>
    <x v="1"/>
    <x v="2"/>
    <x v="0"/>
    <n v="27.333333333333332"/>
    <x v="2"/>
    <x v="1"/>
  </r>
  <r>
    <n v="29"/>
    <x v="0"/>
    <x v="3"/>
    <n v="10"/>
    <n v="4"/>
    <n v="36.37131376"/>
    <n v="1"/>
    <n v="86"/>
    <n v="6"/>
    <x v="0"/>
    <x v="0"/>
    <x v="0"/>
    <x v="1"/>
    <n v="31"/>
    <x v="2"/>
    <x v="3"/>
  </r>
  <r>
    <n v="47"/>
    <x v="0"/>
    <x v="2"/>
    <n v="0"/>
    <n v="1"/>
    <n v="36.588897250000002"/>
    <n v="14"/>
    <n v="84"/>
    <n v="5"/>
    <x v="1"/>
    <x v="1"/>
    <x v="2"/>
    <x v="0"/>
    <n v="34.333333333333336"/>
    <x v="2"/>
    <x v="3"/>
  </r>
  <r>
    <n v="47"/>
    <x v="0"/>
    <x v="0"/>
    <n v="11"/>
    <n v="5"/>
    <n v="45.91776376"/>
    <n v="56"/>
    <n v="22"/>
    <n v="23"/>
    <x v="1"/>
    <x v="1"/>
    <x v="2"/>
    <x v="1"/>
    <n v="33.666666666666664"/>
    <x v="2"/>
    <x v="2"/>
  </r>
  <r>
    <n v="35"/>
    <x v="1"/>
    <x v="2"/>
    <n v="6"/>
    <n v="1"/>
    <n v="30.134307329999999"/>
    <n v="74"/>
    <n v="67"/>
    <n v="18"/>
    <x v="0"/>
    <x v="0"/>
    <x v="3"/>
    <x v="2"/>
    <n v="53"/>
    <x v="3"/>
    <x v="3"/>
  </r>
  <r>
    <n v="34"/>
    <x v="0"/>
    <x v="0"/>
    <n v="10"/>
    <n v="1"/>
    <n v="7.205368386"/>
    <n v="33"/>
    <n v="20"/>
    <n v="82"/>
    <x v="0"/>
    <x v="0"/>
    <x v="3"/>
    <x v="1"/>
    <n v="45"/>
    <x v="2"/>
    <x v="1"/>
  </r>
  <r>
    <n v="49"/>
    <x v="1"/>
    <x v="3"/>
    <n v="2"/>
    <n v="1"/>
    <n v="7.0707452750000002"/>
    <n v="67"/>
    <n v="100"/>
    <n v="99"/>
    <x v="2"/>
    <x v="1"/>
    <x v="2"/>
    <x v="0"/>
    <n v="88.666666666666671"/>
    <x v="4"/>
    <x v="1"/>
  </r>
  <r>
    <n v="49"/>
    <x v="0"/>
    <x v="0"/>
    <n v="9"/>
    <n v="2"/>
    <n v="37.056617869999997"/>
    <n v="74"/>
    <n v="42"/>
    <n v="8"/>
    <x v="2"/>
    <x v="1"/>
    <x v="2"/>
    <x v="1"/>
    <n v="41.333333333333336"/>
    <x v="2"/>
    <x v="3"/>
  </r>
  <r>
    <n v="34"/>
    <x v="1"/>
    <x v="0"/>
    <n v="1"/>
    <n v="2"/>
    <n v="10.18923326"/>
    <n v="28"/>
    <n v="94"/>
    <n v="35"/>
    <x v="0"/>
    <x v="1"/>
    <x v="3"/>
    <x v="0"/>
    <n v="52.333333333333336"/>
    <x v="3"/>
    <x v="4"/>
  </r>
  <r>
    <n v="49"/>
    <x v="0"/>
    <x v="2"/>
    <n v="8"/>
    <n v="5"/>
    <n v="17.419274980000001"/>
    <n v="65"/>
    <n v="84"/>
    <n v="39"/>
    <x v="1"/>
    <x v="1"/>
    <x v="2"/>
    <x v="1"/>
    <n v="62.666666666666664"/>
    <x v="1"/>
    <x v="4"/>
  </r>
  <r>
    <n v="38"/>
    <x v="1"/>
    <x v="0"/>
    <n v="2"/>
    <n v="1"/>
    <n v="25.360600349999999"/>
    <n v="15"/>
    <n v="25"/>
    <n v="92"/>
    <x v="1"/>
    <x v="1"/>
    <x v="1"/>
    <x v="0"/>
    <n v="44"/>
    <x v="2"/>
    <x v="0"/>
  </r>
  <r>
    <n v="31"/>
    <x v="0"/>
    <x v="0"/>
    <n v="15"/>
    <n v="3"/>
    <n v="2.2382438790000001"/>
    <n v="38"/>
    <n v="40"/>
    <n v="23"/>
    <x v="1"/>
    <x v="1"/>
    <x v="3"/>
    <x v="1"/>
    <n v="33.666666666666664"/>
    <x v="2"/>
    <x v="1"/>
  </r>
  <r>
    <n v="42"/>
    <x v="1"/>
    <x v="0"/>
    <n v="1"/>
    <n v="5"/>
    <n v="13.440951350000001"/>
    <n v="76"/>
    <n v="98"/>
    <n v="47"/>
    <x v="2"/>
    <x v="1"/>
    <x v="4"/>
    <x v="0"/>
    <n v="73.666666666666671"/>
    <x v="0"/>
    <x v="4"/>
  </r>
  <r>
    <n v="39"/>
    <x v="0"/>
    <x v="0"/>
    <n v="11"/>
    <n v="1"/>
    <n v="21.394480430000002"/>
    <n v="36"/>
    <n v="37"/>
    <n v="62"/>
    <x v="0"/>
    <x v="0"/>
    <x v="1"/>
    <x v="1"/>
    <n v="45"/>
    <x v="2"/>
    <x v="0"/>
  </r>
  <r>
    <n v="44"/>
    <x v="1"/>
    <x v="0"/>
    <n v="7"/>
    <n v="1"/>
    <n v="14.981815920000001"/>
    <n v="80"/>
    <n v="87"/>
    <n v="68"/>
    <x v="1"/>
    <x v="0"/>
    <x v="4"/>
    <x v="2"/>
    <n v="78.333333333333329"/>
    <x v="0"/>
    <x v="4"/>
  </r>
  <r>
    <n v="22"/>
    <x v="0"/>
    <x v="0"/>
    <n v="9"/>
    <n v="2"/>
    <n v="7.8185163729999996"/>
    <n v="20"/>
    <n v="10"/>
    <n v="52"/>
    <x v="1"/>
    <x v="1"/>
    <x v="5"/>
    <x v="1"/>
    <n v="27.333333333333332"/>
    <x v="2"/>
    <x v="1"/>
  </r>
  <r>
    <n v="24"/>
    <x v="1"/>
    <x v="2"/>
    <n v="5"/>
    <n v="5"/>
    <n v="37.400612889999998"/>
    <n v="43"/>
    <n v="28"/>
    <n v="53"/>
    <x v="1"/>
    <x v="1"/>
    <x v="5"/>
    <x v="2"/>
    <n v="41.333333333333336"/>
    <x v="2"/>
    <x v="3"/>
  </r>
  <r>
    <n v="38"/>
    <x v="1"/>
    <x v="2"/>
    <n v="5"/>
    <n v="1"/>
    <n v="41.657382759999997"/>
    <n v="18"/>
    <n v="59"/>
    <n v="41"/>
    <x v="1"/>
    <x v="1"/>
    <x v="1"/>
    <x v="2"/>
    <n v="39.333333333333336"/>
    <x v="2"/>
    <x v="2"/>
  </r>
  <r>
    <n v="26"/>
    <x v="0"/>
    <x v="0"/>
    <n v="9"/>
    <n v="1"/>
    <n v="13.87394881"/>
    <n v="70"/>
    <n v="66"/>
    <n v="44"/>
    <x v="2"/>
    <x v="1"/>
    <x v="0"/>
    <x v="1"/>
    <n v="60"/>
    <x v="1"/>
    <x v="4"/>
  </r>
  <r>
    <n v="40"/>
    <x v="0"/>
    <x v="0"/>
    <n v="10"/>
    <n v="5"/>
    <n v="39.720974730000002"/>
    <n v="7"/>
    <n v="64"/>
    <n v="89"/>
    <x v="0"/>
    <x v="0"/>
    <x v="1"/>
    <x v="1"/>
    <n v="53.333333333333336"/>
    <x v="3"/>
    <x v="3"/>
  </r>
  <r>
    <n v="28"/>
    <x v="1"/>
    <x v="0"/>
    <n v="6"/>
    <n v="3"/>
    <n v="20.277678219999999"/>
    <n v="76"/>
    <n v="60"/>
    <n v="13"/>
    <x v="0"/>
    <x v="0"/>
    <x v="0"/>
    <x v="2"/>
    <n v="49.666666666666664"/>
    <x v="2"/>
    <x v="0"/>
  </r>
  <r>
    <n v="26"/>
    <x v="0"/>
    <x v="0"/>
    <n v="6"/>
    <n v="5"/>
    <n v="26.33428954"/>
    <n v="100"/>
    <n v="18"/>
    <n v="28"/>
    <x v="0"/>
    <x v="0"/>
    <x v="0"/>
    <x v="2"/>
    <n v="48.666666666666664"/>
    <x v="2"/>
    <x v="0"/>
  </r>
  <r>
    <n v="37"/>
    <x v="1"/>
    <x v="0"/>
    <n v="10"/>
    <n v="5"/>
    <n v="43.800053740000003"/>
    <n v="65"/>
    <n v="45"/>
    <n v="5"/>
    <x v="2"/>
    <x v="1"/>
    <x v="1"/>
    <x v="1"/>
    <n v="38.333333333333336"/>
    <x v="2"/>
    <x v="2"/>
  </r>
  <r>
    <n v="23"/>
    <x v="1"/>
    <x v="3"/>
    <n v="12"/>
    <n v="3"/>
    <n v="38.49768409"/>
    <n v="40"/>
    <n v="48"/>
    <n v="6"/>
    <x v="1"/>
    <x v="1"/>
    <x v="5"/>
    <x v="1"/>
    <n v="31.333333333333332"/>
    <x v="2"/>
    <x v="3"/>
  </r>
  <r>
    <n v="44"/>
    <x v="1"/>
    <x v="2"/>
    <n v="14"/>
    <n v="5"/>
    <n v="41.255842569999999"/>
    <n v="74"/>
    <n v="21"/>
    <n v="36"/>
    <x v="1"/>
    <x v="1"/>
    <x v="4"/>
    <x v="1"/>
    <n v="43.666666666666664"/>
    <x v="2"/>
    <x v="2"/>
  </r>
  <r>
    <n v="47"/>
    <x v="0"/>
    <x v="0"/>
    <n v="5"/>
    <n v="1"/>
    <n v="7.8422583289999999"/>
    <n v="87"/>
    <n v="77"/>
    <n v="52"/>
    <x v="0"/>
    <x v="0"/>
    <x v="2"/>
    <x v="2"/>
    <n v="72"/>
    <x v="0"/>
    <x v="1"/>
  </r>
  <r>
    <n v="33"/>
    <x v="1"/>
    <x v="3"/>
    <n v="3"/>
    <n v="5"/>
    <n v="4.4859712920000003"/>
    <n v="69"/>
    <n v="56"/>
    <n v="17"/>
    <x v="2"/>
    <x v="1"/>
    <x v="3"/>
    <x v="2"/>
    <n v="47.333333333333336"/>
    <x v="2"/>
    <x v="1"/>
  </r>
  <r>
    <n v="37"/>
    <x v="1"/>
    <x v="0"/>
    <n v="10"/>
    <n v="3"/>
    <n v="45.670236449999997"/>
    <n v="60"/>
    <n v="13"/>
    <n v="86"/>
    <x v="2"/>
    <x v="1"/>
    <x v="1"/>
    <x v="1"/>
    <n v="53"/>
    <x v="3"/>
    <x v="2"/>
  </r>
  <r>
    <n v="45"/>
    <x v="0"/>
    <x v="0"/>
    <n v="8"/>
    <n v="4"/>
    <n v="20.39171348"/>
    <n v="25"/>
    <n v="43"/>
    <n v="37"/>
    <x v="1"/>
    <x v="1"/>
    <x v="4"/>
    <x v="1"/>
    <n v="35"/>
    <x v="2"/>
    <x v="0"/>
  </r>
  <r>
    <n v="28"/>
    <x v="0"/>
    <x v="1"/>
    <n v="5"/>
    <n v="5"/>
    <n v="15.3939839"/>
    <n v="70"/>
    <n v="15"/>
    <n v="58"/>
    <x v="1"/>
    <x v="1"/>
    <x v="0"/>
    <x v="2"/>
    <n v="47.666666666666664"/>
    <x v="2"/>
    <x v="4"/>
  </r>
  <r>
    <n v="45"/>
    <x v="0"/>
    <x v="3"/>
    <n v="3"/>
    <n v="2"/>
    <n v="37.23481271"/>
    <n v="82"/>
    <n v="96"/>
    <n v="0"/>
    <x v="0"/>
    <x v="0"/>
    <x v="4"/>
    <x v="2"/>
    <n v="59.333333333333336"/>
    <x v="3"/>
    <x v="3"/>
  </r>
  <r>
    <n v="40"/>
    <x v="0"/>
    <x v="0"/>
    <n v="11"/>
    <n v="1"/>
    <n v="42.820779829999999"/>
    <n v="69"/>
    <n v="76"/>
    <n v="67"/>
    <x v="1"/>
    <x v="1"/>
    <x v="1"/>
    <x v="1"/>
    <n v="70.666666666666671"/>
    <x v="0"/>
    <x v="2"/>
  </r>
  <r>
    <n v="21"/>
    <x v="1"/>
    <x v="0"/>
    <n v="2"/>
    <n v="1"/>
    <n v="44.124481090000003"/>
    <n v="28"/>
    <n v="11"/>
    <n v="43"/>
    <x v="1"/>
    <x v="1"/>
    <x v="5"/>
    <x v="0"/>
    <n v="27.333333333333332"/>
    <x v="2"/>
    <x v="2"/>
  </r>
  <r>
    <n v="39"/>
    <x v="1"/>
    <x v="0"/>
    <n v="3"/>
    <n v="2"/>
    <n v="16.799857060000001"/>
    <n v="65"/>
    <n v="54"/>
    <n v="46"/>
    <x v="0"/>
    <x v="1"/>
    <x v="1"/>
    <x v="2"/>
    <n v="55"/>
    <x v="3"/>
    <x v="4"/>
  </r>
  <r>
    <n v="47"/>
    <x v="1"/>
    <x v="0"/>
    <n v="2"/>
    <n v="2"/>
    <n v="43.610619560000004"/>
    <n v="18"/>
    <n v="50"/>
    <n v="34"/>
    <x v="1"/>
    <x v="1"/>
    <x v="2"/>
    <x v="0"/>
    <n v="34"/>
    <x v="2"/>
    <x v="2"/>
  </r>
  <r>
    <n v="34"/>
    <x v="1"/>
    <x v="0"/>
    <n v="14"/>
    <n v="5"/>
    <n v="3.0466972189999999"/>
    <n v="67"/>
    <n v="38"/>
    <n v="86"/>
    <x v="0"/>
    <x v="0"/>
    <x v="3"/>
    <x v="1"/>
    <n v="63.666666666666664"/>
    <x v="1"/>
    <x v="1"/>
  </r>
  <r>
    <n v="47"/>
    <x v="0"/>
    <x v="0"/>
    <n v="1"/>
    <n v="2"/>
    <n v="3.4830745730000001"/>
    <n v="57"/>
    <n v="32"/>
    <n v="90"/>
    <x v="1"/>
    <x v="1"/>
    <x v="2"/>
    <x v="0"/>
    <n v="59.666666666666664"/>
    <x v="3"/>
    <x v="1"/>
  </r>
  <r>
    <n v="26"/>
    <x v="1"/>
    <x v="0"/>
    <n v="13"/>
    <n v="4"/>
    <n v="32.175959759999998"/>
    <n v="69"/>
    <n v="32"/>
    <n v="59"/>
    <x v="1"/>
    <x v="1"/>
    <x v="0"/>
    <x v="1"/>
    <n v="53.333333333333336"/>
    <x v="3"/>
    <x v="3"/>
  </r>
  <r>
    <n v="31"/>
    <x v="1"/>
    <x v="0"/>
    <n v="4"/>
    <n v="3"/>
    <n v="4.1553184559999998"/>
    <n v="56"/>
    <n v="28"/>
    <n v="89"/>
    <x v="0"/>
    <x v="1"/>
    <x v="3"/>
    <x v="2"/>
    <n v="57.666666666666664"/>
    <x v="3"/>
    <x v="1"/>
  </r>
  <r>
    <n v="48"/>
    <x v="0"/>
    <x v="3"/>
    <n v="1"/>
    <n v="2"/>
    <n v="17.230458429999999"/>
    <n v="36"/>
    <n v="68"/>
    <n v="51"/>
    <x v="1"/>
    <x v="1"/>
    <x v="2"/>
    <x v="0"/>
    <n v="51.666666666666664"/>
    <x v="3"/>
    <x v="4"/>
  </r>
  <r>
    <n v="27"/>
    <x v="1"/>
    <x v="0"/>
    <n v="5"/>
    <n v="2"/>
    <n v="34.637799309999998"/>
    <n v="60"/>
    <n v="69"/>
    <n v="7"/>
    <x v="1"/>
    <x v="1"/>
    <x v="0"/>
    <x v="2"/>
    <n v="45.333333333333336"/>
    <x v="2"/>
    <x v="3"/>
  </r>
  <r>
    <n v="34"/>
    <x v="1"/>
    <x v="2"/>
    <n v="2"/>
    <n v="4"/>
    <n v="17.8633448"/>
    <n v="91"/>
    <n v="30"/>
    <n v="79"/>
    <x v="0"/>
    <x v="0"/>
    <x v="3"/>
    <x v="0"/>
    <n v="66.666666666666671"/>
    <x v="1"/>
    <x v="4"/>
  </r>
  <r>
    <n v="22"/>
    <x v="1"/>
    <x v="0"/>
    <n v="5"/>
    <n v="1"/>
    <n v="9.9799890720000004"/>
    <n v="29"/>
    <n v="79"/>
    <n v="40"/>
    <x v="2"/>
    <x v="1"/>
    <x v="5"/>
    <x v="2"/>
    <n v="49.333333333333336"/>
    <x v="2"/>
    <x v="1"/>
  </r>
  <r>
    <n v="33"/>
    <x v="1"/>
    <x v="0"/>
    <n v="14"/>
    <n v="1"/>
    <n v="15.067531089999999"/>
    <n v="70"/>
    <n v="30"/>
    <n v="2"/>
    <x v="0"/>
    <x v="1"/>
    <x v="3"/>
    <x v="1"/>
    <n v="34"/>
    <x v="2"/>
    <x v="4"/>
  </r>
  <r>
    <n v="36"/>
    <x v="1"/>
    <x v="0"/>
    <n v="10"/>
    <n v="5"/>
    <n v="23.87876661"/>
    <n v="72"/>
    <n v="88"/>
    <n v="95"/>
    <x v="1"/>
    <x v="0"/>
    <x v="1"/>
    <x v="1"/>
    <n v="85"/>
    <x v="4"/>
    <x v="0"/>
  </r>
  <r>
    <n v="23"/>
    <x v="1"/>
    <x v="0"/>
    <n v="9"/>
    <n v="4"/>
    <n v="24.76929277"/>
    <n v="24"/>
    <n v="45"/>
    <n v="68"/>
    <x v="0"/>
    <x v="0"/>
    <x v="5"/>
    <x v="1"/>
    <n v="45.666666666666664"/>
    <x v="2"/>
    <x v="0"/>
  </r>
  <r>
    <n v="37"/>
    <x v="0"/>
    <x v="0"/>
    <n v="8"/>
    <n v="3"/>
    <n v="40.150011569999997"/>
    <n v="96"/>
    <n v="96"/>
    <n v="83"/>
    <x v="0"/>
    <x v="0"/>
    <x v="1"/>
    <x v="1"/>
    <n v="91.666666666666671"/>
    <x v="5"/>
    <x v="2"/>
  </r>
  <r>
    <n v="27"/>
    <x v="0"/>
    <x v="0"/>
    <n v="0"/>
    <n v="3"/>
    <n v="38.507661470000002"/>
    <n v="64"/>
    <n v="76"/>
    <n v="13"/>
    <x v="0"/>
    <x v="1"/>
    <x v="0"/>
    <x v="0"/>
    <n v="51"/>
    <x v="3"/>
    <x v="3"/>
  </r>
  <r>
    <n v="23"/>
    <x v="1"/>
    <x v="2"/>
    <n v="15"/>
    <n v="4"/>
    <n v="23.840890229999999"/>
    <n v="5"/>
    <n v="51"/>
    <n v="95"/>
    <x v="0"/>
    <x v="0"/>
    <x v="5"/>
    <x v="1"/>
    <n v="50.333333333333336"/>
    <x v="3"/>
    <x v="0"/>
  </r>
  <r>
    <n v="21"/>
    <x v="1"/>
    <x v="2"/>
    <n v="15"/>
    <n v="3"/>
    <n v="43.28336745"/>
    <n v="17"/>
    <n v="9"/>
    <n v="25"/>
    <x v="1"/>
    <x v="1"/>
    <x v="5"/>
    <x v="1"/>
    <n v="17"/>
    <x v="2"/>
    <x v="2"/>
  </r>
  <r>
    <n v="49"/>
    <x v="0"/>
    <x v="0"/>
    <n v="5"/>
    <n v="1"/>
    <n v="6.7118569299999997"/>
    <n v="9"/>
    <n v="87"/>
    <n v="69"/>
    <x v="0"/>
    <x v="0"/>
    <x v="2"/>
    <x v="2"/>
    <n v="55"/>
    <x v="3"/>
    <x v="1"/>
  </r>
  <r>
    <n v="25"/>
    <x v="1"/>
    <x v="0"/>
    <n v="8"/>
    <n v="3"/>
    <n v="13.767667510000001"/>
    <n v="91"/>
    <n v="73"/>
    <n v="57"/>
    <x v="1"/>
    <x v="1"/>
    <x v="5"/>
    <x v="1"/>
    <n v="73.666666666666671"/>
    <x v="0"/>
    <x v="4"/>
  </r>
  <r>
    <n v="41"/>
    <x v="1"/>
    <x v="1"/>
    <n v="10"/>
    <n v="3"/>
    <n v="42.398823180000001"/>
    <n v="10"/>
    <n v="40"/>
    <n v="99"/>
    <x v="0"/>
    <x v="0"/>
    <x v="4"/>
    <x v="1"/>
    <n v="49.666666666666664"/>
    <x v="2"/>
    <x v="2"/>
  </r>
  <r>
    <n v="29"/>
    <x v="1"/>
    <x v="0"/>
    <n v="3"/>
    <n v="4"/>
    <n v="19.899701929999999"/>
    <n v="96"/>
    <n v="94"/>
    <n v="39"/>
    <x v="0"/>
    <x v="0"/>
    <x v="0"/>
    <x v="2"/>
    <n v="76.333333333333329"/>
    <x v="0"/>
    <x v="4"/>
  </r>
  <r>
    <n v="23"/>
    <x v="0"/>
    <x v="0"/>
    <n v="10"/>
    <n v="4"/>
    <n v="50.059077940000002"/>
    <n v="64"/>
    <n v="76"/>
    <n v="50"/>
    <x v="1"/>
    <x v="1"/>
    <x v="5"/>
    <x v="1"/>
    <n v="63.333333333333336"/>
    <x v="1"/>
    <x v="5"/>
  </r>
  <r>
    <n v="41"/>
    <x v="1"/>
    <x v="0"/>
    <n v="11"/>
    <n v="3"/>
    <n v="24.312664080000001"/>
    <n v="76"/>
    <n v="2"/>
    <n v="4"/>
    <x v="2"/>
    <x v="1"/>
    <x v="4"/>
    <x v="1"/>
    <n v="27.333333333333332"/>
    <x v="2"/>
    <x v="0"/>
  </r>
  <r>
    <n v="48"/>
    <x v="0"/>
    <x v="2"/>
    <n v="1"/>
    <n v="2"/>
    <n v="40.596781149999998"/>
    <n v="100"/>
    <n v="58"/>
    <n v="76"/>
    <x v="1"/>
    <x v="1"/>
    <x v="2"/>
    <x v="0"/>
    <n v="78"/>
    <x v="0"/>
    <x v="2"/>
  </r>
  <r>
    <n v="50"/>
    <x v="1"/>
    <x v="1"/>
    <n v="12"/>
    <n v="4"/>
    <n v="21.11535207"/>
    <n v="83"/>
    <n v="51"/>
    <n v="31"/>
    <x v="1"/>
    <x v="0"/>
    <x v="2"/>
    <x v="1"/>
    <n v="55"/>
    <x v="3"/>
    <x v="0"/>
  </r>
  <r>
    <n v="37"/>
    <x v="0"/>
    <x v="0"/>
    <n v="3"/>
    <n v="5"/>
    <n v="22.247675950000001"/>
    <n v="64"/>
    <n v="33"/>
    <n v="79"/>
    <x v="0"/>
    <x v="1"/>
    <x v="1"/>
    <x v="2"/>
    <n v="58.666666666666664"/>
    <x v="3"/>
    <x v="0"/>
  </r>
  <r>
    <n v="45"/>
    <x v="0"/>
    <x v="3"/>
    <n v="0"/>
    <n v="5"/>
    <n v="20.144157360000001"/>
    <n v="51"/>
    <n v="48"/>
    <n v="0"/>
    <x v="2"/>
    <x v="1"/>
    <x v="4"/>
    <x v="0"/>
    <n v="33"/>
    <x v="2"/>
    <x v="0"/>
  </r>
  <r>
    <n v="31"/>
    <x v="1"/>
    <x v="2"/>
    <n v="2"/>
    <n v="1"/>
    <n v="36.953781030000002"/>
    <n v="66"/>
    <n v="27"/>
    <n v="76"/>
    <x v="0"/>
    <x v="1"/>
    <x v="3"/>
    <x v="0"/>
    <n v="56.333333333333336"/>
    <x v="3"/>
    <x v="3"/>
  </r>
  <r>
    <n v="21"/>
    <x v="0"/>
    <x v="0"/>
    <n v="9"/>
    <n v="3"/>
    <n v="28.375894200000001"/>
    <n v="81"/>
    <n v="82"/>
    <n v="53"/>
    <x v="0"/>
    <x v="0"/>
    <x v="5"/>
    <x v="1"/>
    <n v="72"/>
    <x v="0"/>
    <x v="0"/>
  </r>
  <r>
    <n v="29"/>
    <x v="1"/>
    <x v="0"/>
    <n v="8"/>
    <n v="2"/>
    <n v="48.188905570000003"/>
    <n v="77"/>
    <n v="86"/>
    <n v="10"/>
    <x v="1"/>
    <x v="1"/>
    <x v="0"/>
    <x v="1"/>
    <n v="57.666666666666664"/>
    <x v="3"/>
    <x v="2"/>
  </r>
  <r>
    <n v="49"/>
    <x v="0"/>
    <x v="3"/>
    <n v="9"/>
    <n v="1"/>
    <n v="13.54451583"/>
    <n v="30"/>
    <n v="95"/>
    <n v="52"/>
    <x v="1"/>
    <x v="1"/>
    <x v="2"/>
    <x v="1"/>
    <n v="59"/>
    <x v="3"/>
    <x v="4"/>
  </r>
  <r>
    <n v="23"/>
    <x v="1"/>
    <x v="2"/>
    <n v="4"/>
    <n v="3"/>
    <n v="6.0281366040000002"/>
    <n v="90"/>
    <n v="12"/>
    <n v="7"/>
    <x v="2"/>
    <x v="1"/>
    <x v="5"/>
    <x v="2"/>
    <n v="36.333333333333336"/>
    <x v="2"/>
    <x v="1"/>
  </r>
  <r>
    <n v="33"/>
    <x v="1"/>
    <x v="0"/>
    <n v="14"/>
    <n v="4"/>
    <n v="20.663074250000001"/>
    <n v="16"/>
    <n v="96"/>
    <n v="24"/>
    <x v="0"/>
    <x v="0"/>
    <x v="3"/>
    <x v="1"/>
    <n v="45.333333333333336"/>
    <x v="2"/>
    <x v="0"/>
  </r>
  <r>
    <n v="50"/>
    <x v="0"/>
    <x v="1"/>
    <n v="10"/>
    <n v="5"/>
    <n v="31.835635379999999"/>
    <n v="54"/>
    <n v="97"/>
    <n v="39"/>
    <x v="2"/>
    <x v="1"/>
    <x v="2"/>
    <x v="1"/>
    <n v="63.333333333333336"/>
    <x v="1"/>
    <x v="3"/>
  </r>
  <r>
    <n v="35"/>
    <x v="1"/>
    <x v="0"/>
    <n v="5"/>
    <n v="2"/>
    <n v="44.03994685"/>
    <n v="92"/>
    <n v="96"/>
    <n v="31"/>
    <x v="1"/>
    <x v="1"/>
    <x v="3"/>
    <x v="2"/>
    <n v="73"/>
    <x v="0"/>
    <x v="2"/>
  </r>
  <r>
    <n v="34"/>
    <x v="1"/>
    <x v="0"/>
    <n v="2"/>
    <n v="5"/>
    <n v="18.309844330000001"/>
    <n v="35"/>
    <n v="68"/>
    <n v="87"/>
    <x v="1"/>
    <x v="1"/>
    <x v="3"/>
    <x v="0"/>
    <n v="63.333333333333336"/>
    <x v="1"/>
    <x v="4"/>
  </r>
  <r>
    <n v="27"/>
    <x v="0"/>
    <x v="2"/>
    <n v="15"/>
    <n v="4"/>
    <n v="33.689337559999998"/>
    <n v="100"/>
    <n v="66"/>
    <n v="27"/>
    <x v="0"/>
    <x v="0"/>
    <x v="0"/>
    <x v="1"/>
    <n v="64.333333333333329"/>
    <x v="1"/>
    <x v="3"/>
  </r>
  <r>
    <n v="33"/>
    <x v="1"/>
    <x v="1"/>
    <n v="4"/>
    <n v="3"/>
    <n v="18.509934049999998"/>
    <n v="25"/>
    <n v="60"/>
    <n v="77"/>
    <x v="0"/>
    <x v="0"/>
    <x v="3"/>
    <x v="2"/>
    <n v="54"/>
    <x v="3"/>
    <x v="4"/>
  </r>
  <r>
    <n v="42"/>
    <x v="1"/>
    <x v="2"/>
    <n v="10"/>
    <n v="4"/>
    <n v="31.860979149999999"/>
    <n v="52"/>
    <n v="59"/>
    <n v="2"/>
    <x v="2"/>
    <x v="1"/>
    <x v="4"/>
    <x v="1"/>
    <n v="37.666666666666664"/>
    <x v="2"/>
    <x v="3"/>
  </r>
  <r>
    <n v="47"/>
    <x v="0"/>
    <x v="3"/>
    <n v="7"/>
    <n v="4"/>
    <n v="45.240397350000002"/>
    <n v="16"/>
    <n v="70"/>
    <n v="99"/>
    <x v="1"/>
    <x v="0"/>
    <x v="2"/>
    <x v="2"/>
    <n v="61.666666666666664"/>
    <x v="1"/>
    <x v="2"/>
  </r>
  <r>
    <n v="44"/>
    <x v="0"/>
    <x v="3"/>
    <n v="5"/>
    <n v="5"/>
    <n v="12.567882109999999"/>
    <n v="85"/>
    <n v="23"/>
    <n v="90"/>
    <x v="1"/>
    <x v="1"/>
    <x v="4"/>
    <x v="2"/>
    <n v="66"/>
    <x v="1"/>
    <x v="4"/>
  </r>
  <r>
    <n v="49"/>
    <x v="1"/>
    <x v="0"/>
    <n v="3"/>
    <n v="2"/>
    <n v="21.212082110000001"/>
    <n v="24"/>
    <n v="62"/>
    <n v="83"/>
    <x v="2"/>
    <x v="1"/>
    <x v="2"/>
    <x v="2"/>
    <n v="56.333333333333336"/>
    <x v="3"/>
    <x v="0"/>
  </r>
  <r>
    <n v="27"/>
    <x v="1"/>
    <x v="0"/>
    <n v="1"/>
    <n v="4"/>
    <n v="50.66325982"/>
    <n v="1"/>
    <n v="85"/>
    <n v="78"/>
    <x v="0"/>
    <x v="0"/>
    <x v="0"/>
    <x v="0"/>
    <n v="54.666666666666664"/>
    <x v="3"/>
    <x v="5"/>
  </r>
  <r>
    <n v="40"/>
    <x v="0"/>
    <x v="2"/>
    <n v="13"/>
    <n v="5"/>
    <n v="44.427851410000002"/>
    <n v="85"/>
    <n v="60"/>
    <n v="61"/>
    <x v="1"/>
    <x v="0"/>
    <x v="1"/>
    <x v="1"/>
    <n v="68.666666666666671"/>
    <x v="1"/>
    <x v="2"/>
  </r>
  <r>
    <n v="35"/>
    <x v="0"/>
    <x v="0"/>
    <n v="8"/>
    <n v="2"/>
    <n v="29.231992890000001"/>
    <n v="4"/>
    <n v="22"/>
    <n v="26"/>
    <x v="1"/>
    <x v="1"/>
    <x v="3"/>
    <x v="1"/>
    <n v="17.333333333333332"/>
    <x v="2"/>
    <x v="0"/>
  </r>
  <r>
    <n v="32"/>
    <x v="1"/>
    <x v="3"/>
    <n v="12"/>
    <n v="3"/>
    <n v="26.831379590000001"/>
    <n v="3"/>
    <n v="29"/>
    <n v="44"/>
    <x v="0"/>
    <x v="0"/>
    <x v="3"/>
    <x v="1"/>
    <n v="25.333333333333332"/>
    <x v="2"/>
    <x v="0"/>
  </r>
  <r>
    <n v="37"/>
    <x v="0"/>
    <x v="3"/>
    <n v="11"/>
    <n v="3"/>
    <n v="15.23001912"/>
    <n v="35"/>
    <n v="59"/>
    <n v="91"/>
    <x v="0"/>
    <x v="0"/>
    <x v="1"/>
    <x v="1"/>
    <n v="61.666666666666664"/>
    <x v="1"/>
    <x v="4"/>
  </r>
  <r>
    <n v="34"/>
    <x v="1"/>
    <x v="0"/>
    <n v="0"/>
    <n v="1"/>
    <n v="26.86047138"/>
    <n v="5"/>
    <n v="17"/>
    <n v="24"/>
    <x v="1"/>
    <x v="1"/>
    <x v="3"/>
    <x v="0"/>
    <n v="15.333333333333334"/>
    <x v="2"/>
    <x v="0"/>
  </r>
  <r>
    <n v="40"/>
    <x v="1"/>
    <x v="0"/>
    <n v="0"/>
    <n v="5"/>
    <n v="43.409074910000001"/>
    <n v="20"/>
    <n v="95"/>
    <n v="60"/>
    <x v="1"/>
    <x v="1"/>
    <x v="1"/>
    <x v="0"/>
    <n v="58.333333333333336"/>
    <x v="3"/>
    <x v="2"/>
  </r>
  <r>
    <n v="43"/>
    <x v="1"/>
    <x v="2"/>
    <n v="12"/>
    <n v="2"/>
    <n v="35.258725660000003"/>
    <n v="76"/>
    <n v="55"/>
    <n v="43"/>
    <x v="1"/>
    <x v="1"/>
    <x v="4"/>
    <x v="1"/>
    <n v="58"/>
    <x v="3"/>
    <x v="3"/>
  </r>
  <r>
    <n v="45"/>
    <x v="1"/>
    <x v="2"/>
    <n v="3"/>
    <n v="4"/>
    <n v="15.50220141"/>
    <n v="100"/>
    <n v="52"/>
    <n v="96"/>
    <x v="0"/>
    <x v="0"/>
    <x v="4"/>
    <x v="2"/>
    <n v="82.666666666666671"/>
    <x v="4"/>
    <x v="4"/>
  </r>
  <r>
    <n v="44"/>
    <x v="1"/>
    <x v="2"/>
    <n v="6"/>
    <n v="3"/>
    <n v="11.07319605"/>
    <n v="88"/>
    <n v="6"/>
    <n v="45"/>
    <x v="2"/>
    <x v="1"/>
    <x v="4"/>
    <x v="2"/>
    <n v="46.333333333333336"/>
    <x v="2"/>
    <x v="4"/>
  </r>
  <r>
    <n v="47"/>
    <x v="0"/>
    <x v="0"/>
    <n v="0"/>
    <n v="2"/>
    <n v="14.26042685"/>
    <n v="25"/>
    <n v="96"/>
    <n v="13"/>
    <x v="0"/>
    <x v="1"/>
    <x v="2"/>
    <x v="0"/>
    <n v="44.666666666666664"/>
    <x v="2"/>
    <x v="4"/>
  </r>
  <r>
    <n v="47"/>
    <x v="0"/>
    <x v="0"/>
    <n v="8"/>
    <n v="5"/>
    <n v="9.4879600699999997"/>
    <n v="54"/>
    <n v="68"/>
    <n v="7"/>
    <x v="1"/>
    <x v="1"/>
    <x v="2"/>
    <x v="1"/>
    <n v="43"/>
    <x v="2"/>
    <x v="1"/>
  </r>
  <r>
    <n v="47"/>
    <x v="0"/>
    <x v="0"/>
    <n v="3"/>
    <n v="1"/>
    <n v="5.782034801"/>
    <n v="38"/>
    <n v="91"/>
    <n v="47"/>
    <x v="1"/>
    <x v="1"/>
    <x v="2"/>
    <x v="2"/>
    <n v="58.666666666666664"/>
    <x v="3"/>
    <x v="1"/>
  </r>
  <r>
    <n v="32"/>
    <x v="0"/>
    <x v="0"/>
    <n v="2"/>
    <n v="3"/>
    <n v="21.956808720000002"/>
    <n v="83"/>
    <n v="71"/>
    <n v="13"/>
    <x v="0"/>
    <x v="0"/>
    <x v="3"/>
    <x v="0"/>
    <n v="55.666666666666664"/>
    <x v="3"/>
    <x v="0"/>
  </r>
  <r>
    <n v="28"/>
    <x v="1"/>
    <x v="0"/>
    <n v="0"/>
    <n v="2"/>
    <n v="6.6649802200000003"/>
    <n v="32"/>
    <n v="78"/>
    <n v="64"/>
    <x v="0"/>
    <x v="0"/>
    <x v="0"/>
    <x v="0"/>
    <n v="58"/>
    <x v="3"/>
    <x v="1"/>
  </r>
  <r>
    <n v="48"/>
    <x v="1"/>
    <x v="0"/>
    <n v="9"/>
    <n v="2"/>
    <n v="9.5956278860000008"/>
    <n v="13"/>
    <n v="51"/>
    <n v="79"/>
    <x v="1"/>
    <x v="1"/>
    <x v="2"/>
    <x v="1"/>
    <n v="47.666666666666664"/>
    <x v="2"/>
    <x v="1"/>
  </r>
  <r>
    <n v="34"/>
    <x v="1"/>
    <x v="3"/>
    <n v="3"/>
    <n v="2"/>
    <n v="28.366234219999999"/>
    <n v="55"/>
    <n v="3"/>
    <n v="81"/>
    <x v="2"/>
    <x v="1"/>
    <x v="3"/>
    <x v="2"/>
    <n v="46.333333333333336"/>
    <x v="2"/>
    <x v="0"/>
  </r>
  <r>
    <n v="32"/>
    <x v="1"/>
    <x v="0"/>
    <n v="8"/>
    <n v="5"/>
    <n v="9.2299636849999995"/>
    <n v="99"/>
    <n v="33"/>
    <n v="6"/>
    <x v="0"/>
    <x v="0"/>
    <x v="3"/>
    <x v="1"/>
    <n v="46"/>
    <x v="2"/>
    <x v="1"/>
  </r>
  <r>
    <n v="20"/>
    <x v="0"/>
    <x v="1"/>
    <n v="12"/>
    <n v="5"/>
    <n v="4.1939883719999997"/>
    <n v="80"/>
    <n v="68"/>
    <n v="78"/>
    <x v="1"/>
    <x v="0"/>
    <x v="5"/>
    <x v="1"/>
    <n v="75.333333333333329"/>
    <x v="0"/>
    <x v="1"/>
  </r>
  <r>
    <n v="44"/>
    <x v="1"/>
    <x v="3"/>
    <n v="13"/>
    <n v="5"/>
    <n v="16.869442500000002"/>
    <n v="20"/>
    <n v="32"/>
    <n v="87"/>
    <x v="1"/>
    <x v="1"/>
    <x v="4"/>
    <x v="1"/>
    <n v="46.333333333333336"/>
    <x v="2"/>
    <x v="4"/>
  </r>
  <r>
    <n v="26"/>
    <x v="1"/>
    <x v="2"/>
    <n v="9"/>
    <n v="4"/>
    <n v="12.015954929999999"/>
    <n v="45"/>
    <n v="68"/>
    <n v="48"/>
    <x v="0"/>
    <x v="0"/>
    <x v="0"/>
    <x v="1"/>
    <n v="53.666666666666664"/>
    <x v="3"/>
    <x v="4"/>
  </r>
  <r>
    <n v="28"/>
    <x v="0"/>
    <x v="3"/>
    <n v="15"/>
    <n v="2"/>
    <n v="26.765259400000001"/>
    <n v="15"/>
    <n v="37"/>
    <n v="54"/>
    <x v="1"/>
    <x v="1"/>
    <x v="0"/>
    <x v="1"/>
    <n v="35.333333333333336"/>
    <x v="2"/>
    <x v="0"/>
  </r>
  <r>
    <n v="43"/>
    <x v="0"/>
    <x v="0"/>
    <n v="15"/>
    <n v="3"/>
    <n v="6.1183542290000004"/>
    <n v="15"/>
    <n v="97"/>
    <n v="12"/>
    <x v="2"/>
    <x v="1"/>
    <x v="4"/>
    <x v="1"/>
    <n v="41.333333333333336"/>
    <x v="2"/>
    <x v="1"/>
  </r>
  <r>
    <n v="20"/>
    <x v="0"/>
    <x v="0"/>
    <n v="5"/>
    <n v="5"/>
    <n v="38.58853938"/>
    <n v="83"/>
    <n v="25"/>
    <n v="72"/>
    <x v="1"/>
    <x v="1"/>
    <x v="5"/>
    <x v="2"/>
    <n v="60"/>
    <x v="1"/>
    <x v="3"/>
  </r>
  <r>
    <n v="31"/>
    <x v="0"/>
    <x v="0"/>
    <n v="15"/>
    <n v="5"/>
    <n v="46.311675970000003"/>
    <n v="28"/>
    <n v="0"/>
    <n v="55"/>
    <x v="2"/>
    <x v="1"/>
    <x v="3"/>
    <x v="1"/>
    <n v="27.666666666666668"/>
    <x v="2"/>
    <x v="2"/>
  </r>
  <r>
    <n v="27"/>
    <x v="1"/>
    <x v="0"/>
    <n v="5"/>
    <n v="2"/>
    <n v="38.171758699999998"/>
    <n v="91"/>
    <n v="3"/>
    <n v="55"/>
    <x v="0"/>
    <x v="1"/>
    <x v="0"/>
    <x v="2"/>
    <n v="49.666666666666664"/>
    <x v="2"/>
    <x v="3"/>
  </r>
  <r>
    <n v="43"/>
    <x v="1"/>
    <x v="0"/>
    <n v="0"/>
    <n v="5"/>
    <n v="27.641351870000001"/>
    <n v="7"/>
    <n v="38"/>
    <n v="14"/>
    <x v="1"/>
    <x v="1"/>
    <x v="4"/>
    <x v="0"/>
    <n v="19.666666666666668"/>
    <x v="2"/>
    <x v="0"/>
  </r>
  <r>
    <n v="50"/>
    <x v="0"/>
    <x v="0"/>
    <n v="9"/>
    <n v="4"/>
    <n v="44.033391090000002"/>
    <n v="87"/>
    <n v="53"/>
    <n v="56"/>
    <x v="1"/>
    <x v="1"/>
    <x v="2"/>
    <x v="1"/>
    <n v="65.333333333333329"/>
    <x v="1"/>
    <x v="2"/>
  </r>
  <r>
    <n v="30"/>
    <x v="1"/>
    <x v="0"/>
    <n v="1"/>
    <n v="4"/>
    <n v="35.74591899"/>
    <n v="2"/>
    <n v="89"/>
    <n v="57"/>
    <x v="1"/>
    <x v="1"/>
    <x v="0"/>
    <x v="0"/>
    <n v="49.333333333333336"/>
    <x v="2"/>
    <x v="3"/>
  </r>
  <r>
    <n v="38"/>
    <x v="1"/>
    <x v="0"/>
    <n v="10"/>
    <n v="5"/>
    <n v="1.5275561230000001"/>
    <n v="88"/>
    <n v="32"/>
    <n v="34"/>
    <x v="1"/>
    <x v="1"/>
    <x v="1"/>
    <x v="1"/>
    <n v="51.333333333333336"/>
    <x v="3"/>
    <x v="1"/>
  </r>
  <r>
    <n v="36"/>
    <x v="1"/>
    <x v="0"/>
    <n v="5"/>
    <n v="2"/>
    <n v="20.704507639999999"/>
    <n v="18"/>
    <n v="32"/>
    <n v="87"/>
    <x v="0"/>
    <x v="1"/>
    <x v="1"/>
    <x v="2"/>
    <n v="45.666666666666664"/>
    <x v="2"/>
    <x v="0"/>
  </r>
  <r>
    <n v="27"/>
    <x v="0"/>
    <x v="3"/>
    <n v="1"/>
    <n v="2"/>
    <n v="43.547594969999999"/>
    <n v="96"/>
    <n v="71"/>
    <n v="96"/>
    <x v="1"/>
    <x v="0"/>
    <x v="0"/>
    <x v="0"/>
    <n v="87.666666666666671"/>
    <x v="4"/>
    <x v="2"/>
  </r>
  <r>
    <n v="22"/>
    <x v="1"/>
    <x v="2"/>
    <n v="2"/>
    <n v="2"/>
    <n v="18.2929429"/>
    <n v="65"/>
    <n v="19"/>
    <n v="15"/>
    <x v="1"/>
    <x v="1"/>
    <x v="5"/>
    <x v="0"/>
    <n v="33"/>
    <x v="2"/>
    <x v="4"/>
  </r>
  <r>
    <n v="22"/>
    <x v="0"/>
    <x v="0"/>
    <n v="3"/>
    <n v="1"/>
    <n v="2.760758676"/>
    <n v="78"/>
    <n v="15"/>
    <n v="7"/>
    <x v="0"/>
    <x v="1"/>
    <x v="5"/>
    <x v="2"/>
    <n v="33.333333333333336"/>
    <x v="2"/>
    <x v="1"/>
  </r>
  <r>
    <n v="20"/>
    <x v="1"/>
    <x v="3"/>
    <n v="10"/>
    <n v="5"/>
    <n v="38.308981930000002"/>
    <n v="85"/>
    <n v="20"/>
    <n v="92"/>
    <x v="2"/>
    <x v="0"/>
    <x v="5"/>
    <x v="1"/>
    <n v="65.666666666666671"/>
    <x v="1"/>
    <x v="3"/>
  </r>
  <r>
    <n v="46"/>
    <x v="1"/>
    <x v="0"/>
    <n v="4"/>
    <n v="2"/>
    <n v="41.101913510000003"/>
    <n v="73"/>
    <n v="44"/>
    <n v="86"/>
    <x v="1"/>
    <x v="1"/>
    <x v="2"/>
    <x v="2"/>
    <n v="67.666666666666671"/>
    <x v="1"/>
    <x v="2"/>
  </r>
  <r>
    <n v="24"/>
    <x v="1"/>
    <x v="2"/>
    <n v="14"/>
    <n v="4"/>
    <n v="9.0296847519999996"/>
    <n v="81"/>
    <n v="89"/>
    <n v="44"/>
    <x v="1"/>
    <x v="1"/>
    <x v="5"/>
    <x v="1"/>
    <n v="71.333333333333329"/>
    <x v="0"/>
    <x v="1"/>
  </r>
  <r>
    <n v="29"/>
    <x v="0"/>
    <x v="2"/>
    <n v="8"/>
    <n v="3"/>
    <n v="27.867024839999999"/>
    <n v="21"/>
    <n v="86"/>
    <n v="94"/>
    <x v="0"/>
    <x v="0"/>
    <x v="0"/>
    <x v="1"/>
    <n v="67"/>
    <x v="1"/>
    <x v="0"/>
  </r>
  <r>
    <n v="26"/>
    <x v="1"/>
    <x v="0"/>
    <n v="11"/>
    <n v="3"/>
    <n v="10.59777195"/>
    <n v="45"/>
    <n v="81"/>
    <n v="39"/>
    <x v="0"/>
    <x v="0"/>
    <x v="0"/>
    <x v="1"/>
    <n v="55"/>
    <x v="3"/>
    <x v="4"/>
  </r>
  <r>
    <n v="45"/>
    <x v="0"/>
    <x v="1"/>
    <n v="14"/>
    <n v="2"/>
    <n v="36.96172095"/>
    <n v="90"/>
    <n v="61"/>
    <n v="53"/>
    <x v="1"/>
    <x v="0"/>
    <x v="4"/>
    <x v="1"/>
    <n v="68"/>
    <x v="1"/>
    <x v="3"/>
  </r>
  <r>
    <n v="28"/>
    <x v="0"/>
    <x v="0"/>
    <n v="14"/>
    <n v="3"/>
    <n v="14.577522760000001"/>
    <n v="12"/>
    <n v="30"/>
    <n v="13"/>
    <x v="1"/>
    <x v="1"/>
    <x v="0"/>
    <x v="1"/>
    <n v="18.333333333333332"/>
    <x v="2"/>
    <x v="4"/>
  </r>
  <r>
    <n v="47"/>
    <x v="0"/>
    <x v="1"/>
    <n v="3"/>
    <n v="3"/>
    <n v="16.810756130000001"/>
    <n v="32"/>
    <n v="41"/>
    <n v="58"/>
    <x v="1"/>
    <x v="1"/>
    <x v="2"/>
    <x v="2"/>
    <n v="43.666666666666664"/>
    <x v="2"/>
    <x v="4"/>
  </r>
  <r>
    <n v="26"/>
    <x v="1"/>
    <x v="0"/>
    <n v="12"/>
    <n v="1"/>
    <n v="43.24854268"/>
    <n v="4"/>
    <n v="11"/>
    <n v="93"/>
    <x v="1"/>
    <x v="1"/>
    <x v="0"/>
    <x v="1"/>
    <n v="36"/>
    <x v="2"/>
    <x v="2"/>
  </r>
  <r>
    <n v="28"/>
    <x v="1"/>
    <x v="0"/>
    <n v="10"/>
    <n v="4"/>
    <n v="24.816117609999999"/>
    <n v="89"/>
    <n v="64"/>
    <n v="52"/>
    <x v="0"/>
    <x v="0"/>
    <x v="0"/>
    <x v="1"/>
    <n v="68.333333333333329"/>
    <x v="1"/>
    <x v="0"/>
  </r>
  <r>
    <n v="27"/>
    <x v="1"/>
    <x v="0"/>
    <n v="8"/>
    <n v="4"/>
    <n v="34.487722560000002"/>
    <n v="76"/>
    <n v="72"/>
    <n v="26"/>
    <x v="1"/>
    <x v="1"/>
    <x v="0"/>
    <x v="1"/>
    <n v="58"/>
    <x v="3"/>
    <x v="3"/>
  </r>
  <r>
    <n v="31"/>
    <x v="1"/>
    <x v="0"/>
    <n v="10"/>
    <n v="1"/>
    <n v="21.118652539999999"/>
    <n v="26"/>
    <n v="2"/>
    <n v="46"/>
    <x v="1"/>
    <x v="1"/>
    <x v="3"/>
    <x v="1"/>
    <n v="24.666666666666668"/>
    <x v="2"/>
    <x v="0"/>
  </r>
  <r>
    <n v="21"/>
    <x v="0"/>
    <x v="2"/>
    <n v="9"/>
    <n v="1"/>
    <n v="15.90034286"/>
    <n v="77"/>
    <n v="89"/>
    <n v="79"/>
    <x v="1"/>
    <x v="0"/>
    <x v="5"/>
    <x v="1"/>
    <n v="81.666666666666671"/>
    <x v="4"/>
    <x v="4"/>
  </r>
  <r>
    <n v="20"/>
    <x v="0"/>
    <x v="3"/>
    <n v="2"/>
    <n v="3"/>
    <n v="32.273903019999999"/>
    <n v="23"/>
    <n v="8"/>
    <n v="5"/>
    <x v="0"/>
    <x v="1"/>
    <x v="5"/>
    <x v="0"/>
    <n v="12"/>
    <x v="2"/>
    <x v="3"/>
  </r>
  <r>
    <n v="35"/>
    <x v="0"/>
    <x v="3"/>
    <n v="7"/>
    <n v="5"/>
    <n v="8.7428787040000007"/>
    <n v="66"/>
    <n v="50"/>
    <n v="54"/>
    <x v="0"/>
    <x v="0"/>
    <x v="3"/>
    <x v="2"/>
    <n v="56.666666666666664"/>
    <x v="3"/>
    <x v="1"/>
  </r>
  <r>
    <n v="42"/>
    <x v="1"/>
    <x v="0"/>
    <n v="11"/>
    <n v="3"/>
    <n v="19.649991780000001"/>
    <n v="62"/>
    <n v="15"/>
    <n v="96"/>
    <x v="1"/>
    <x v="1"/>
    <x v="4"/>
    <x v="1"/>
    <n v="57.666666666666664"/>
    <x v="3"/>
    <x v="4"/>
  </r>
  <r>
    <n v="42"/>
    <x v="0"/>
    <x v="1"/>
    <n v="0"/>
    <n v="1"/>
    <n v="11.45185187"/>
    <n v="93"/>
    <n v="87"/>
    <n v="43"/>
    <x v="0"/>
    <x v="0"/>
    <x v="4"/>
    <x v="0"/>
    <n v="74.333333333333329"/>
    <x v="0"/>
    <x v="4"/>
  </r>
  <r>
    <n v="49"/>
    <x v="1"/>
    <x v="3"/>
    <n v="10"/>
    <n v="4"/>
    <n v="35.789748350000004"/>
    <n v="98"/>
    <n v="77"/>
    <n v="17"/>
    <x v="0"/>
    <x v="0"/>
    <x v="2"/>
    <x v="1"/>
    <n v="64"/>
    <x v="1"/>
    <x v="3"/>
  </r>
  <r>
    <n v="43"/>
    <x v="0"/>
    <x v="0"/>
    <n v="8"/>
    <n v="3"/>
    <n v="48.210441920000001"/>
    <n v="47"/>
    <n v="2"/>
    <n v="15"/>
    <x v="0"/>
    <x v="1"/>
    <x v="4"/>
    <x v="1"/>
    <n v="21.333333333333332"/>
    <x v="2"/>
    <x v="2"/>
  </r>
  <r>
    <n v="24"/>
    <x v="1"/>
    <x v="2"/>
    <n v="8"/>
    <n v="5"/>
    <n v="50.775548399999998"/>
    <n v="62"/>
    <n v="97"/>
    <n v="11"/>
    <x v="1"/>
    <x v="1"/>
    <x v="5"/>
    <x v="1"/>
    <n v="56.666666666666664"/>
    <x v="3"/>
    <x v="5"/>
  </r>
  <r>
    <n v="22"/>
    <x v="1"/>
    <x v="0"/>
    <n v="9"/>
    <n v="3"/>
    <n v="23.513840519999999"/>
    <n v="77"/>
    <n v="96"/>
    <n v="19"/>
    <x v="1"/>
    <x v="1"/>
    <x v="5"/>
    <x v="1"/>
    <n v="64"/>
    <x v="1"/>
    <x v="0"/>
  </r>
  <r>
    <n v="31"/>
    <x v="0"/>
    <x v="0"/>
    <n v="1"/>
    <n v="2"/>
    <n v="13.626519480000001"/>
    <n v="11"/>
    <n v="23"/>
    <n v="44"/>
    <x v="1"/>
    <x v="1"/>
    <x v="3"/>
    <x v="0"/>
    <n v="26"/>
    <x v="2"/>
    <x v="4"/>
  </r>
  <r>
    <n v="27"/>
    <x v="0"/>
    <x v="0"/>
    <n v="3"/>
    <n v="3"/>
    <n v="23.14146852"/>
    <n v="27"/>
    <n v="72"/>
    <n v="63"/>
    <x v="0"/>
    <x v="0"/>
    <x v="0"/>
    <x v="2"/>
    <n v="54"/>
    <x v="3"/>
    <x v="0"/>
  </r>
  <r>
    <n v="41"/>
    <x v="0"/>
    <x v="2"/>
    <n v="12"/>
    <n v="1"/>
    <n v="43.363470499999998"/>
    <n v="43"/>
    <n v="12"/>
    <n v="58"/>
    <x v="1"/>
    <x v="1"/>
    <x v="4"/>
    <x v="1"/>
    <n v="37.666666666666664"/>
    <x v="2"/>
    <x v="2"/>
  </r>
  <r>
    <n v="46"/>
    <x v="0"/>
    <x v="3"/>
    <n v="7"/>
    <n v="4"/>
    <n v="11.300283930000001"/>
    <n v="92"/>
    <n v="1"/>
    <n v="92"/>
    <x v="0"/>
    <x v="0"/>
    <x v="2"/>
    <x v="2"/>
    <n v="61.666666666666664"/>
    <x v="1"/>
    <x v="4"/>
  </r>
  <r>
    <n v="22"/>
    <x v="1"/>
    <x v="2"/>
    <n v="6"/>
    <n v="4"/>
    <n v="48.604782579999998"/>
    <n v="42"/>
    <n v="70"/>
    <n v="93"/>
    <x v="2"/>
    <x v="1"/>
    <x v="5"/>
    <x v="2"/>
    <n v="68.333333333333329"/>
    <x v="1"/>
    <x v="2"/>
  </r>
  <r>
    <n v="20"/>
    <x v="0"/>
    <x v="0"/>
    <n v="0"/>
    <n v="1"/>
    <n v="18.093288439999998"/>
    <n v="16"/>
    <n v="20"/>
    <n v="89"/>
    <x v="1"/>
    <x v="1"/>
    <x v="5"/>
    <x v="0"/>
    <n v="41.666666666666664"/>
    <x v="2"/>
    <x v="4"/>
  </r>
  <r>
    <n v="22"/>
    <x v="0"/>
    <x v="1"/>
    <n v="4"/>
    <n v="2"/>
    <n v="50.290182969999996"/>
    <n v="39"/>
    <n v="18"/>
    <n v="21"/>
    <x v="1"/>
    <x v="1"/>
    <x v="5"/>
    <x v="2"/>
    <n v="26"/>
    <x v="2"/>
    <x v="5"/>
  </r>
  <r>
    <n v="24"/>
    <x v="0"/>
    <x v="3"/>
    <n v="6"/>
    <n v="1"/>
    <n v="42.930444379999997"/>
    <n v="48"/>
    <n v="88"/>
    <n v="96"/>
    <x v="0"/>
    <x v="0"/>
    <x v="5"/>
    <x v="2"/>
    <n v="77.333333333333329"/>
    <x v="0"/>
    <x v="2"/>
  </r>
  <r>
    <n v="34"/>
    <x v="1"/>
    <x v="0"/>
    <n v="14"/>
    <n v="3"/>
    <n v="41.42852671"/>
    <n v="84"/>
    <n v="46"/>
    <n v="46"/>
    <x v="0"/>
    <x v="0"/>
    <x v="3"/>
    <x v="1"/>
    <n v="58.666666666666664"/>
    <x v="3"/>
    <x v="2"/>
  </r>
  <r>
    <n v="33"/>
    <x v="1"/>
    <x v="3"/>
    <n v="15"/>
    <n v="1"/>
    <n v="16.895233690000001"/>
    <n v="56"/>
    <n v="21"/>
    <n v="28"/>
    <x v="1"/>
    <x v="1"/>
    <x v="3"/>
    <x v="1"/>
    <n v="35"/>
    <x v="2"/>
    <x v="4"/>
  </r>
  <r>
    <n v="22"/>
    <x v="0"/>
    <x v="2"/>
    <n v="3"/>
    <n v="1"/>
    <n v="1.4388605969999999"/>
    <n v="86"/>
    <n v="74"/>
    <n v="85"/>
    <x v="1"/>
    <x v="1"/>
    <x v="5"/>
    <x v="2"/>
    <n v="81.666666666666671"/>
    <x v="4"/>
    <x v="1"/>
  </r>
  <r>
    <n v="20"/>
    <x v="1"/>
    <x v="2"/>
    <n v="14"/>
    <n v="2"/>
    <n v="20.106645440000001"/>
    <n v="83"/>
    <n v="32"/>
    <n v="44"/>
    <x v="0"/>
    <x v="0"/>
    <x v="5"/>
    <x v="1"/>
    <n v="53"/>
    <x v="3"/>
    <x v="0"/>
  </r>
  <r>
    <n v="24"/>
    <x v="0"/>
    <x v="0"/>
    <n v="15"/>
    <n v="3"/>
    <n v="16.090468479999998"/>
    <n v="63"/>
    <n v="31"/>
    <n v="76"/>
    <x v="2"/>
    <x v="1"/>
    <x v="5"/>
    <x v="1"/>
    <n v="56.666666666666664"/>
    <x v="3"/>
    <x v="4"/>
  </r>
  <r>
    <n v="45"/>
    <x v="1"/>
    <x v="0"/>
    <n v="14"/>
    <n v="5"/>
    <n v="2.8698495199999998"/>
    <n v="74"/>
    <n v="63"/>
    <n v="8"/>
    <x v="2"/>
    <x v="1"/>
    <x v="4"/>
    <x v="1"/>
    <n v="48.333333333333336"/>
    <x v="2"/>
    <x v="1"/>
  </r>
  <r>
    <n v="42"/>
    <x v="1"/>
    <x v="0"/>
    <n v="0"/>
    <n v="5"/>
    <n v="26.268262830000001"/>
    <n v="56"/>
    <n v="84"/>
    <n v="23"/>
    <x v="1"/>
    <x v="1"/>
    <x v="4"/>
    <x v="0"/>
    <n v="54.333333333333336"/>
    <x v="3"/>
    <x v="0"/>
  </r>
  <r>
    <n v="50"/>
    <x v="1"/>
    <x v="0"/>
    <n v="8"/>
    <n v="4"/>
    <n v="21.151565560000002"/>
    <n v="97"/>
    <n v="38"/>
    <n v="14"/>
    <x v="2"/>
    <x v="1"/>
    <x v="2"/>
    <x v="1"/>
    <n v="49.666666666666664"/>
    <x v="2"/>
    <x v="0"/>
  </r>
  <r>
    <n v="33"/>
    <x v="1"/>
    <x v="2"/>
    <n v="13"/>
    <n v="1"/>
    <n v="32.727823389999998"/>
    <n v="73"/>
    <n v="83"/>
    <n v="35"/>
    <x v="0"/>
    <x v="0"/>
    <x v="3"/>
    <x v="1"/>
    <n v="63.666666666666664"/>
    <x v="1"/>
    <x v="3"/>
  </r>
  <r>
    <n v="26"/>
    <x v="0"/>
    <x v="0"/>
    <n v="4"/>
    <n v="4"/>
    <n v="32.059316109999997"/>
    <n v="73"/>
    <n v="71"/>
    <n v="12"/>
    <x v="0"/>
    <x v="0"/>
    <x v="0"/>
    <x v="2"/>
    <n v="52"/>
    <x v="3"/>
    <x v="3"/>
  </r>
  <r>
    <n v="46"/>
    <x v="0"/>
    <x v="0"/>
    <n v="10"/>
    <n v="2"/>
    <n v="7.0373317950000001"/>
    <n v="69"/>
    <n v="41"/>
    <n v="90"/>
    <x v="0"/>
    <x v="0"/>
    <x v="2"/>
    <x v="1"/>
    <n v="66.666666666666671"/>
    <x v="1"/>
    <x v="1"/>
  </r>
  <r>
    <n v="28"/>
    <x v="0"/>
    <x v="3"/>
    <n v="15"/>
    <n v="5"/>
    <n v="49.84827731"/>
    <n v="99"/>
    <n v="100"/>
    <n v="43"/>
    <x v="1"/>
    <x v="0"/>
    <x v="0"/>
    <x v="1"/>
    <n v="80.666666666666671"/>
    <x v="4"/>
    <x v="2"/>
  </r>
  <r>
    <n v="34"/>
    <x v="1"/>
    <x v="0"/>
    <n v="1"/>
    <n v="1"/>
    <n v="10.346571470000001"/>
    <n v="87"/>
    <n v="8"/>
    <n v="100"/>
    <x v="0"/>
    <x v="0"/>
    <x v="3"/>
    <x v="0"/>
    <n v="65"/>
    <x v="1"/>
    <x v="4"/>
  </r>
  <r>
    <n v="34"/>
    <x v="0"/>
    <x v="0"/>
    <n v="7"/>
    <n v="2"/>
    <n v="23.26370124"/>
    <n v="75"/>
    <n v="24"/>
    <n v="70"/>
    <x v="2"/>
    <x v="1"/>
    <x v="3"/>
    <x v="2"/>
    <n v="56.333333333333336"/>
    <x v="3"/>
    <x v="0"/>
  </r>
  <r>
    <n v="45"/>
    <x v="0"/>
    <x v="0"/>
    <n v="10"/>
    <n v="2"/>
    <n v="25.40587717"/>
    <n v="42"/>
    <n v="88"/>
    <n v="71"/>
    <x v="0"/>
    <x v="0"/>
    <x v="4"/>
    <x v="1"/>
    <n v="67"/>
    <x v="1"/>
    <x v="0"/>
  </r>
  <r>
    <n v="29"/>
    <x v="0"/>
    <x v="2"/>
    <n v="12"/>
    <n v="1"/>
    <n v="41.653139860000003"/>
    <n v="22"/>
    <n v="96"/>
    <n v="100"/>
    <x v="1"/>
    <x v="1"/>
    <x v="0"/>
    <x v="1"/>
    <n v="72.666666666666671"/>
    <x v="0"/>
    <x v="2"/>
  </r>
  <r>
    <n v="47"/>
    <x v="1"/>
    <x v="2"/>
    <n v="1"/>
    <n v="2"/>
    <n v="5.9614798049999997"/>
    <n v="26"/>
    <n v="1"/>
    <n v="77"/>
    <x v="2"/>
    <x v="1"/>
    <x v="2"/>
    <x v="0"/>
    <n v="34.666666666666664"/>
    <x v="2"/>
    <x v="1"/>
  </r>
  <r>
    <n v="32"/>
    <x v="1"/>
    <x v="3"/>
    <n v="2"/>
    <n v="1"/>
    <n v="22.432213959999999"/>
    <n v="57"/>
    <n v="18"/>
    <n v="75"/>
    <x v="0"/>
    <x v="0"/>
    <x v="3"/>
    <x v="0"/>
    <n v="50"/>
    <x v="3"/>
    <x v="0"/>
  </r>
  <r>
    <n v="38"/>
    <x v="1"/>
    <x v="0"/>
    <n v="13"/>
    <n v="1"/>
    <n v="32.425108510000001"/>
    <n v="36"/>
    <n v="19"/>
    <n v="35"/>
    <x v="0"/>
    <x v="1"/>
    <x v="1"/>
    <x v="1"/>
    <n v="30"/>
    <x v="2"/>
    <x v="3"/>
  </r>
  <r>
    <n v="50"/>
    <x v="0"/>
    <x v="2"/>
    <n v="9"/>
    <n v="3"/>
    <n v="11.757781080000001"/>
    <n v="5"/>
    <n v="92"/>
    <n v="60"/>
    <x v="1"/>
    <x v="1"/>
    <x v="2"/>
    <x v="1"/>
    <n v="52.333333333333336"/>
    <x v="3"/>
    <x v="4"/>
  </r>
  <r>
    <n v="26"/>
    <x v="0"/>
    <x v="0"/>
    <n v="0"/>
    <n v="4"/>
    <n v="32.373394939999997"/>
    <n v="64"/>
    <n v="69"/>
    <n v="80"/>
    <x v="0"/>
    <x v="0"/>
    <x v="0"/>
    <x v="0"/>
    <n v="71"/>
    <x v="0"/>
    <x v="3"/>
  </r>
  <r>
    <n v="36"/>
    <x v="0"/>
    <x v="0"/>
    <n v="10"/>
    <n v="2"/>
    <n v="47.183241879999997"/>
    <n v="5"/>
    <n v="16"/>
    <n v="39"/>
    <x v="0"/>
    <x v="1"/>
    <x v="1"/>
    <x v="1"/>
    <n v="20"/>
    <x v="2"/>
    <x v="2"/>
  </r>
  <r>
    <n v="39"/>
    <x v="1"/>
    <x v="0"/>
    <n v="15"/>
    <n v="2"/>
    <n v="50.875906559999997"/>
    <n v="49"/>
    <n v="88"/>
    <n v="92"/>
    <x v="0"/>
    <x v="0"/>
    <x v="1"/>
    <x v="1"/>
    <n v="76.333333333333329"/>
    <x v="0"/>
    <x v="5"/>
  </r>
  <r>
    <n v="48"/>
    <x v="1"/>
    <x v="0"/>
    <n v="1"/>
    <n v="3"/>
    <n v="2.6225538400000001"/>
    <n v="21"/>
    <n v="67"/>
    <n v="26"/>
    <x v="1"/>
    <x v="1"/>
    <x v="2"/>
    <x v="0"/>
    <n v="38"/>
    <x v="2"/>
    <x v="1"/>
  </r>
  <r>
    <n v="23"/>
    <x v="0"/>
    <x v="0"/>
    <n v="13"/>
    <n v="3"/>
    <n v="12.77941141"/>
    <n v="87"/>
    <n v="93"/>
    <n v="0"/>
    <x v="2"/>
    <x v="1"/>
    <x v="5"/>
    <x v="1"/>
    <n v="60"/>
    <x v="1"/>
    <x v="4"/>
  </r>
  <r>
    <n v="49"/>
    <x v="1"/>
    <x v="0"/>
    <n v="15"/>
    <n v="3"/>
    <n v="16.515355790000001"/>
    <n v="24"/>
    <n v="83"/>
    <n v="33"/>
    <x v="2"/>
    <x v="1"/>
    <x v="2"/>
    <x v="1"/>
    <n v="46.666666666666664"/>
    <x v="2"/>
    <x v="4"/>
  </r>
  <r>
    <n v="24"/>
    <x v="1"/>
    <x v="2"/>
    <n v="6"/>
    <n v="5"/>
    <n v="20.956305019999999"/>
    <n v="78"/>
    <n v="2"/>
    <n v="67"/>
    <x v="0"/>
    <x v="0"/>
    <x v="5"/>
    <x v="2"/>
    <n v="49"/>
    <x v="2"/>
    <x v="0"/>
  </r>
  <r>
    <n v="42"/>
    <x v="1"/>
    <x v="0"/>
    <n v="9"/>
    <n v="5"/>
    <n v="13.11285788"/>
    <n v="89"/>
    <n v="86"/>
    <n v="87"/>
    <x v="1"/>
    <x v="0"/>
    <x v="4"/>
    <x v="1"/>
    <n v="87.333333333333329"/>
    <x v="4"/>
    <x v="4"/>
  </r>
  <r>
    <n v="26"/>
    <x v="1"/>
    <x v="3"/>
    <n v="1"/>
    <n v="5"/>
    <n v="11.174399729999999"/>
    <n v="71"/>
    <n v="50"/>
    <n v="20"/>
    <x v="1"/>
    <x v="1"/>
    <x v="0"/>
    <x v="0"/>
    <n v="47"/>
    <x v="2"/>
    <x v="4"/>
  </r>
  <r>
    <n v="32"/>
    <x v="0"/>
    <x v="3"/>
    <n v="5"/>
    <n v="1"/>
    <n v="48.72769212"/>
    <n v="50"/>
    <n v="81"/>
    <n v="32"/>
    <x v="2"/>
    <x v="1"/>
    <x v="3"/>
    <x v="2"/>
    <n v="54.333333333333336"/>
    <x v="3"/>
    <x v="2"/>
  </r>
  <r>
    <n v="34"/>
    <x v="1"/>
    <x v="3"/>
    <n v="14"/>
    <n v="2"/>
    <n v="46.926080140000003"/>
    <n v="87"/>
    <n v="25"/>
    <n v="6"/>
    <x v="0"/>
    <x v="0"/>
    <x v="3"/>
    <x v="1"/>
    <n v="39.333333333333336"/>
    <x v="2"/>
    <x v="2"/>
  </r>
  <r>
    <n v="30"/>
    <x v="1"/>
    <x v="0"/>
    <n v="2"/>
    <n v="4"/>
    <n v="3.3496250500000002"/>
    <n v="47"/>
    <n v="55"/>
    <n v="64"/>
    <x v="1"/>
    <x v="1"/>
    <x v="0"/>
    <x v="0"/>
    <n v="55.333333333333336"/>
    <x v="3"/>
    <x v="1"/>
  </r>
  <r>
    <n v="48"/>
    <x v="1"/>
    <x v="0"/>
    <n v="3"/>
    <n v="1"/>
    <n v="17.940651079999999"/>
    <n v="69"/>
    <n v="99"/>
    <n v="2"/>
    <x v="1"/>
    <x v="1"/>
    <x v="2"/>
    <x v="2"/>
    <n v="56.666666666666664"/>
    <x v="3"/>
    <x v="4"/>
  </r>
  <r>
    <n v="23"/>
    <x v="1"/>
    <x v="0"/>
    <n v="10"/>
    <n v="2"/>
    <n v="21.257427679999999"/>
    <n v="98"/>
    <n v="63"/>
    <n v="50"/>
    <x v="2"/>
    <x v="1"/>
    <x v="5"/>
    <x v="1"/>
    <n v="70.333333333333329"/>
    <x v="0"/>
    <x v="0"/>
  </r>
  <r>
    <n v="32"/>
    <x v="0"/>
    <x v="0"/>
    <n v="14"/>
    <n v="2"/>
    <n v="12.95072673"/>
    <n v="64"/>
    <n v="7"/>
    <n v="78"/>
    <x v="0"/>
    <x v="0"/>
    <x v="3"/>
    <x v="1"/>
    <n v="49.666666666666664"/>
    <x v="2"/>
    <x v="4"/>
  </r>
  <r>
    <n v="26"/>
    <x v="0"/>
    <x v="0"/>
    <n v="12"/>
    <n v="3"/>
    <n v="32.443644849999998"/>
    <n v="59"/>
    <n v="80"/>
    <n v="94"/>
    <x v="0"/>
    <x v="0"/>
    <x v="0"/>
    <x v="1"/>
    <n v="77.666666666666671"/>
    <x v="0"/>
    <x v="3"/>
  </r>
  <r>
    <n v="46"/>
    <x v="1"/>
    <x v="2"/>
    <n v="7"/>
    <n v="3"/>
    <n v="33.019037330000003"/>
    <n v="45"/>
    <n v="94"/>
    <n v="53"/>
    <x v="0"/>
    <x v="0"/>
    <x v="2"/>
    <x v="2"/>
    <n v="64"/>
    <x v="1"/>
    <x v="3"/>
  </r>
  <r>
    <n v="38"/>
    <x v="1"/>
    <x v="0"/>
    <n v="13"/>
    <n v="1"/>
    <n v="43.525211419999998"/>
    <n v="35"/>
    <n v="36"/>
    <n v="79"/>
    <x v="0"/>
    <x v="0"/>
    <x v="1"/>
    <x v="1"/>
    <n v="50"/>
    <x v="3"/>
    <x v="2"/>
  </r>
  <r>
    <n v="41"/>
    <x v="1"/>
    <x v="1"/>
    <n v="2"/>
    <n v="3"/>
    <n v="38.043463420000002"/>
    <n v="57"/>
    <n v="96"/>
    <n v="73"/>
    <x v="1"/>
    <x v="1"/>
    <x v="4"/>
    <x v="0"/>
    <n v="75.333333333333329"/>
    <x v="0"/>
    <x v="3"/>
  </r>
  <r>
    <n v="47"/>
    <x v="1"/>
    <x v="0"/>
    <n v="9"/>
    <n v="2"/>
    <n v="28.12866635"/>
    <n v="75"/>
    <n v="26"/>
    <n v="92"/>
    <x v="1"/>
    <x v="1"/>
    <x v="2"/>
    <x v="1"/>
    <n v="64.333333333333329"/>
    <x v="1"/>
    <x v="0"/>
  </r>
  <r>
    <n v="21"/>
    <x v="1"/>
    <x v="2"/>
    <n v="5"/>
    <n v="3"/>
    <n v="33.6793385"/>
    <n v="37"/>
    <n v="44"/>
    <n v="58"/>
    <x v="1"/>
    <x v="1"/>
    <x v="5"/>
    <x v="2"/>
    <n v="46.333333333333336"/>
    <x v="2"/>
    <x v="3"/>
  </r>
  <r>
    <n v="29"/>
    <x v="1"/>
    <x v="0"/>
    <n v="0"/>
    <n v="5"/>
    <n v="14.699439079999999"/>
    <n v="10"/>
    <n v="3"/>
    <n v="5"/>
    <x v="0"/>
    <x v="1"/>
    <x v="0"/>
    <x v="0"/>
    <n v="6"/>
    <x v="2"/>
    <x v="4"/>
  </r>
  <r>
    <n v="32"/>
    <x v="0"/>
    <x v="3"/>
    <n v="6"/>
    <n v="3"/>
    <n v="30.6528095"/>
    <n v="11"/>
    <n v="85"/>
    <n v="28"/>
    <x v="0"/>
    <x v="0"/>
    <x v="3"/>
    <x v="2"/>
    <n v="41.333333333333336"/>
    <x v="2"/>
    <x v="3"/>
  </r>
  <r>
    <n v="49"/>
    <x v="1"/>
    <x v="0"/>
    <n v="7"/>
    <n v="2"/>
    <n v="25.461362739999998"/>
    <n v="41"/>
    <n v="89"/>
    <n v="16"/>
    <x v="0"/>
    <x v="0"/>
    <x v="2"/>
    <x v="2"/>
    <n v="48.666666666666664"/>
    <x v="2"/>
    <x v="0"/>
  </r>
  <r>
    <n v="44"/>
    <x v="0"/>
    <x v="0"/>
    <n v="10"/>
    <n v="1"/>
    <n v="7.667223366"/>
    <n v="38"/>
    <n v="95"/>
    <n v="59"/>
    <x v="0"/>
    <x v="0"/>
    <x v="4"/>
    <x v="1"/>
    <n v="64"/>
    <x v="1"/>
    <x v="1"/>
  </r>
  <r>
    <n v="40"/>
    <x v="0"/>
    <x v="2"/>
    <n v="13"/>
    <n v="4"/>
    <n v="13.127213830000001"/>
    <n v="70"/>
    <n v="87"/>
    <n v="21"/>
    <x v="1"/>
    <x v="1"/>
    <x v="1"/>
    <x v="1"/>
    <n v="59.333333333333336"/>
    <x v="3"/>
    <x v="4"/>
  </r>
  <r>
    <n v="25"/>
    <x v="1"/>
    <x v="0"/>
    <n v="7"/>
    <n v="3"/>
    <n v="15.58467254"/>
    <n v="10"/>
    <n v="98"/>
    <n v="23"/>
    <x v="0"/>
    <x v="0"/>
    <x v="5"/>
    <x v="2"/>
    <n v="43.666666666666664"/>
    <x v="2"/>
    <x v="4"/>
  </r>
  <r>
    <n v="47"/>
    <x v="0"/>
    <x v="0"/>
    <n v="2"/>
    <n v="2"/>
    <n v="47.215478349999998"/>
    <n v="35"/>
    <n v="36"/>
    <n v="80"/>
    <x v="0"/>
    <x v="1"/>
    <x v="2"/>
    <x v="0"/>
    <n v="50.333333333333336"/>
    <x v="3"/>
    <x v="2"/>
  </r>
  <r>
    <n v="47"/>
    <x v="0"/>
    <x v="3"/>
    <n v="13"/>
    <n v="4"/>
    <n v="12.51933197"/>
    <n v="51"/>
    <n v="95"/>
    <n v="84"/>
    <x v="1"/>
    <x v="0"/>
    <x v="2"/>
    <x v="1"/>
    <n v="76.666666666666671"/>
    <x v="0"/>
    <x v="4"/>
  </r>
  <r>
    <n v="31"/>
    <x v="0"/>
    <x v="0"/>
    <n v="9"/>
    <n v="4"/>
    <n v="15.46219514"/>
    <n v="30"/>
    <n v="70"/>
    <n v="50"/>
    <x v="1"/>
    <x v="1"/>
    <x v="3"/>
    <x v="1"/>
    <n v="50"/>
    <x v="3"/>
    <x v="4"/>
  </r>
  <r>
    <n v="31"/>
    <x v="0"/>
    <x v="2"/>
    <n v="0"/>
    <n v="5"/>
    <n v="19.467706499999998"/>
    <n v="32"/>
    <n v="32"/>
    <n v="49"/>
    <x v="1"/>
    <x v="1"/>
    <x v="3"/>
    <x v="0"/>
    <n v="37.666666666666664"/>
    <x v="2"/>
    <x v="4"/>
  </r>
  <r>
    <n v="39"/>
    <x v="0"/>
    <x v="2"/>
    <n v="8"/>
    <n v="4"/>
    <n v="34.187136930000001"/>
    <n v="12"/>
    <n v="30"/>
    <n v="10"/>
    <x v="2"/>
    <x v="1"/>
    <x v="1"/>
    <x v="1"/>
    <n v="17.333333333333332"/>
    <x v="2"/>
    <x v="3"/>
  </r>
  <r>
    <n v="49"/>
    <x v="0"/>
    <x v="2"/>
    <n v="12"/>
    <n v="2"/>
    <n v="6.9119196240000003"/>
    <n v="17"/>
    <n v="54"/>
    <n v="55"/>
    <x v="0"/>
    <x v="0"/>
    <x v="2"/>
    <x v="1"/>
    <n v="42"/>
    <x v="2"/>
    <x v="1"/>
  </r>
  <r>
    <n v="49"/>
    <x v="1"/>
    <x v="0"/>
    <n v="5"/>
    <n v="2"/>
    <n v="48.697260620000002"/>
    <n v="40"/>
    <n v="11"/>
    <n v="70"/>
    <x v="1"/>
    <x v="1"/>
    <x v="2"/>
    <x v="2"/>
    <n v="40.333333333333336"/>
    <x v="2"/>
    <x v="2"/>
  </r>
  <r>
    <n v="30"/>
    <x v="0"/>
    <x v="0"/>
    <n v="10"/>
    <n v="3"/>
    <n v="44.278561000000003"/>
    <n v="57"/>
    <n v="10"/>
    <n v="41"/>
    <x v="1"/>
    <x v="1"/>
    <x v="0"/>
    <x v="1"/>
    <n v="36"/>
    <x v="2"/>
    <x v="2"/>
  </r>
  <r>
    <n v="45"/>
    <x v="0"/>
    <x v="0"/>
    <n v="8"/>
    <n v="3"/>
    <n v="29.860803650000001"/>
    <n v="55"/>
    <n v="87"/>
    <n v="38"/>
    <x v="1"/>
    <x v="1"/>
    <x v="4"/>
    <x v="1"/>
    <n v="60"/>
    <x v="1"/>
    <x v="0"/>
  </r>
  <r>
    <n v="42"/>
    <x v="0"/>
    <x v="0"/>
    <n v="6"/>
    <n v="3"/>
    <n v="34.701893370000001"/>
    <n v="23"/>
    <n v="71"/>
    <n v="68"/>
    <x v="2"/>
    <x v="1"/>
    <x v="4"/>
    <x v="2"/>
    <n v="54"/>
    <x v="3"/>
    <x v="3"/>
  </r>
  <r>
    <n v="47"/>
    <x v="1"/>
    <x v="0"/>
    <n v="0"/>
    <n v="4"/>
    <n v="1.8330235619999999"/>
    <n v="72"/>
    <n v="31"/>
    <n v="47"/>
    <x v="0"/>
    <x v="1"/>
    <x v="2"/>
    <x v="0"/>
    <n v="50"/>
    <x v="3"/>
    <x v="1"/>
  </r>
  <r>
    <n v="44"/>
    <x v="0"/>
    <x v="2"/>
    <n v="11"/>
    <n v="4"/>
    <n v="17.947238769999998"/>
    <n v="30"/>
    <n v="56"/>
    <n v="56"/>
    <x v="1"/>
    <x v="1"/>
    <x v="4"/>
    <x v="1"/>
    <n v="47.333333333333336"/>
    <x v="2"/>
    <x v="4"/>
  </r>
  <r>
    <n v="26"/>
    <x v="1"/>
    <x v="2"/>
    <n v="11"/>
    <n v="5"/>
    <n v="40.783011530000003"/>
    <n v="54"/>
    <n v="37"/>
    <n v="20"/>
    <x v="0"/>
    <x v="1"/>
    <x v="0"/>
    <x v="1"/>
    <n v="37"/>
    <x v="2"/>
    <x v="2"/>
  </r>
  <r>
    <n v="49"/>
    <x v="0"/>
    <x v="3"/>
    <n v="0"/>
    <n v="3"/>
    <n v="4.8741486900000002"/>
    <n v="9"/>
    <n v="59"/>
    <n v="81"/>
    <x v="1"/>
    <x v="1"/>
    <x v="2"/>
    <x v="0"/>
    <n v="49.666666666666664"/>
    <x v="2"/>
    <x v="1"/>
  </r>
  <r>
    <n v="20"/>
    <x v="1"/>
    <x v="0"/>
    <n v="5"/>
    <n v="1"/>
    <n v="15.11569171"/>
    <n v="59"/>
    <n v="85"/>
    <n v="98"/>
    <x v="1"/>
    <x v="1"/>
    <x v="5"/>
    <x v="2"/>
    <n v="80.666666666666671"/>
    <x v="4"/>
    <x v="4"/>
  </r>
  <r>
    <n v="20"/>
    <x v="1"/>
    <x v="0"/>
    <n v="4"/>
    <n v="5"/>
    <n v="30.26484142"/>
    <n v="1"/>
    <n v="97"/>
    <n v="19"/>
    <x v="2"/>
    <x v="1"/>
    <x v="5"/>
    <x v="2"/>
    <n v="39"/>
    <x v="2"/>
    <x v="3"/>
  </r>
  <r>
    <n v="44"/>
    <x v="0"/>
    <x v="3"/>
    <n v="8"/>
    <n v="1"/>
    <n v="13.820651379999999"/>
    <n v="14"/>
    <n v="18"/>
    <n v="14"/>
    <x v="2"/>
    <x v="1"/>
    <x v="4"/>
    <x v="1"/>
    <n v="15.333333333333334"/>
    <x v="2"/>
    <x v="4"/>
  </r>
  <r>
    <n v="46"/>
    <x v="0"/>
    <x v="0"/>
    <n v="1"/>
    <n v="4"/>
    <n v="47.698898710000002"/>
    <n v="2"/>
    <n v="83"/>
    <n v="68"/>
    <x v="1"/>
    <x v="1"/>
    <x v="2"/>
    <x v="0"/>
    <n v="51"/>
    <x v="3"/>
    <x v="2"/>
  </r>
  <r>
    <n v="49"/>
    <x v="1"/>
    <x v="3"/>
    <n v="7"/>
    <n v="5"/>
    <n v="7.5529315400000003"/>
    <n v="42"/>
    <n v="55"/>
    <n v="76"/>
    <x v="0"/>
    <x v="0"/>
    <x v="2"/>
    <x v="2"/>
    <n v="57.666666666666664"/>
    <x v="3"/>
    <x v="1"/>
  </r>
  <r>
    <n v="44"/>
    <x v="0"/>
    <x v="0"/>
    <n v="10"/>
    <n v="5"/>
    <n v="40.869717899999998"/>
    <n v="30"/>
    <n v="13"/>
    <n v="50"/>
    <x v="1"/>
    <x v="1"/>
    <x v="4"/>
    <x v="1"/>
    <n v="31"/>
    <x v="2"/>
    <x v="2"/>
  </r>
  <r>
    <n v="39"/>
    <x v="1"/>
    <x v="1"/>
    <n v="4"/>
    <n v="2"/>
    <n v="26.3974346"/>
    <n v="69"/>
    <n v="32"/>
    <n v="75"/>
    <x v="1"/>
    <x v="1"/>
    <x v="1"/>
    <x v="2"/>
    <n v="58.666666666666664"/>
    <x v="3"/>
    <x v="0"/>
  </r>
  <r>
    <n v="32"/>
    <x v="1"/>
    <x v="2"/>
    <n v="1"/>
    <n v="4"/>
    <n v="38.516538789999998"/>
    <n v="66"/>
    <n v="9"/>
    <n v="61"/>
    <x v="0"/>
    <x v="1"/>
    <x v="3"/>
    <x v="0"/>
    <n v="45.333333333333336"/>
    <x v="2"/>
    <x v="3"/>
  </r>
  <r>
    <n v="28"/>
    <x v="1"/>
    <x v="2"/>
    <n v="12"/>
    <n v="4"/>
    <n v="16.535766420000002"/>
    <n v="55"/>
    <n v="79"/>
    <n v="84"/>
    <x v="1"/>
    <x v="1"/>
    <x v="0"/>
    <x v="1"/>
    <n v="72.666666666666671"/>
    <x v="0"/>
    <x v="4"/>
  </r>
  <r>
    <n v="22"/>
    <x v="1"/>
    <x v="0"/>
    <n v="9"/>
    <n v="5"/>
    <n v="26.724480119999999"/>
    <n v="62"/>
    <n v="63"/>
    <n v="36"/>
    <x v="2"/>
    <x v="1"/>
    <x v="5"/>
    <x v="1"/>
    <n v="53.666666666666664"/>
    <x v="3"/>
    <x v="0"/>
  </r>
  <r>
    <n v="26"/>
    <x v="1"/>
    <x v="1"/>
    <n v="10"/>
    <n v="4"/>
    <n v="43.841767490000002"/>
    <n v="74"/>
    <n v="63"/>
    <n v="5"/>
    <x v="1"/>
    <x v="0"/>
    <x v="0"/>
    <x v="1"/>
    <n v="47.333333333333336"/>
    <x v="2"/>
    <x v="2"/>
  </r>
  <r>
    <n v="25"/>
    <x v="0"/>
    <x v="3"/>
    <n v="10"/>
    <n v="5"/>
    <n v="24.34390496"/>
    <n v="14"/>
    <n v="61"/>
    <n v="70"/>
    <x v="1"/>
    <x v="0"/>
    <x v="5"/>
    <x v="1"/>
    <n v="48.333333333333336"/>
    <x v="2"/>
    <x v="0"/>
  </r>
  <r>
    <n v="27"/>
    <x v="1"/>
    <x v="2"/>
    <n v="11"/>
    <n v="2"/>
    <n v="18.985993100000002"/>
    <n v="91"/>
    <n v="67"/>
    <n v="25"/>
    <x v="2"/>
    <x v="1"/>
    <x v="0"/>
    <x v="1"/>
    <n v="61"/>
    <x v="1"/>
    <x v="4"/>
  </r>
  <r>
    <n v="46"/>
    <x v="1"/>
    <x v="0"/>
    <n v="5"/>
    <n v="5"/>
    <n v="27.807769310000001"/>
    <n v="9"/>
    <n v="90"/>
    <n v="7"/>
    <x v="0"/>
    <x v="1"/>
    <x v="2"/>
    <x v="2"/>
    <n v="35.333333333333336"/>
    <x v="2"/>
    <x v="0"/>
  </r>
  <r>
    <n v="28"/>
    <x v="0"/>
    <x v="1"/>
    <n v="9"/>
    <n v="4"/>
    <n v="36.868137650000001"/>
    <n v="37"/>
    <n v="91"/>
    <n v="72"/>
    <x v="0"/>
    <x v="0"/>
    <x v="0"/>
    <x v="1"/>
    <n v="66.666666666666671"/>
    <x v="1"/>
    <x v="3"/>
  </r>
  <r>
    <n v="49"/>
    <x v="1"/>
    <x v="0"/>
    <n v="7"/>
    <n v="4"/>
    <n v="23.178167269999999"/>
    <n v="46"/>
    <n v="42"/>
    <n v="90"/>
    <x v="1"/>
    <x v="1"/>
    <x v="2"/>
    <x v="2"/>
    <n v="59.333333333333336"/>
    <x v="3"/>
    <x v="0"/>
  </r>
  <r>
    <n v="24"/>
    <x v="0"/>
    <x v="3"/>
    <n v="3"/>
    <n v="5"/>
    <n v="47.943848760000002"/>
    <n v="56"/>
    <n v="79"/>
    <n v="3"/>
    <x v="1"/>
    <x v="1"/>
    <x v="5"/>
    <x v="2"/>
    <n v="46"/>
    <x v="2"/>
    <x v="2"/>
  </r>
  <r>
    <n v="20"/>
    <x v="0"/>
    <x v="3"/>
    <n v="1"/>
    <n v="5"/>
    <n v="15.747291199999999"/>
    <n v="49"/>
    <n v="58"/>
    <n v="20"/>
    <x v="1"/>
    <x v="1"/>
    <x v="5"/>
    <x v="0"/>
    <n v="42.333333333333336"/>
    <x v="2"/>
    <x v="4"/>
  </r>
  <r>
    <n v="38"/>
    <x v="0"/>
    <x v="0"/>
    <n v="11"/>
    <n v="5"/>
    <n v="24.773180310000001"/>
    <n v="70"/>
    <n v="51"/>
    <n v="30"/>
    <x v="0"/>
    <x v="0"/>
    <x v="1"/>
    <x v="1"/>
    <n v="50.333333333333336"/>
    <x v="3"/>
    <x v="0"/>
  </r>
  <r>
    <n v="29"/>
    <x v="1"/>
    <x v="0"/>
    <n v="10"/>
    <n v="3"/>
    <n v="38.846382970000001"/>
    <n v="14"/>
    <n v="96"/>
    <n v="20"/>
    <x v="0"/>
    <x v="0"/>
    <x v="0"/>
    <x v="1"/>
    <n v="43.333333333333336"/>
    <x v="2"/>
    <x v="3"/>
  </r>
  <r>
    <n v="31"/>
    <x v="1"/>
    <x v="0"/>
    <n v="4"/>
    <n v="4"/>
    <n v="35.456054520000002"/>
    <n v="17"/>
    <n v="18"/>
    <n v="24"/>
    <x v="0"/>
    <x v="1"/>
    <x v="3"/>
    <x v="2"/>
    <n v="19.666666666666668"/>
    <x v="2"/>
    <x v="3"/>
  </r>
  <r>
    <n v="43"/>
    <x v="1"/>
    <x v="0"/>
    <n v="14"/>
    <n v="4"/>
    <n v="44.18205262"/>
    <n v="81"/>
    <n v="20"/>
    <n v="14"/>
    <x v="2"/>
    <x v="1"/>
    <x v="4"/>
    <x v="1"/>
    <n v="38.333333333333336"/>
    <x v="2"/>
    <x v="2"/>
  </r>
  <r>
    <n v="34"/>
    <x v="0"/>
    <x v="3"/>
    <n v="11"/>
    <n v="3"/>
    <n v="50.840459029999998"/>
    <n v="87"/>
    <n v="21"/>
    <n v="34"/>
    <x v="1"/>
    <x v="1"/>
    <x v="3"/>
    <x v="1"/>
    <n v="47.333333333333336"/>
    <x v="2"/>
    <x v="5"/>
  </r>
  <r>
    <n v="46"/>
    <x v="1"/>
    <x v="0"/>
    <n v="1"/>
    <n v="5"/>
    <n v="22.34291644"/>
    <n v="1"/>
    <n v="8"/>
    <n v="48"/>
    <x v="1"/>
    <x v="1"/>
    <x v="2"/>
    <x v="0"/>
    <n v="19"/>
    <x v="2"/>
    <x v="0"/>
  </r>
  <r>
    <n v="41"/>
    <x v="0"/>
    <x v="3"/>
    <n v="1"/>
    <n v="2"/>
    <n v="6.557543989"/>
    <n v="83"/>
    <n v="8"/>
    <n v="42"/>
    <x v="0"/>
    <x v="0"/>
    <x v="4"/>
    <x v="0"/>
    <n v="44.333333333333336"/>
    <x v="2"/>
    <x v="1"/>
  </r>
  <r>
    <n v="43"/>
    <x v="1"/>
    <x v="2"/>
    <n v="14"/>
    <n v="5"/>
    <n v="2.5207940400000002"/>
    <n v="97"/>
    <n v="72"/>
    <n v="40"/>
    <x v="0"/>
    <x v="0"/>
    <x v="4"/>
    <x v="1"/>
    <n v="69.666666666666671"/>
    <x v="1"/>
    <x v="1"/>
  </r>
  <r>
    <n v="28"/>
    <x v="0"/>
    <x v="1"/>
    <n v="5"/>
    <n v="5"/>
    <n v="37.343845309999999"/>
    <n v="42"/>
    <n v="26"/>
    <n v="36"/>
    <x v="1"/>
    <x v="1"/>
    <x v="0"/>
    <x v="2"/>
    <n v="34.666666666666664"/>
    <x v="2"/>
    <x v="3"/>
  </r>
  <r>
    <n v="39"/>
    <x v="1"/>
    <x v="0"/>
    <n v="15"/>
    <n v="3"/>
    <n v="44.700683570000002"/>
    <n v="25"/>
    <n v="16"/>
    <n v="56"/>
    <x v="0"/>
    <x v="1"/>
    <x v="1"/>
    <x v="1"/>
    <n v="32.333333333333336"/>
    <x v="2"/>
    <x v="2"/>
  </r>
  <r>
    <n v="36"/>
    <x v="1"/>
    <x v="2"/>
    <n v="10"/>
    <n v="4"/>
    <n v="12.0356293"/>
    <n v="70"/>
    <n v="43"/>
    <n v="41"/>
    <x v="1"/>
    <x v="1"/>
    <x v="1"/>
    <x v="1"/>
    <n v="51.333333333333336"/>
    <x v="3"/>
    <x v="4"/>
  </r>
  <r>
    <n v="49"/>
    <x v="1"/>
    <x v="2"/>
    <n v="9"/>
    <n v="5"/>
    <n v="8.9224018590000007"/>
    <n v="37"/>
    <n v="44"/>
    <n v="46"/>
    <x v="1"/>
    <x v="1"/>
    <x v="2"/>
    <x v="1"/>
    <n v="42.333333333333336"/>
    <x v="2"/>
    <x v="1"/>
  </r>
  <r>
    <n v="36"/>
    <x v="0"/>
    <x v="3"/>
    <n v="8"/>
    <n v="4"/>
    <n v="4.110254576"/>
    <n v="93"/>
    <n v="7"/>
    <n v="91"/>
    <x v="1"/>
    <x v="0"/>
    <x v="1"/>
    <x v="1"/>
    <n v="63.666666666666664"/>
    <x v="1"/>
    <x v="1"/>
  </r>
  <r>
    <n v="45"/>
    <x v="0"/>
    <x v="0"/>
    <n v="12"/>
    <n v="1"/>
    <n v="42.135146089999999"/>
    <n v="41"/>
    <n v="79"/>
    <n v="60"/>
    <x v="1"/>
    <x v="1"/>
    <x v="4"/>
    <x v="1"/>
    <n v="60"/>
    <x v="1"/>
    <x v="2"/>
  </r>
  <r>
    <n v="39"/>
    <x v="1"/>
    <x v="3"/>
    <n v="3"/>
    <n v="4"/>
    <n v="16.569096989999998"/>
    <n v="4"/>
    <n v="17"/>
    <n v="13"/>
    <x v="1"/>
    <x v="1"/>
    <x v="1"/>
    <x v="2"/>
    <n v="11.333333333333334"/>
    <x v="2"/>
    <x v="4"/>
  </r>
  <r>
    <n v="31"/>
    <x v="1"/>
    <x v="2"/>
    <n v="5"/>
    <n v="2"/>
    <n v="21.08484464"/>
    <n v="10"/>
    <n v="32"/>
    <n v="67"/>
    <x v="0"/>
    <x v="1"/>
    <x v="3"/>
    <x v="2"/>
    <n v="36.333333333333336"/>
    <x v="2"/>
    <x v="0"/>
  </r>
  <r>
    <n v="49"/>
    <x v="0"/>
    <x v="2"/>
    <n v="15"/>
    <n v="2"/>
    <n v="26.13750958"/>
    <n v="64"/>
    <n v="0"/>
    <n v="52"/>
    <x v="1"/>
    <x v="1"/>
    <x v="2"/>
    <x v="1"/>
    <n v="38.666666666666664"/>
    <x v="2"/>
    <x v="0"/>
  </r>
  <r>
    <n v="26"/>
    <x v="0"/>
    <x v="0"/>
    <n v="6"/>
    <n v="5"/>
    <n v="42.972661709999997"/>
    <n v="33"/>
    <n v="75"/>
    <n v="83"/>
    <x v="1"/>
    <x v="1"/>
    <x v="0"/>
    <x v="2"/>
    <n v="63.666666666666664"/>
    <x v="1"/>
    <x v="2"/>
  </r>
  <r>
    <n v="21"/>
    <x v="0"/>
    <x v="0"/>
    <n v="12"/>
    <n v="4"/>
    <n v="33.541661079999997"/>
    <n v="0"/>
    <n v="5"/>
    <n v="33"/>
    <x v="0"/>
    <x v="1"/>
    <x v="5"/>
    <x v="1"/>
    <n v="12.666666666666666"/>
    <x v="2"/>
    <x v="3"/>
  </r>
  <r>
    <n v="22"/>
    <x v="1"/>
    <x v="0"/>
    <n v="10"/>
    <n v="5"/>
    <n v="31.753231490000001"/>
    <n v="82"/>
    <n v="40"/>
    <n v="75"/>
    <x v="2"/>
    <x v="1"/>
    <x v="5"/>
    <x v="1"/>
    <n v="65.666666666666671"/>
    <x v="1"/>
    <x v="3"/>
  </r>
  <r>
    <n v="36"/>
    <x v="0"/>
    <x v="1"/>
    <n v="5"/>
    <n v="3"/>
    <n v="9.7836049979999995"/>
    <n v="1"/>
    <n v="54"/>
    <n v="96"/>
    <x v="0"/>
    <x v="0"/>
    <x v="1"/>
    <x v="2"/>
    <n v="50.333333333333336"/>
    <x v="3"/>
    <x v="1"/>
  </r>
  <r>
    <n v="24"/>
    <x v="1"/>
    <x v="1"/>
    <n v="7"/>
    <n v="2"/>
    <n v="26.659494590000001"/>
    <n v="84"/>
    <n v="4"/>
    <n v="23"/>
    <x v="0"/>
    <x v="0"/>
    <x v="5"/>
    <x v="2"/>
    <n v="37"/>
    <x v="2"/>
    <x v="0"/>
  </r>
  <r>
    <n v="36"/>
    <x v="0"/>
    <x v="1"/>
    <n v="3"/>
    <n v="5"/>
    <n v="36.76905086"/>
    <n v="19"/>
    <n v="58"/>
    <n v="19"/>
    <x v="0"/>
    <x v="0"/>
    <x v="1"/>
    <x v="2"/>
    <n v="32"/>
    <x v="2"/>
    <x v="3"/>
  </r>
  <r>
    <n v="43"/>
    <x v="1"/>
    <x v="3"/>
    <n v="11"/>
    <n v="3"/>
    <n v="49.663044149999998"/>
    <n v="60"/>
    <n v="79"/>
    <n v="68"/>
    <x v="2"/>
    <x v="0"/>
    <x v="4"/>
    <x v="1"/>
    <n v="69"/>
    <x v="1"/>
    <x v="2"/>
  </r>
  <r>
    <n v="36"/>
    <x v="0"/>
    <x v="0"/>
    <n v="14"/>
    <n v="5"/>
    <n v="11.07031546"/>
    <n v="86"/>
    <n v="17"/>
    <n v="29"/>
    <x v="1"/>
    <x v="1"/>
    <x v="1"/>
    <x v="1"/>
    <n v="44"/>
    <x v="2"/>
    <x v="4"/>
  </r>
  <r>
    <n v="46"/>
    <x v="0"/>
    <x v="0"/>
    <n v="0"/>
    <n v="4"/>
    <n v="1.477167653"/>
    <n v="20"/>
    <n v="48"/>
    <n v="87"/>
    <x v="1"/>
    <x v="1"/>
    <x v="2"/>
    <x v="0"/>
    <n v="51.666666666666664"/>
    <x v="3"/>
    <x v="1"/>
  </r>
  <r>
    <n v="36"/>
    <x v="0"/>
    <x v="0"/>
    <n v="6"/>
    <n v="4"/>
    <n v="4.7650716800000001"/>
    <n v="87"/>
    <n v="81"/>
    <n v="6"/>
    <x v="0"/>
    <x v="0"/>
    <x v="1"/>
    <x v="2"/>
    <n v="58"/>
    <x v="3"/>
    <x v="1"/>
  </r>
  <r>
    <n v="21"/>
    <x v="0"/>
    <x v="3"/>
    <n v="2"/>
    <n v="4"/>
    <n v="19.792623259999999"/>
    <n v="67"/>
    <n v="64"/>
    <n v="35"/>
    <x v="1"/>
    <x v="1"/>
    <x v="5"/>
    <x v="0"/>
    <n v="55.333333333333336"/>
    <x v="3"/>
    <x v="4"/>
  </r>
  <r>
    <n v="21"/>
    <x v="0"/>
    <x v="2"/>
    <n v="13"/>
    <n v="4"/>
    <n v="42.027232390000002"/>
    <n v="11"/>
    <n v="82"/>
    <n v="37"/>
    <x v="1"/>
    <x v="1"/>
    <x v="5"/>
    <x v="1"/>
    <n v="43.333333333333336"/>
    <x v="2"/>
    <x v="2"/>
  </r>
  <r>
    <n v="47"/>
    <x v="1"/>
    <x v="0"/>
    <n v="5"/>
    <n v="1"/>
    <n v="1.357104088"/>
    <n v="21"/>
    <n v="53"/>
    <n v="79"/>
    <x v="2"/>
    <x v="1"/>
    <x v="2"/>
    <x v="2"/>
    <n v="51"/>
    <x v="3"/>
    <x v="1"/>
  </r>
  <r>
    <n v="41"/>
    <x v="0"/>
    <x v="2"/>
    <n v="1"/>
    <n v="3"/>
    <n v="23.836529639999998"/>
    <n v="19"/>
    <n v="60"/>
    <n v="51"/>
    <x v="0"/>
    <x v="1"/>
    <x v="4"/>
    <x v="0"/>
    <n v="43.333333333333336"/>
    <x v="2"/>
    <x v="0"/>
  </r>
  <r>
    <n v="42"/>
    <x v="0"/>
    <x v="0"/>
    <n v="8"/>
    <n v="3"/>
    <n v="17.46153077"/>
    <n v="81"/>
    <n v="7"/>
    <n v="14"/>
    <x v="0"/>
    <x v="0"/>
    <x v="4"/>
    <x v="1"/>
    <n v="34"/>
    <x v="2"/>
    <x v="4"/>
  </r>
  <r>
    <n v="24"/>
    <x v="0"/>
    <x v="3"/>
    <n v="0"/>
    <n v="4"/>
    <n v="3.624085505"/>
    <n v="0"/>
    <n v="2"/>
    <n v="45"/>
    <x v="0"/>
    <x v="1"/>
    <x v="5"/>
    <x v="0"/>
    <n v="15.666666666666666"/>
    <x v="2"/>
    <x v="1"/>
  </r>
  <r>
    <n v="20"/>
    <x v="1"/>
    <x v="3"/>
    <n v="5"/>
    <n v="1"/>
    <n v="23.51181433"/>
    <n v="29"/>
    <n v="24"/>
    <n v="22"/>
    <x v="2"/>
    <x v="1"/>
    <x v="5"/>
    <x v="2"/>
    <n v="25"/>
    <x v="2"/>
    <x v="0"/>
  </r>
  <r>
    <n v="20"/>
    <x v="0"/>
    <x v="0"/>
    <n v="5"/>
    <n v="4"/>
    <n v="13.73743537"/>
    <n v="96"/>
    <n v="68"/>
    <n v="11"/>
    <x v="1"/>
    <x v="1"/>
    <x v="5"/>
    <x v="2"/>
    <n v="58.333333333333336"/>
    <x v="3"/>
    <x v="4"/>
  </r>
  <r>
    <n v="38"/>
    <x v="1"/>
    <x v="1"/>
    <n v="4"/>
    <n v="1"/>
    <n v="18.594241719999999"/>
    <n v="23"/>
    <n v="54"/>
    <n v="92"/>
    <x v="1"/>
    <x v="1"/>
    <x v="1"/>
    <x v="2"/>
    <n v="56.333333333333336"/>
    <x v="3"/>
    <x v="4"/>
  </r>
  <r>
    <n v="49"/>
    <x v="0"/>
    <x v="0"/>
    <n v="15"/>
    <n v="4"/>
    <n v="36.280765240000001"/>
    <n v="13"/>
    <n v="39"/>
    <n v="43"/>
    <x v="1"/>
    <x v="1"/>
    <x v="2"/>
    <x v="1"/>
    <n v="31.666666666666668"/>
    <x v="2"/>
    <x v="3"/>
  </r>
  <r>
    <n v="21"/>
    <x v="0"/>
    <x v="2"/>
    <n v="12"/>
    <n v="2"/>
    <n v="27.0775492"/>
    <n v="35"/>
    <n v="82"/>
    <n v="14"/>
    <x v="2"/>
    <x v="1"/>
    <x v="5"/>
    <x v="1"/>
    <n v="43.666666666666664"/>
    <x v="2"/>
    <x v="0"/>
  </r>
  <r>
    <n v="40"/>
    <x v="1"/>
    <x v="0"/>
    <n v="4"/>
    <n v="2"/>
    <n v="7.2323714499999996"/>
    <n v="68"/>
    <n v="81"/>
    <n v="92"/>
    <x v="2"/>
    <x v="1"/>
    <x v="1"/>
    <x v="2"/>
    <n v="80.333333333333329"/>
    <x v="4"/>
    <x v="1"/>
  </r>
  <r>
    <n v="31"/>
    <x v="0"/>
    <x v="0"/>
    <n v="0"/>
    <n v="5"/>
    <n v="49.07072702"/>
    <n v="74"/>
    <n v="49"/>
    <n v="48"/>
    <x v="1"/>
    <x v="1"/>
    <x v="3"/>
    <x v="0"/>
    <n v="57"/>
    <x v="3"/>
    <x v="2"/>
  </r>
  <r>
    <n v="45"/>
    <x v="1"/>
    <x v="2"/>
    <n v="9"/>
    <n v="4"/>
    <n v="32.795538290000003"/>
    <n v="23"/>
    <n v="94"/>
    <n v="20"/>
    <x v="0"/>
    <x v="0"/>
    <x v="4"/>
    <x v="1"/>
    <n v="45.666666666666664"/>
    <x v="2"/>
    <x v="3"/>
  </r>
  <r>
    <n v="25"/>
    <x v="1"/>
    <x v="1"/>
    <n v="11"/>
    <n v="3"/>
    <n v="39.293421279999997"/>
    <n v="59"/>
    <n v="32"/>
    <n v="14"/>
    <x v="0"/>
    <x v="0"/>
    <x v="5"/>
    <x v="1"/>
    <n v="35"/>
    <x v="2"/>
    <x v="3"/>
  </r>
  <r>
    <n v="42"/>
    <x v="0"/>
    <x v="0"/>
    <n v="4"/>
    <n v="5"/>
    <n v="4.9606574999999999"/>
    <n v="94"/>
    <n v="17"/>
    <n v="13"/>
    <x v="2"/>
    <x v="1"/>
    <x v="4"/>
    <x v="2"/>
    <n v="41.333333333333336"/>
    <x v="2"/>
    <x v="1"/>
  </r>
  <r>
    <n v="23"/>
    <x v="1"/>
    <x v="3"/>
    <n v="1"/>
    <n v="2"/>
    <n v="3.352918973"/>
    <n v="54"/>
    <n v="56"/>
    <n v="41"/>
    <x v="1"/>
    <x v="1"/>
    <x v="5"/>
    <x v="0"/>
    <n v="50.333333333333336"/>
    <x v="3"/>
    <x v="1"/>
  </r>
  <r>
    <n v="42"/>
    <x v="0"/>
    <x v="0"/>
    <n v="6"/>
    <n v="4"/>
    <n v="1.972402518"/>
    <n v="76"/>
    <n v="15"/>
    <n v="79"/>
    <x v="0"/>
    <x v="0"/>
    <x v="4"/>
    <x v="2"/>
    <n v="56.666666666666664"/>
    <x v="3"/>
    <x v="1"/>
  </r>
  <r>
    <n v="30"/>
    <x v="0"/>
    <x v="2"/>
    <n v="2"/>
    <n v="5"/>
    <n v="10.43970139"/>
    <n v="79"/>
    <n v="79"/>
    <n v="14"/>
    <x v="1"/>
    <x v="1"/>
    <x v="0"/>
    <x v="0"/>
    <n v="57.333333333333336"/>
    <x v="3"/>
    <x v="4"/>
  </r>
  <r>
    <n v="43"/>
    <x v="1"/>
    <x v="0"/>
    <n v="12"/>
    <n v="4"/>
    <n v="21.720419889999999"/>
    <n v="23"/>
    <n v="37"/>
    <n v="62"/>
    <x v="2"/>
    <x v="1"/>
    <x v="4"/>
    <x v="1"/>
    <n v="40.666666666666664"/>
    <x v="2"/>
    <x v="0"/>
  </r>
  <r>
    <n v="46"/>
    <x v="1"/>
    <x v="2"/>
    <n v="14"/>
    <n v="2"/>
    <n v="47.791306669999997"/>
    <n v="76"/>
    <n v="40"/>
    <n v="67"/>
    <x v="1"/>
    <x v="1"/>
    <x v="2"/>
    <x v="1"/>
    <n v="61"/>
    <x v="1"/>
    <x v="2"/>
  </r>
  <r>
    <n v="36"/>
    <x v="1"/>
    <x v="0"/>
    <n v="3"/>
    <n v="5"/>
    <n v="23.852982959999999"/>
    <n v="23"/>
    <n v="6"/>
    <n v="26"/>
    <x v="1"/>
    <x v="1"/>
    <x v="1"/>
    <x v="2"/>
    <n v="18.333333333333332"/>
    <x v="2"/>
    <x v="0"/>
  </r>
  <r>
    <n v="50"/>
    <x v="1"/>
    <x v="1"/>
    <n v="2"/>
    <n v="2"/>
    <n v="15.51275527"/>
    <n v="53"/>
    <n v="77"/>
    <n v="86"/>
    <x v="2"/>
    <x v="1"/>
    <x v="2"/>
    <x v="0"/>
    <n v="72"/>
    <x v="0"/>
    <x v="4"/>
  </r>
  <r>
    <n v="25"/>
    <x v="0"/>
    <x v="0"/>
    <n v="2"/>
    <n v="1"/>
    <n v="29.096762680000001"/>
    <n v="25"/>
    <n v="52"/>
    <n v="92"/>
    <x v="1"/>
    <x v="1"/>
    <x v="5"/>
    <x v="0"/>
    <n v="56.333333333333336"/>
    <x v="3"/>
    <x v="0"/>
  </r>
  <r>
    <n v="43"/>
    <x v="0"/>
    <x v="0"/>
    <n v="3"/>
    <n v="2"/>
    <n v="6.5967289070000001"/>
    <n v="65"/>
    <n v="62"/>
    <n v="52"/>
    <x v="0"/>
    <x v="1"/>
    <x v="4"/>
    <x v="2"/>
    <n v="59.666666666666664"/>
    <x v="3"/>
    <x v="1"/>
  </r>
  <r>
    <n v="24"/>
    <x v="1"/>
    <x v="2"/>
    <n v="4"/>
    <n v="4"/>
    <n v="31.475294550000001"/>
    <n v="79"/>
    <n v="88"/>
    <n v="51"/>
    <x v="2"/>
    <x v="1"/>
    <x v="5"/>
    <x v="2"/>
    <n v="72.666666666666671"/>
    <x v="0"/>
    <x v="3"/>
  </r>
  <r>
    <n v="39"/>
    <x v="0"/>
    <x v="2"/>
    <n v="0"/>
    <n v="3"/>
    <n v="29.421597720000001"/>
    <n v="37"/>
    <n v="31"/>
    <n v="62"/>
    <x v="2"/>
    <x v="1"/>
    <x v="1"/>
    <x v="0"/>
    <n v="43.333333333333336"/>
    <x v="2"/>
    <x v="0"/>
  </r>
  <r>
    <n v="21"/>
    <x v="0"/>
    <x v="2"/>
    <n v="3"/>
    <n v="2"/>
    <n v="40.59965167"/>
    <n v="64"/>
    <n v="37"/>
    <n v="72"/>
    <x v="2"/>
    <x v="1"/>
    <x v="5"/>
    <x v="2"/>
    <n v="57.666666666666664"/>
    <x v="3"/>
    <x v="2"/>
  </r>
  <r>
    <n v="25"/>
    <x v="0"/>
    <x v="0"/>
    <n v="11"/>
    <n v="3"/>
    <n v="50.334380580000001"/>
    <n v="74"/>
    <n v="21"/>
    <n v="52"/>
    <x v="1"/>
    <x v="1"/>
    <x v="5"/>
    <x v="1"/>
    <n v="49"/>
    <x v="2"/>
    <x v="5"/>
  </r>
  <r>
    <n v="41"/>
    <x v="0"/>
    <x v="2"/>
    <n v="11"/>
    <n v="1"/>
    <n v="13.543673589999999"/>
    <n v="50"/>
    <n v="15"/>
    <n v="56"/>
    <x v="0"/>
    <x v="1"/>
    <x v="4"/>
    <x v="1"/>
    <n v="40.333333333333336"/>
    <x v="2"/>
    <x v="4"/>
  </r>
  <r>
    <n v="30"/>
    <x v="1"/>
    <x v="0"/>
    <n v="10"/>
    <n v="5"/>
    <n v="26.482822540000001"/>
    <n v="34"/>
    <n v="51"/>
    <n v="51"/>
    <x v="2"/>
    <x v="1"/>
    <x v="0"/>
    <x v="1"/>
    <n v="45.333333333333336"/>
    <x v="2"/>
    <x v="0"/>
  </r>
  <r>
    <n v="50"/>
    <x v="1"/>
    <x v="0"/>
    <n v="7"/>
    <n v="5"/>
    <n v="46.443270320000003"/>
    <n v="42"/>
    <n v="28"/>
    <n v="42"/>
    <x v="0"/>
    <x v="1"/>
    <x v="2"/>
    <x v="2"/>
    <n v="37.333333333333336"/>
    <x v="2"/>
    <x v="2"/>
  </r>
  <r>
    <n v="35"/>
    <x v="0"/>
    <x v="0"/>
    <n v="9"/>
    <n v="3"/>
    <n v="40.259494220000001"/>
    <n v="28"/>
    <n v="15"/>
    <n v="6"/>
    <x v="2"/>
    <x v="1"/>
    <x v="3"/>
    <x v="1"/>
    <n v="16.333333333333332"/>
    <x v="2"/>
    <x v="2"/>
  </r>
  <r>
    <n v="35"/>
    <x v="1"/>
    <x v="2"/>
    <n v="6"/>
    <n v="5"/>
    <n v="25.370315160000001"/>
    <n v="36"/>
    <n v="75"/>
    <n v="41"/>
    <x v="2"/>
    <x v="1"/>
    <x v="3"/>
    <x v="2"/>
    <n v="50.666666666666664"/>
    <x v="3"/>
    <x v="0"/>
  </r>
  <r>
    <n v="20"/>
    <x v="1"/>
    <x v="0"/>
    <n v="8"/>
    <n v="2"/>
    <n v="48.268582479999999"/>
    <n v="80"/>
    <n v="16"/>
    <n v="3"/>
    <x v="1"/>
    <x v="1"/>
    <x v="5"/>
    <x v="1"/>
    <n v="33"/>
    <x v="2"/>
    <x v="2"/>
  </r>
  <r>
    <n v="28"/>
    <x v="1"/>
    <x v="1"/>
    <n v="4"/>
    <n v="3"/>
    <n v="3.861834676"/>
    <n v="57"/>
    <n v="100"/>
    <n v="68"/>
    <x v="2"/>
    <x v="1"/>
    <x v="0"/>
    <x v="2"/>
    <n v="75"/>
    <x v="0"/>
    <x v="1"/>
  </r>
  <r>
    <n v="47"/>
    <x v="0"/>
    <x v="0"/>
    <n v="12"/>
    <n v="4"/>
    <n v="47.54993099"/>
    <n v="53"/>
    <n v="63"/>
    <n v="4"/>
    <x v="1"/>
    <x v="1"/>
    <x v="2"/>
    <x v="1"/>
    <n v="40"/>
    <x v="2"/>
    <x v="2"/>
  </r>
  <r>
    <n v="46"/>
    <x v="0"/>
    <x v="0"/>
    <n v="14"/>
    <n v="2"/>
    <n v="3.5253696190000001"/>
    <n v="38"/>
    <n v="90"/>
    <n v="74"/>
    <x v="0"/>
    <x v="0"/>
    <x v="2"/>
    <x v="1"/>
    <n v="67.333333333333329"/>
    <x v="1"/>
    <x v="1"/>
  </r>
  <r>
    <n v="25"/>
    <x v="0"/>
    <x v="2"/>
    <n v="9"/>
    <n v="2"/>
    <n v="28.36523721"/>
    <n v="41"/>
    <n v="88"/>
    <n v="91"/>
    <x v="1"/>
    <x v="1"/>
    <x v="5"/>
    <x v="1"/>
    <n v="73.333333333333329"/>
    <x v="0"/>
    <x v="0"/>
  </r>
  <r>
    <n v="35"/>
    <x v="1"/>
    <x v="1"/>
    <n v="3"/>
    <n v="2"/>
    <n v="45.522047399999998"/>
    <n v="27"/>
    <n v="12"/>
    <n v="79"/>
    <x v="0"/>
    <x v="0"/>
    <x v="3"/>
    <x v="2"/>
    <n v="39.333333333333336"/>
    <x v="2"/>
    <x v="2"/>
  </r>
  <r>
    <n v="48"/>
    <x v="0"/>
    <x v="0"/>
    <n v="7"/>
    <n v="4"/>
    <n v="14.13604718"/>
    <n v="28"/>
    <n v="71"/>
    <n v="40"/>
    <x v="1"/>
    <x v="1"/>
    <x v="2"/>
    <x v="2"/>
    <n v="46.333333333333336"/>
    <x v="2"/>
    <x v="4"/>
  </r>
  <r>
    <n v="22"/>
    <x v="0"/>
    <x v="0"/>
    <n v="8"/>
    <n v="1"/>
    <n v="24.612424950000001"/>
    <n v="42"/>
    <n v="55"/>
    <n v="93"/>
    <x v="0"/>
    <x v="0"/>
    <x v="5"/>
    <x v="1"/>
    <n v="63.333333333333336"/>
    <x v="1"/>
    <x v="0"/>
  </r>
  <r>
    <n v="39"/>
    <x v="1"/>
    <x v="3"/>
    <n v="12"/>
    <n v="5"/>
    <n v="17.216443959999999"/>
    <n v="2"/>
    <n v="4"/>
    <n v="3"/>
    <x v="1"/>
    <x v="1"/>
    <x v="1"/>
    <x v="1"/>
    <n v="3"/>
    <x v="2"/>
    <x v="4"/>
  </r>
  <r>
    <n v="47"/>
    <x v="0"/>
    <x v="0"/>
    <n v="6"/>
    <n v="3"/>
    <n v="48.607195849999997"/>
    <n v="9"/>
    <n v="11"/>
    <n v="1"/>
    <x v="2"/>
    <x v="1"/>
    <x v="2"/>
    <x v="2"/>
    <n v="7"/>
    <x v="2"/>
    <x v="2"/>
  </r>
  <r>
    <n v="46"/>
    <x v="0"/>
    <x v="0"/>
    <n v="13"/>
    <n v="1"/>
    <n v="42.182279739999998"/>
    <n v="58"/>
    <n v="40"/>
    <n v="66"/>
    <x v="2"/>
    <x v="1"/>
    <x v="2"/>
    <x v="1"/>
    <n v="54.666666666666664"/>
    <x v="3"/>
    <x v="2"/>
  </r>
  <r>
    <n v="23"/>
    <x v="1"/>
    <x v="0"/>
    <n v="15"/>
    <n v="3"/>
    <n v="36.450075570000003"/>
    <n v="13"/>
    <n v="2"/>
    <n v="20"/>
    <x v="1"/>
    <x v="1"/>
    <x v="5"/>
    <x v="1"/>
    <n v="11.666666666666666"/>
    <x v="2"/>
    <x v="3"/>
  </r>
  <r>
    <n v="38"/>
    <x v="1"/>
    <x v="0"/>
    <n v="6"/>
    <n v="5"/>
    <n v="30.381349329999999"/>
    <n v="75"/>
    <n v="98"/>
    <n v="69"/>
    <x v="1"/>
    <x v="0"/>
    <x v="1"/>
    <x v="2"/>
    <n v="80.666666666666671"/>
    <x v="4"/>
    <x v="3"/>
  </r>
  <r>
    <n v="45"/>
    <x v="1"/>
    <x v="1"/>
    <n v="15"/>
    <n v="4"/>
    <n v="42.029589469999998"/>
    <n v="46"/>
    <n v="32"/>
    <n v="42"/>
    <x v="1"/>
    <x v="1"/>
    <x v="4"/>
    <x v="1"/>
    <n v="40"/>
    <x v="2"/>
    <x v="2"/>
  </r>
  <r>
    <n v="22"/>
    <x v="0"/>
    <x v="3"/>
    <n v="4"/>
    <n v="2"/>
    <n v="20.613352079999999"/>
    <n v="41"/>
    <n v="85"/>
    <n v="81"/>
    <x v="2"/>
    <x v="1"/>
    <x v="5"/>
    <x v="2"/>
    <n v="69"/>
    <x v="1"/>
    <x v="0"/>
  </r>
  <r>
    <n v="50"/>
    <x v="0"/>
    <x v="0"/>
    <n v="3"/>
    <n v="2"/>
    <n v="23.377592759999999"/>
    <n v="93"/>
    <n v="49"/>
    <n v="68"/>
    <x v="1"/>
    <x v="1"/>
    <x v="2"/>
    <x v="2"/>
    <n v="70"/>
    <x v="0"/>
    <x v="0"/>
  </r>
  <r>
    <n v="38"/>
    <x v="0"/>
    <x v="2"/>
    <n v="13"/>
    <n v="4"/>
    <n v="37.50008605"/>
    <n v="31"/>
    <n v="55"/>
    <n v="8"/>
    <x v="1"/>
    <x v="1"/>
    <x v="1"/>
    <x v="1"/>
    <n v="31.333333333333332"/>
    <x v="2"/>
    <x v="3"/>
  </r>
  <r>
    <n v="39"/>
    <x v="1"/>
    <x v="2"/>
    <n v="9"/>
    <n v="1"/>
    <n v="18.887738160000001"/>
    <n v="31"/>
    <n v="8"/>
    <n v="83"/>
    <x v="2"/>
    <x v="1"/>
    <x v="1"/>
    <x v="1"/>
    <n v="40.666666666666664"/>
    <x v="2"/>
    <x v="4"/>
  </r>
  <r>
    <n v="26"/>
    <x v="1"/>
    <x v="0"/>
    <n v="0"/>
    <n v="1"/>
    <n v="4.1950471020000002"/>
    <n v="41"/>
    <n v="81"/>
    <n v="27"/>
    <x v="1"/>
    <x v="1"/>
    <x v="0"/>
    <x v="0"/>
    <n v="49.666666666666664"/>
    <x v="2"/>
    <x v="1"/>
  </r>
  <r>
    <n v="39"/>
    <x v="0"/>
    <x v="3"/>
    <n v="9"/>
    <n v="3"/>
    <n v="4.7167304440000004"/>
    <n v="31"/>
    <n v="49"/>
    <n v="25"/>
    <x v="2"/>
    <x v="1"/>
    <x v="1"/>
    <x v="1"/>
    <n v="35"/>
    <x v="2"/>
    <x v="1"/>
  </r>
  <r>
    <n v="28"/>
    <x v="0"/>
    <x v="0"/>
    <n v="9"/>
    <n v="4"/>
    <n v="6.7681400649999999"/>
    <n v="25"/>
    <n v="28"/>
    <n v="81"/>
    <x v="2"/>
    <x v="1"/>
    <x v="0"/>
    <x v="1"/>
    <n v="44.666666666666664"/>
    <x v="2"/>
    <x v="1"/>
  </r>
  <r>
    <n v="20"/>
    <x v="1"/>
    <x v="0"/>
    <n v="6"/>
    <n v="1"/>
    <n v="44.484066169999998"/>
    <n v="0"/>
    <n v="38"/>
    <n v="82"/>
    <x v="2"/>
    <x v="1"/>
    <x v="5"/>
    <x v="2"/>
    <n v="40"/>
    <x v="2"/>
    <x v="2"/>
  </r>
  <r>
    <n v="27"/>
    <x v="1"/>
    <x v="3"/>
    <n v="15"/>
    <n v="4"/>
    <n v="24.611321289999999"/>
    <n v="55"/>
    <n v="90"/>
    <n v="2"/>
    <x v="0"/>
    <x v="0"/>
    <x v="0"/>
    <x v="1"/>
    <n v="49"/>
    <x v="2"/>
    <x v="0"/>
  </r>
  <r>
    <n v="26"/>
    <x v="1"/>
    <x v="2"/>
    <n v="0"/>
    <n v="5"/>
    <n v="36.644118470000002"/>
    <n v="1"/>
    <n v="99"/>
    <n v="72"/>
    <x v="1"/>
    <x v="1"/>
    <x v="0"/>
    <x v="0"/>
    <n v="57.333333333333336"/>
    <x v="3"/>
    <x v="3"/>
  </r>
  <r>
    <n v="37"/>
    <x v="1"/>
    <x v="0"/>
    <n v="0"/>
    <n v="2"/>
    <n v="20.64546678"/>
    <n v="80"/>
    <n v="44"/>
    <n v="99"/>
    <x v="2"/>
    <x v="1"/>
    <x v="1"/>
    <x v="0"/>
    <n v="74.333333333333329"/>
    <x v="0"/>
    <x v="0"/>
  </r>
  <r>
    <n v="27"/>
    <x v="0"/>
    <x v="2"/>
    <n v="4"/>
    <n v="2"/>
    <n v="13.93554737"/>
    <n v="29"/>
    <n v="16"/>
    <n v="94"/>
    <x v="1"/>
    <x v="1"/>
    <x v="0"/>
    <x v="2"/>
    <n v="46.333333333333336"/>
    <x v="2"/>
    <x v="4"/>
  </r>
  <r>
    <n v="20"/>
    <x v="1"/>
    <x v="1"/>
    <n v="12"/>
    <n v="2"/>
    <n v="18.359608380000001"/>
    <n v="70"/>
    <n v="55"/>
    <n v="48"/>
    <x v="1"/>
    <x v="1"/>
    <x v="5"/>
    <x v="1"/>
    <n v="57.666666666666664"/>
    <x v="3"/>
    <x v="4"/>
  </r>
  <r>
    <n v="30"/>
    <x v="0"/>
    <x v="0"/>
    <n v="8"/>
    <n v="4"/>
    <n v="40.70911727"/>
    <n v="51"/>
    <n v="97"/>
    <n v="16"/>
    <x v="0"/>
    <x v="0"/>
    <x v="0"/>
    <x v="1"/>
    <n v="54.666666666666664"/>
    <x v="3"/>
    <x v="2"/>
  </r>
  <r>
    <n v="47"/>
    <x v="0"/>
    <x v="2"/>
    <n v="5"/>
    <n v="4"/>
    <n v="32.260806250000002"/>
    <n v="90"/>
    <n v="45"/>
    <n v="62"/>
    <x v="0"/>
    <x v="0"/>
    <x v="2"/>
    <x v="2"/>
    <n v="65.666666666666671"/>
    <x v="1"/>
    <x v="3"/>
  </r>
  <r>
    <n v="44"/>
    <x v="0"/>
    <x v="0"/>
    <n v="2"/>
    <n v="3"/>
    <n v="47.881988999999997"/>
    <n v="8"/>
    <n v="66"/>
    <n v="54"/>
    <x v="1"/>
    <x v="1"/>
    <x v="4"/>
    <x v="0"/>
    <n v="42.666666666666664"/>
    <x v="2"/>
    <x v="2"/>
  </r>
  <r>
    <n v="44"/>
    <x v="1"/>
    <x v="0"/>
    <n v="12"/>
    <n v="2"/>
    <n v="34.985238930000001"/>
    <n v="21"/>
    <n v="68"/>
    <n v="22"/>
    <x v="1"/>
    <x v="1"/>
    <x v="4"/>
    <x v="1"/>
    <n v="37"/>
    <x v="2"/>
    <x v="3"/>
  </r>
  <r>
    <n v="37"/>
    <x v="1"/>
    <x v="3"/>
    <n v="2"/>
    <n v="3"/>
    <n v="29.509081590000001"/>
    <n v="33"/>
    <n v="13"/>
    <n v="33"/>
    <x v="1"/>
    <x v="1"/>
    <x v="1"/>
    <x v="0"/>
    <n v="26.333333333333332"/>
    <x v="2"/>
    <x v="0"/>
  </r>
  <r>
    <n v="42"/>
    <x v="1"/>
    <x v="3"/>
    <n v="6"/>
    <n v="2"/>
    <n v="31.50980045"/>
    <n v="48"/>
    <n v="66"/>
    <n v="68"/>
    <x v="1"/>
    <x v="0"/>
    <x v="4"/>
    <x v="2"/>
    <n v="60.666666666666664"/>
    <x v="1"/>
    <x v="3"/>
  </r>
  <r>
    <n v="50"/>
    <x v="1"/>
    <x v="0"/>
    <n v="5"/>
    <n v="3"/>
    <n v="48.118571969999998"/>
    <n v="0"/>
    <n v="22"/>
    <n v="14"/>
    <x v="1"/>
    <x v="1"/>
    <x v="2"/>
    <x v="2"/>
    <n v="12"/>
    <x v="2"/>
    <x v="2"/>
  </r>
  <r>
    <n v="49"/>
    <x v="0"/>
    <x v="2"/>
    <n v="8"/>
    <n v="3"/>
    <n v="40.410046489999999"/>
    <n v="72"/>
    <n v="93"/>
    <n v="46"/>
    <x v="1"/>
    <x v="1"/>
    <x v="2"/>
    <x v="1"/>
    <n v="70.333333333333329"/>
    <x v="0"/>
    <x v="2"/>
  </r>
  <r>
    <n v="29"/>
    <x v="1"/>
    <x v="2"/>
    <n v="5"/>
    <n v="5"/>
    <n v="2.2020618679999999"/>
    <n v="83"/>
    <n v="60"/>
    <n v="2"/>
    <x v="1"/>
    <x v="1"/>
    <x v="0"/>
    <x v="2"/>
    <n v="48.333333333333336"/>
    <x v="2"/>
    <x v="1"/>
  </r>
  <r>
    <n v="22"/>
    <x v="1"/>
    <x v="2"/>
    <n v="4"/>
    <n v="3"/>
    <n v="27.706984810000002"/>
    <n v="52"/>
    <n v="22"/>
    <n v="82"/>
    <x v="1"/>
    <x v="1"/>
    <x v="5"/>
    <x v="2"/>
    <n v="52"/>
    <x v="3"/>
    <x v="0"/>
  </r>
  <r>
    <n v="26"/>
    <x v="0"/>
    <x v="0"/>
    <n v="9"/>
    <n v="4"/>
    <n v="35.416920580000003"/>
    <n v="82"/>
    <n v="26"/>
    <n v="27"/>
    <x v="1"/>
    <x v="1"/>
    <x v="0"/>
    <x v="1"/>
    <n v="45"/>
    <x v="2"/>
    <x v="3"/>
  </r>
  <r>
    <n v="47"/>
    <x v="1"/>
    <x v="3"/>
    <n v="6"/>
    <n v="3"/>
    <n v="38.434923920000003"/>
    <n v="99"/>
    <n v="53"/>
    <n v="2"/>
    <x v="0"/>
    <x v="0"/>
    <x v="2"/>
    <x v="2"/>
    <n v="51.333333333333336"/>
    <x v="3"/>
    <x v="3"/>
  </r>
  <r>
    <n v="35"/>
    <x v="0"/>
    <x v="0"/>
    <n v="0"/>
    <n v="2"/>
    <n v="11.65710597"/>
    <n v="39"/>
    <n v="9"/>
    <n v="3"/>
    <x v="1"/>
    <x v="1"/>
    <x v="3"/>
    <x v="0"/>
    <n v="17"/>
    <x v="2"/>
    <x v="4"/>
  </r>
  <r>
    <n v="45"/>
    <x v="0"/>
    <x v="2"/>
    <n v="11"/>
    <n v="3"/>
    <n v="44.358867719999999"/>
    <n v="44"/>
    <n v="88"/>
    <n v="87"/>
    <x v="1"/>
    <x v="1"/>
    <x v="4"/>
    <x v="1"/>
    <n v="73"/>
    <x v="0"/>
    <x v="2"/>
  </r>
  <r>
    <n v="35"/>
    <x v="0"/>
    <x v="0"/>
    <n v="6"/>
    <n v="1"/>
    <n v="48.792157359999997"/>
    <n v="67"/>
    <n v="76"/>
    <n v="30"/>
    <x v="1"/>
    <x v="1"/>
    <x v="3"/>
    <x v="2"/>
    <n v="57.666666666666664"/>
    <x v="3"/>
    <x v="2"/>
  </r>
  <r>
    <n v="44"/>
    <x v="0"/>
    <x v="3"/>
    <n v="15"/>
    <n v="2"/>
    <n v="12.835765289999999"/>
    <n v="8"/>
    <n v="15"/>
    <n v="44"/>
    <x v="1"/>
    <x v="1"/>
    <x v="4"/>
    <x v="1"/>
    <n v="22.333333333333332"/>
    <x v="2"/>
    <x v="4"/>
  </r>
  <r>
    <n v="39"/>
    <x v="0"/>
    <x v="3"/>
    <n v="2"/>
    <n v="1"/>
    <n v="45.130772880000002"/>
    <n v="21"/>
    <n v="40"/>
    <n v="58"/>
    <x v="1"/>
    <x v="1"/>
    <x v="1"/>
    <x v="0"/>
    <n v="39.666666666666664"/>
    <x v="2"/>
    <x v="2"/>
  </r>
  <r>
    <n v="47"/>
    <x v="0"/>
    <x v="3"/>
    <n v="13"/>
    <n v="2"/>
    <n v="5.8489381260000002"/>
    <n v="17"/>
    <n v="97"/>
    <n v="44"/>
    <x v="0"/>
    <x v="0"/>
    <x v="2"/>
    <x v="1"/>
    <n v="52.666666666666664"/>
    <x v="3"/>
    <x v="1"/>
  </r>
  <r>
    <n v="36"/>
    <x v="0"/>
    <x v="0"/>
    <n v="8"/>
    <n v="4"/>
    <n v="3.7853418059999999"/>
    <n v="75"/>
    <n v="54"/>
    <n v="74"/>
    <x v="2"/>
    <x v="0"/>
    <x v="1"/>
    <x v="1"/>
    <n v="67.666666666666671"/>
    <x v="1"/>
    <x v="1"/>
  </r>
  <r>
    <n v="21"/>
    <x v="0"/>
    <x v="2"/>
    <n v="14"/>
    <n v="4"/>
    <n v="7.4611900049999997"/>
    <n v="42"/>
    <n v="100"/>
    <n v="36"/>
    <x v="0"/>
    <x v="0"/>
    <x v="5"/>
    <x v="1"/>
    <n v="59.333333333333336"/>
    <x v="3"/>
    <x v="1"/>
  </r>
  <r>
    <n v="20"/>
    <x v="1"/>
    <x v="3"/>
    <n v="5"/>
    <n v="4"/>
    <n v="3.887053973"/>
    <n v="38"/>
    <n v="60"/>
    <n v="64"/>
    <x v="2"/>
    <x v="1"/>
    <x v="5"/>
    <x v="2"/>
    <n v="54"/>
    <x v="3"/>
    <x v="1"/>
  </r>
  <r>
    <n v="35"/>
    <x v="1"/>
    <x v="0"/>
    <n v="8"/>
    <n v="1"/>
    <n v="43.250611859999999"/>
    <n v="72"/>
    <n v="85"/>
    <n v="8"/>
    <x v="1"/>
    <x v="1"/>
    <x v="3"/>
    <x v="1"/>
    <n v="55"/>
    <x v="3"/>
    <x v="2"/>
  </r>
  <r>
    <n v="49"/>
    <x v="1"/>
    <x v="0"/>
    <n v="12"/>
    <n v="5"/>
    <n v="3.952507223"/>
    <n v="5"/>
    <n v="80"/>
    <n v="16"/>
    <x v="1"/>
    <x v="1"/>
    <x v="2"/>
    <x v="1"/>
    <n v="33.666666666666664"/>
    <x v="2"/>
    <x v="1"/>
  </r>
  <r>
    <n v="31"/>
    <x v="1"/>
    <x v="3"/>
    <n v="14"/>
    <n v="2"/>
    <n v="14.583209569999999"/>
    <n v="82"/>
    <n v="86"/>
    <n v="64"/>
    <x v="0"/>
    <x v="0"/>
    <x v="3"/>
    <x v="1"/>
    <n v="77.333333333333329"/>
    <x v="0"/>
    <x v="4"/>
  </r>
  <r>
    <n v="24"/>
    <x v="0"/>
    <x v="3"/>
    <n v="4"/>
    <n v="4"/>
    <n v="6.1878171770000003"/>
    <n v="47"/>
    <n v="99"/>
    <n v="2"/>
    <x v="0"/>
    <x v="0"/>
    <x v="5"/>
    <x v="2"/>
    <n v="49.333333333333336"/>
    <x v="2"/>
    <x v="1"/>
  </r>
  <r>
    <n v="24"/>
    <x v="1"/>
    <x v="0"/>
    <n v="6"/>
    <n v="2"/>
    <n v="15.77110182"/>
    <n v="6"/>
    <n v="48"/>
    <n v="25"/>
    <x v="0"/>
    <x v="1"/>
    <x v="5"/>
    <x v="2"/>
    <n v="26.333333333333332"/>
    <x v="2"/>
    <x v="4"/>
  </r>
  <r>
    <n v="46"/>
    <x v="0"/>
    <x v="0"/>
    <n v="12"/>
    <n v="1"/>
    <n v="5.5279733799999997"/>
    <n v="79"/>
    <n v="72"/>
    <n v="52"/>
    <x v="0"/>
    <x v="0"/>
    <x v="2"/>
    <x v="1"/>
    <n v="67.666666666666671"/>
    <x v="1"/>
    <x v="1"/>
  </r>
  <r>
    <n v="42"/>
    <x v="1"/>
    <x v="0"/>
    <n v="15"/>
    <n v="5"/>
    <n v="34.400162539999997"/>
    <n v="68"/>
    <n v="51"/>
    <n v="30"/>
    <x v="1"/>
    <x v="1"/>
    <x v="4"/>
    <x v="1"/>
    <n v="49.666666666666664"/>
    <x v="2"/>
    <x v="3"/>
  </r>
  <r>
    <n v="28"/>
    <x v="1"/>
    <x v="0"/>
    <n v="13"/>
    <n v="1"/>
    <n v="7.666340817"/>
    <n v="15"/>
    <n v="1"/>
    <n v="25"/>
    <x v="1"/>
    <x v="1"/>
    <x v="0"/>
    <x v="1"/>
    <n v="13.666666666666666"/>
    <x v="2"/>
    <x v="1"/>
  </r>
  <r>
    <n v="28"/>
    <x v="1"/>
    <x v="0"/>
    <n v="3"/>
    <n v="2"/>
    <n v="43.59229629"/>
    <n v="0"/>
    <n v="95"/>
    <n v="22"/>
    <x v="1"/>
    <x v="1"/>
    <x v="0"/>
    <x v="2"/>
    <n v="39"/>
    <x v="2"/>
    <x v="2"/>
  </r>
  <r>
    <n v="22"/>
    <x v="0"/>
    <x v="3"/>
    <n v="14"/>
    <n v="5"/>
    <n v="41.859552540000003"/>
    <n v="36"/>
    <n v="49"/>
    <n v="29"/>
    <x v="0"/>
    <x v="0"/>
    <x v="5"/>
    <x v="1"/>
    <n v="38"/>
    <x v="2"/>
    <x v="2"/>
  </r>
  <r>
    <n v="38"/>
    <x v="1"/>
    <x v="3"/>
    <n v="15"/>
    <n v="5"/>
    <n v="1.683084274"/>
    <n v="82"/>
    <n v="85"/>
    <n v="9"/>
    <x v="2"/>
    <x v="0"/>
    <x v="1"/>
    <x v="1"/>
    <n v="58.666666666666664"/>
    <x v="3"/>
    <x v="1"/>
  </r>
  <r>
    <n v="35"/>
    <x v="0"/>
    <x v="3"/>
    <n v="6"/>
    <n v="1"/>
    <n v="45.786317779999997"/>
    <n v="36"/>
    <n v="42"/>
    <n v="71"/>
    <x v="1"/>
    <x v="1"/>
    <x v="3"/>
    <x v="2"/>
    <n v="49.666666666666664"/>
    <x v="2"/>
    <x v="2"/>
  </r>
  <r>
    <n v="35"/>
    <x v="0"/>
    <x v="2"/>
    <n v="12"/>
    <n v="4"/>
    <n v="2.4472158369999999"/>
    <n v="80"/>
    <n v="76"/>
    <n v="88"/>
    <x v="0"/>
    <x v="0"/>
    <x v="3"/>
    <x v="1"/>
    <n v="81.333333333333329"/>
    <x v="4"/>
    <x v="1"/>
  </r>
  <r>
    <n v="22"/>
    <x v="1"/>
    <x v="3"/>
    <n v="0"/>
    <n v="2"/>
    <n v="12.982289249999999"/>
    <n v="63"/>
    <n v="7"/>
    <n v="63"/>
    <x v="1"/>
    <x v="1"/>
    <x v="5"/>
    <x v="0"/>
    <n v="44.333333333333336"/>
    <x v="2"/>
    <x v="4"/>
  </r>
  <r>
    <n v="39"/>
    <x v="1"/>
    <x v="3"/>
    <n v="6"/>
    <n v="3"/>
    <n v="2.6194568889999998"/>
    <n v="89"/>
    <n v="58"/>
    <n v="21"/>
    <x v="0"/>
    <x v="0"/>
    <x v="1"/>
    <x v="2"/>
    <n v="56"/>
    <x v="3"/>
    <x v="1"/>
  </r>
  <r>
    <n v="43"/>
    <x v="1"/>
    <x v="0"/>
    <n v="7"/>
    <n v="3"/>
    <n v="17.79217435"/>
    <n v="85"/>
    <n v="64"/>
    <n v="14"/>
    <x v="0"/>
    <x v="0"/>
    <x v="4"/>
    <x v="2"/>
    <n v="54.333333333333336"/>
    <x v="3"/>
    <x v="4"/>
  </r>
  <r>
    <n v="41"/>
    <x v="0"/>
    <x v="3"/>
    <n v="4"/>
    <n v="1"/>
    <n v="26.693326290000002"/>
    <n v="61"/>
    <n v="80"/>
    <n v="55"/>
    <x v="1"/>
    <x v="1"/>
    <x v="4"/>
    <x v="2"/>
    <n v="65.333333333333329"/>
    <x v="1"/>
    <x v="0"/>
  </r>
  <r>
    <n v="43"/>
    <x v="1"/>
    <x v="3"/>
    <n v="1"/>
    <n v="2"/>
    <n v="40.83224345"/>
    <n v="71"/>
    <n v="11"/>
    <n v="73"/>
    <x v="1"/>
    <x v="1"/>
    <x v="4"/>
    <x v="0"/>
    <n v="51.666666666666664"/>
    <x v="3"/>
    <x v="2"/>
  </r>
  <r>
    <n v="20"/>
    <x v="0"/>
    <x v="0"/>
    <n v="4"/>
    <n v="2"/>
    <n v="17.899077519999999"/>
    <n v="60"/>
    <n v="3"/>
    <n v="19"/>
    <x v="2"/>
    <x v="1"/>
    <x v="5"/>
    <x v="2"/>
    <n v="27.333333333333332"/>
    <x v="2"/>
    <x v="4"/>
  </r>
  <r>
    <n v="43"/>
    <x v="0"/>
    <x v="0"/>
    <n v="5"/>
    <n v="1"/>
    <n v="36.274501229999998"/>
    <n v="32"/>
    <n v="76"/>
    <n v="46"/>
    <x v="1"/>
    <x v="1"/>
    <x v="4"/>
    <x v="2"/>
    <n v="51.333333333333336"/>
    <x v="3"/>
    <x v="3"/>
  </r>
  <r>
    <n v="39"/>
    <x v="1"/>
    <x v="2"/>
    <n v="11"/>
    <n v="2"/>
    <n v="10.375222859999999"/>
    <n v="65"/>
    <n v="94"/>
    <n v="86"/>
    <x v="2"/>
    <x v="1"/>
    <x v="1"/>
    <x v="1"/>
    <n v="81.666666666666671"/>
    <x v="4"/>
    <x v="4"/>
  </r>
  <r>
    <n v="30"/>
    <x v="1"/>
    <x v="0"/>
    <n v="1"/>
    <n v="4"/>
    <n v="38.529922839999998"/>
    <n v="29"/>
    <n v="40"/>
    <n v="52"/>
    <x v="2"/>
    <x v="1"/>
    <x v="0"/>
    <x v="0"/>
    <n v="40.333333333333336"/>
    <x v="2"/>
    <x v="3"/>
  </r>
  <r>
    <n v="36"/>
    <x v="0"/>
    <x v="0"/>
    <n v="13"/>
    <n v="1"/>
    <n v="12.7998303"/>
    <n v="19"/>
    <n v="6"/>
    <n v="52"/>
    <x v="2"/>
    <x v="1"/>
    <x v="1"/>
    <x v="1"/>
    <n v="25.666666666666668"/>
    <x v="2"/>
    <x v="4"/>
  </r>
  <r>
    <n v="27"/>
    <x v="0"/>
    <x v="3"/>
    <n v="5"/>
    <n v="4"/>
    <n v="8.1772377970000001"/>
    <n v="59"/>
    <n v="86"/>
    <n v="0"/>
    <x v="1"/>
    <x v="1"/>
    <x v="0"/>
    <x v="2"/>
    <n v="48.333333333333336"/>
    <x v="2"/>
    <x v="1"/>
  </r>
  <r>
    <n v="23"/>
    <x v="0"/>
    <x v="0"/>
    <n v="5"/>
    <n v="2"/>
    <n v="10.27044252"/>
    <n v="81"/>
    <n v="87"/>
    <n v="1"/>
    <x v="0"/>
    <x v="0"/>
    <x v="5"/>
    <x v="2"/>
    <n v="56.333333333333336"/>
    <x v="3"/>
    <x v="4"/>
  </r>
  <r>
    <n v="25"/>
    <x v="1"/>
    <x v="2"/>
    <n v="0"/>
    <n v="1"/>
    <n v="10.103156439999999"/>
    <n v="73"/>
    <n v="68"/>
    <n v="57"/>
    <x v="0"/>
    <x v="0"/>
    <x v="5"/>
    <x v="0"/>
    <n v="66"/>
    <x v="1"/>
    <x v="4"/>
  </r>
  <r>
    <n v="27"/>
    <x v="0"/>
    <x v="0"/>
    <n v="13"/>
    <n v="2"/>
    <n v="26.643143970000001"/>
    <n v="23"/>
    <n v="68"/>
    <n v="18"/>
    <x v="1"/>
    <x v="1"/>
    <x v="0"/>
    <x v="1"/>
    <n v="36.333333333333336"/>
    <x v="2"/>
    <x v="0"/>
  </r>
  <r>
    <n v="39"/>
    <x v="1"/>
    <x v="2"/>
    <n v="0"/>
    <n v="1"/>
    <n v="43.23987906"/>
    <n v="3"/>
    <n v="80"/>
    <n v="61"/>
    <x v="1"/>
    <x v="1"/>
    <x v="1"/>
    <x v="0"/>
    <n v="48"/>
    <x v="2"/>
    <x v="2"/>
  </r>
  <r>
    <n v="49"/>
    <x v="0"/>
    <x v="2"/>
    <n v="13"/>
    <n v="2"/>
    <n v="4.9802538500000004"/>
    <n v="36"/>
    <n v="29"/>
    <n v="77"/>
    <x v="0"/>
    <x v="0"/>
    <x v="2"/>
    <x v="1"/>
    <n v="47.333333333333336"/>
    <x v="2"/>
    <x v="1"/>
  </r>
  <r>
    <n v="22"/>
    <x v="0"/>
    <x v="2"/>
    <n v="10"/>
    <n v="4"/>
    <n v="36.347815920000002"/>
    <n v="3"/>
    <n v="72"/>
    <n v="71"/>
    <x v="1"/>
    <x v="1"/>
    <x v="5"/>
    <x v="1"/>
    <n v="48.666666666666664"/>
    <x v="2"/>
    <x v="3"/>
  </r>
  <r>
    <n v="35"/>
    <x v="1"/>
    <x v="2"/>
    <n v="15"/>
    <n v="4"/>
    <n v="33.717322979999999"/>
    <n v="76"/>
    <n v="5"/>
    <n v="11"/>
    <x v="0"/>
    <x v="0"/>
    <x v="3"/>
    <x v="1"/>
    <n v="30.666666666666668"/>
    <x v="2"/>
    <x v="3"/>
  </r>
  <r>
    <n v="49"/>
    <x v="0"/>
    <x v="2"/>
    <n v="9"/>
    <n v="2"/>
    <n v="44.625997589999997"/>
    <n v="88"/>
    <n v="88"/>
    <n v="25"/>
    <x v="1"/>
    <x v="1"/>
    <x v="2"/>
    <x v="1"/>
    <n v="67"/>
    <x v="1"/>
    <x v="2"/>
  </r>
  <r>
    <n v="44"/>
    <x v="1"/>
    <x v="0"/>
    <n v="2"/>
    <n v="1"/>
    <n v="13.207378029999999"/>
    <n v="76"/>
    <n v="18"/>
    <n v="26"/>
    <x v="0"/>
    <x v="1"/>
    <x v="4"/>
    <x v="0"/>
    <n v="40"/>
    <x v="2"/>
    <x v="4"/>
  </r>
  <r>
    <n v="22"/>
    <x v="1"/>
    <x v="0"/>
    <n v="13"/>
    <n v="3"/>
    <n v="23.505492929999999"/>
    <n v="17"/>
    <n v="79"/>
    <n v="28"/>
    <x v="1"/>
    <x v="1"/>
    <x v="5"/>
    <x v="1"/>
    <n v="41.333333333333336"/>
    <x v="2"/>
    <x v="0"/>
  </r>
  <r>
    <n v="44"/>
    <x v="0"/>
    <x v="3"/>
    <n v="9"/>
    <n v="4"/>
    <n v="47.291368720000001"/>
    <n v="87"/>
    <n v="84"/>
    <n v="14"/>
    <x v="1"/>
    <x v="0"/>
    <x v="4"/>
    <x v="1"/>
    <n v="61.666666666666664"/>
    <x v="1"/>
    <x v="2"/>
  </r>
  <r>
    <n v="48"/>
    <x v="1"/>
    <x v="0"/>
    <n v="9"/>
    <n v="4"/>
    <n v="33.999672510000003"/>
    <n v="65"/>
    <n v="65"/>
    <n v="45"/>
    <x v="0"/>
    <x v="0"/>
    <x v="2"/>
    <x v="1"/>
    <n v="58.333333333333336"/>
    <x v="3"/>
    <x v="3"/>
  </r>
  <r>
    <n v="37"/>
    <x v="1"/>
    <x v="3"/>
    <n v="14"/>
    <n v="3"/>
    <n v="20.43842064"/>
    <n v="47"/>
    <n v="9"/>
    <n v="0"/>
    <x v="1"/>
    <x v="1"/>
    <x v="1"/>
    <x v="1"/>
    <n v="18.666666666666668"/>
    <x v="2"/>
    <x v="0"/>
  </r>
  <r>
    <n v="33"/>
    <x v="0"/>
    <x v="2"/>
    <n v="11"/>
    <n v="2"/>
    <n v="7.5706191430000001"/>
    <n v="32"/>
    <n v="15"/>
    <n v="59"/>
    <x v="1"/>
    <x v="1"/>
    <x v="3"/>
    <x v="1"/>
    <n v="35.333333333333336"/>
    <x v="2"/>
    <x v="1"/>
  </r>
  <r>
    <n v="37"/>
    <x v="1"/>
    <x v="0"/>
    <n v="2"/>
    <n v="1"/>
    <n v="14.124250399999999"/>
    <n v="57"/>
    <n v="36"/>
    <n v="91"/>
    <x v="0"/>
    <x v="1"/>
    <x v="1"/>
    <x v="0"/>
    <n v="61.333333333333336"/>
    <x v="1"/>
    <x v="4"/>
  </r>
  <r>
    <n v="21"/>
    <x v="1"/>
    <x v="3"/>
    <n v="3"/>
    <n v="2"/>
    <n v="30.060773869999998"/>
    <n v="82"/>
    <n v="78"/>
    <n v="56"/>
    <x v="0"/>
    <x v="0"/>
    <x v="5"/>
    <x v="2"/>
    <n v="72"/>
    <x v="0"/>
    <x v="3"/>
  </r>
  <r>
    <n v="41"/>
    <x v="1"/>
    <x v="2"/>
    <n v="1"/>
    <n v="5"/>
    <n v="36.908397379999997"/>
    <n v="72"/>
    <n v="76"/>
    <n v="2"/>
    <x v="1"/>
    <x v="1"/>
    <x v="4"/>
    <x v="0"/>
    <n v="50"/>
    <x v="3"/>
    <x v="3"/>
  </r>
  <r>
    <n v="22"/>
    <x v="0"/>
    <x v="0"/>
    <n v="8"/>
    <n v="4"/>
    <n v="7.2210943429999999"/>
    <n v="27"/>
    <n v="76"/>
    <n v="17"/>
    <x v="1"/>
    <x v="1"/>
    <x v="5"/>
    <x v="1"/>
    <n v="40"/>
    <x v="2"/>
    <x v="1"/>
  </r>
  <r>
    <n v="35"/>
    <x v="1"/>
    <x v="0"/>
    <n v="9"/>
    <n v="5"/>
    <n v="30.979863000000002"/>
    <n v="34"/>
    <n v="31"/>
    <n v="51"/>
    <x v="1"/>
    <x v="1"/>
    <x v="3"/>
    <x v="1"/>
    <n v="38.666666666666664"/>
    <x v="2"/>
    <x v="3"/>
  </r>
  <r>
    <n v="48"/>
    <x v="0"/>
    <x v="0"/>
    <n v="11"/>
    <n v="4"/>
    <n v="28.517563939999999"/>
    <n v="9"/>
    <n v="46"/>
    <n v="59"/>
    <x v="0"/>
    <x v="1"/>
    <x v="2"/>
    <x v="1"/>
    <n v="38"/>
    <x v="2"/>
    <x v="0"/>
  </r>
  <r>
    <n v="28"/>
    <x v="0"/>
    <x v="2"/>
    <n v="10"/>
    <n v="4"/>
    <n v="26.697772329999999"/>
    <n v="64"/>
    <n v="71"/>
    <n v="33"/>
    <x v="1"/>
    <x v="1"/>
    <x v="0"/>
    <x v="1"/>
    <n v="56"/>
    <x v="3"/>
    <x v="0"/>
  </r>
  <r>
    <n v="23"/>
    <x v="1"/>
    <x v="0"/>
    <n v="13"/>
    <n v="5"/>
    <n v="35.506155880000001"/>
    <n v="41"/>
    <n v="42"/>
    <n v="95"/>
    <x v="0"/>
    <x v="0"/>
    <x v="5"/>
    <x v="1"/>
    <n v="59.333333333333336"/>
    <x v="3"/>
    <x v="3"/>
  </r>
  <r>
    <n v="20"/>
    <x v="1"/>
    <x v="0"/>
    <n v="6"/>
    <n v="5"/>
    <n v="42.872479749999997"/>
    <n v="84"/>
    <n v="81"/>
    <n v="92"/>
    <x v="2"/>
    <x v="0"/>
    <x v="5"/>
    <x v="2"/>
    <n v="85.666666666666671"/>
    <x v="4"/>
    <x v="2"/>
  </r>
  <r>
    <n v="23"/>
    <x v="1"/>
    <x v="2"/>
    <n v="6"/>
    <n v="2"/>
    <n v="17.14948416"/>
    <n v="8"/>
    <n v="35"/>
    <n v="88"/>
    <x v="1"/>
    <x v="1"/>
    <x v="5"/>
    <x v="2"/>
    <n v="43.666666666666664"/>
    <x v="2"/>
    <x v="4"/>
  </r>
  <r>
    <n v="20"/>
    <x v="0"/>
    <x v="0"/>
    <n v="14"/>
    <n v="5"/>
    <n v="45.45060951"/>
    <n v="59"/>
    <n v="25"/>
    <n v="59"/>
    <x v="2"/>
    <x v="1"/>
    <x v="5"/>
    <x v="1"/>
    <n v="47.666666666666664"/>
    <x v="2"/>
    <x v="2"/>
  </r>
  <r>
    <n v="33"/>
    <x v="1"/>
    <x v="3"/>
    <n v="5"/>
    <n v="2"/>
    <n v="9.0316806310000004"/>
    <n v="14"/>
    <n v="9"/>
    <n v="25"/>
    <x v="1"/>
    <x v="1"/>
    <x v="3"/>
    <x v="2"/>
    <n v="16"/>
    <x v="2"/>
    <x v="1"/>
  </r>
  <r>
    <n v="40"/>
    <x v="1"/>
    <x v="1"/>
    <n v="14"/>
    <n v="2"/>
    <n v="9.6511934880000005"/>
    <n v="98"/>
    <n v="30"/>
    <n v="71"/>
    <x v="1"/>
    <x v="0"/>
    <x v="1"/>
    <x v="1"/>
    <n v="66.333333333333329"/>
    <x v="1"/>
    <x v="1"/>
  </r>
  <r>
    <n v="35"/>
    <x v="1"/>
    <x v="0"/>
    <n v="2"/>
    <n v="2"/>
    <n v="14.33860318"/>
    <n v="56"/>
    <n v="96"/>
    <n v="18"/>
    <x v="1"/>
    <x v="1"/>
    <x v="3"/>
    <x v="0"/>
    <n v="56.666666666666664"/>
    <x v="3"/>
    <x v="4"/>
  </r>
  <r>
    <n v="39"/>
    <x v="1"/>
    <x v="3"/>
    <n v="5"/>
    <n v="4"/>
    <n v="6.9765434769999999"/>
    <n v="68"/>
    <n v="28"/>
    <n v="21"/>
    <x v="1"/>
    <x v="1"/>
    <x v="1"/>
    <x v="2"/>
    <n v="39"/>
    <x v="2"/>
    <x v="1"/>
  </r>
  <r>
    <n v="43"/>
    <x v="1"/>
    <x v="0"/>
    <n v="14"/>
    <n v="4"/>
    <n v="12.51596123"/>
    <n v="21"/>
    <n v="4"/>
    <n v="92"/>
    <x v="1"/>
    <x v="1"/>
    <x v="4"/>
    <x v="1"/>
    <n v="39"/>
    <x v="2"/>
    <x v="4"/>
  </r>
  <r>
    <n v="27"/>
    <x v="0"/>
    <x v="0"/>
    <n v="13"/>
    <n v="5"/>
    <n v="6.3205881450000003"/>
    <n v="63"/>
    <n v="76"/>
    <n v="32"/>
    <x v="1"/>
    <x v="1"/>
    <x v="0"/>
    <x v="1"/>
    <n v="57"/>
    <x v="3"/>
    <x v="1"/>
  </r>
  <r>
    <n v="26"/>
    <x v="0"/>
    <x v="2"/>
    <n v="11"/>
    <n v="4"/>
    <n v="42.08762085"/>
    <n v="40"/>
    <n v="0"/>
    <n v="37"/>
    <x v="1"/>
    <x v="1"/>
    <x v="0"/>
    <x v="1"/>
    <n v="25.666666666666668"/>
    <x v="2"/>
    <x v="2"/>
  </r>
  <r>
    <n v="22"/>
    <x v="1"/>
    <x v="3"/>
    <n v="7"/>
    <n v="5"/>
    <n v="7.9484495940000004"/>
    <n v="86"/>
    <n v="86"/>
    <n v="34"/>
    <x v="1"/>
    <x v="0"/>
    <x v="5"/>
    <x v="2"/>
    <n v="68.666666666666671"/>
    <x v="1"/>
    <x v="1"/>
  </r>
  <r>
    <n v="36"/>
    <x v="1"/>
    <x v="0"/>
    <n v="7"/>
    <n v="4"/>
    <n v="38.364877880000002"/>
    <n v="70"/>
    <n v="2"/>
    <n v="66"/>
    <x v="1"/>
    <x v="1"/>
    <x v="1"/>
    <x v="2"/>
    <n v="46"/>
    <x v="2"/>
    <x v="3"/>
  </r>
  <r>
    <n v="20"/>
    <x v="1"/>
    <x v="0"/>
    <n v="10"/>
    <n v="1"/>
    <n v="3.395693396"/>
    <n v="55"/>
    <n v="66"/>
    <n v="82"/>
    <x v="2"/>
    <x v="1"/>
    <x v="5"/>
    <x v="1"/>
    <n v="67.666666666666671"/>
    <x v="1"/>
    <x v="1"/>
  </r>
  <r>
    <n v="35"/>
    <x v="1"/>
    <x v="2"/>
    <n v="12"/>
    <n v="1"/>
    <n v="48.42601638"/>
    <n v="22"/>
    <n v="70"/>
    <n v="9"/>
    <x v="1"/>
    <x v="1"/>
    <x v="3"/>
    <x v="1"/>
    <n v="33.666666666666664"/>
    <x v="2"/>
    <x v="2"/>
  </r>
  <r>
    <n v="31"/>
    <x v="0"/>
    <x v="3"/>
    <n v="8"/>
    <n v="5"/>
    <n v="36.55800438"/>
    <n v="24"/>
    <n v="99"/>
    <n v="90"/>
    <x v="1"/>
    <x v="0"/>
    <x v="3"/>
    <x v="1"/>
    <n v="71"/>
    <x v="0"/>
    <x v="3"/>
  </r>
  <r>
    <n v="46"/>
    <x v="1"/>
    <x v="3"/>
    <n v="14"/>
    <n v="4"/>
    <n v="1.3398274290000001"/>
    <n v="90"/>
    <n v="34"/>
    <n v="14"/>
    <x v="1"/>
    <x v="1"/>
    <x v="2"/>
    <x v="1"/>
    <n v="46"/>
    <x v="2"/>
    <x v="1"/>
  </r>
  <r>
    <n v="38"/>
    <x v="0"/>
    <x v="3"/>
    <n v="0"/>
    <n v="4"/>
    <n v="39.19282501"/>
    <n v="5"/>
    <n v="14"/>
    <n v="10"/>
    <x v="1"/>
    <x v="1"/>
    <x v="1"/>
    <x v="0"/>
    <n v="9.6666666666666661"/>
    <x v="2"/>
    <x v="3"/>
  </r>
  <r>
    <n v="41"/>
    <x v="0"/>
    <x v="0"/>
    <n v="13"/>
    <n v="2"/>
    <n v="26.70409604"/>
    <n v="33"/>
    <n v="66"/>
    <n v="89"/>
    <x v="2"/>
    <x v="1"/>
    <x v="4"/>
    <x v="1"/>
    <n v="62.666666666666664"/>
    <x v="1"/>
    <x v="0"/>
  </r>
  <r>
    <n v="42"/>
    <x v="1"/>
    <x v="2"/>
    <n v="0"/>
    <n v="3"/>
    <n v="39.968258519999999"/>
    <n v="62"/>
    <n v="92"/>
    <n v="23"/>
    <x v="2"/>
    <x v="1"/>
    <x v="4"/>
    <x v="0"/>
    <n v="59"/>
    <x v="3"/>
    <x v="3"/>
  </r>
  <r>
    <n v="41"/>
    <x v="0"/>
    <x v="0"/>
    <n v="2"/>
    <n v="5"/>
    <n v="27.12484044"/>
    <n v="8"/>
    <n v="29"/>
    <n v="76"/>
    <x v="1"/>
    <x v="1"/>
    <x v="4"/>
    <x v="0"/>
    <n v="37.666666666666664"/>
    <x v="2"/>
    <x v="0"/>
  </r>
  <r>
    <n v="33"/>
    <x v="0"/>
    <x v="0"/>
    <n v="2"/>
    <n v="3"/>
    <n v="33.051242879999997"/>
    <n v="59"/>
    <n v="81"/>
    <n v="95"/>
    <x v="1"/>
    <x v="1"/>
    <x v="3"/>
    <x v="0"/>
    <n v="78.333333333333329"/>
    <x v="0"/>
    <x v="3"/>
  </r>
  <r>
    <n v="49"/>
    <x v="0"/>
    <x v="2"/>
    <n v="9"/>
    <n v="3"/>
    <n v="40.316582769999997"/>
    <n v="48"/>
    <n v="74"/>
    <n v="100"/>
    <x v="1"/>
    <x v="1"/>
    <x v="2"/>
    <x v="1"/>
    <n v="74"/>
    <x v="0"/>
    <x v="2"/>
  </r>
  <r>
    <n v="25"/>
    <x v="0"/>
    <x v="0"/>
    <n v="7"/>
    <n v="5"/>
    <n v="21.25540273"/>
    <n v="96"/>
    <n v="42"/>
    <n v="3"/>
    <x v="1"/>
    <x v="1"/>
    <x v="5"/>
    <x v="2"/>
    <n v="47"/>
    <x v="2"/>
    <x v="0"/>
  </r>
  <r>
    <n v="25"/>
    <x v="1"/>
    <x v="1"/>
    <n v="14"/>
    <n v="4"/>
    <n v="1.135407491"/>
    <n v="50"/>
    <n v="59"/>
    <n v="12"/>
    <x v="2"/>
    <x v="1"/>
    <x v="5"/>
    <x v="1"/>
    <n v="40.333333333333336"/>
    <x v="2"/>
    <x v="1"/>
  </r>
  <r>
    <n v="32"/>
    <x v="1"/>
    <x v="3"/>
    <n v="9"/>
    <n v="5"/>
    <n v="43.497324800000001"/>
    <n v="59"/>
    <n v="39"/>
    <n v="72"/>
    <x v="0"/>
    <x v="0"/>
    <x v="3"/>
    <x v="1"/>
    <n v="56.666666666666664"/>
    <x v="3"/>
    <x v="2"/>
  </r>
  <r>
    <n v="38"/>
    <x v="0"/>
    <x v="3"/>
    <n v="0"/>
    <n v="3"/>
    <n v="20.04451813"/>
    <n v="69"/>
    <n v="64"/>
    <n v="56"/>
    <x v="0"/>
    <x v="0"/>
    <x v="1"/>
    <x v="0"/>
    <n v="63"/>
    <x v="1"/>
    <x v="0"/>
  </r>
  <r>
    <n v="41"/>
    <x v="1"/>
    <x v="1"/>
    <n v="12"/>
    <n v="4"/>
    <n v="25.802136300000001"/>
    <n v="36"/>
    <n v="28"/>
    <n v="97"/>
    <x v="0"/>
    <x v="0"/>
    <x v="4"/>
    <x v="1"/>
    <n v="53.666666666666664"/>
    <x v="3"/>
    <x v="0"/>
  </r>
  <r>
    <n v="27"/>
    <x v="1"/>
    <x v="0"/>
    <n v="1"/>
    <n v="1"/>
    <n v="1.388332108"/>
    <n v="30"/>
    <n v="73"/>
    <n v="36"/>
    <x v="1"/>
    <x v="1"/>
    <x v="0"/>
    <x v="0"/>
    <n v="46.333333333333336"/>
    <x v="2"/>
    <x v="1"/>
  </r>
  <r>
    <n v="46"/>
    <x v="1"/>
    <x v="0"/>
    <n v="1"/>
    <n v="5"/>
    <n v="25.604600520000002"/>
    <n v="97"/>
    <n v="91"/>
    <n v="47"/>
    <x v="2"/>
    <x v="1"/>
    <x v="2"/>
    <x v="0"/>
    <n v="78.333333333333329"/>
    <x v="0"/>
    <x v="0"/>
  </r>
  <r>
    <n v="46"/>
    <x v="1"/>
    <x v="1"/>
    <n v="2"/>
    <n v="5"/>
    <n v="50.324370080000001"/>
    <n v="40"/>
    <n v="94"/>
    <n v="70"/>
    <x v="0"/>
    <x v="0"/>
    <x v="2"/>
    <x v="0"/>
    <n v="68"/>
    <x v="1"/>
    <x v="5"/>
  </r>
  <r>
    <n v="21"/>
    <x v="1"/>
    <x v="2"/>
    <n v="12"/>
    <n v="4"/>
    <n v="14.913383039999999"/>
    <n v="61"/>
    <n v="18"/>
    <n v="0"/>
    <x v="1"/>
    <x v="1"/>
    <x v="5"/>
    <x v="1"/>
    <n v="26.333333333333332"/>
    <x v="2"/>
    <x v="4"/>
  </r>
  <r>
    <n v="40"/>
    <x v="0"/>
    <x v="3"/>
    <n v="5"/>
    <n v="1"/>
    <n v="20.77091351"/>
    <n v="92"/>
    <n v="2"/>
    <n v="59"/>
    <x v="1"/>
    <x v="1"/>
    <x v="1"/>
    <x v="2"/>
    <n v="51"/>
    <x v="3"/>
    <x v="0"/>
  </r>
  <r>
    <n v="49"/>
    <x v="1"/>
    <x v="0"/>
    <n v="0"/>
    <n v="1"/>
    <n v="35.359499820000003"/>
    <n v="57"/>
    <n v="35"/>
    <n v="11"/>
    <x v="1"/>
    <x v="1"/>
    <x v="2"/>
    <x v="0"/>
    <n v="34.333333333333336"/>
    <x v="2"/>
    <x v="3"/>
  </r>
  <r>
    <n v="20"/>
    <x v="1"/>
    <x v="0"/>
    <n v="1"/>
    <n v="4"/>
    <n v="41.739683380000002"/>
    <n v="13"/>
    <n v="42"/>
    <n v="20"/>
    <x v="1"/>
    <x v="1"/>
    <x v="5"/>
    <x v="0"/>
    <n v="25"/>
    <x v="2"/>
    <x v="2"/>
  </r>
  <r>
    <n v="47"/>
    <x v="1"/>
    <x v="0"/>
    <n v="12"/>
    <n v="2"/>
    <n v="21.869581199999999"/>
    <n v="35"/>
    <n v="14"/>
    <n v="10"/>
    <x v="2"/>
    <x v="1"/>
    <x v="2"/>
    <x v="1"/>
    <n v="19.666666666666668"/>
    <x v="2"/>
    <x v="0"/>
  </r>
  <r>
    <n v="34"/>
    <x v="1"/>
    <x v="1"/>
    <n v="15"/>
    <n v="5"/>
    <n v="16.483443520000002"/>
    <n v="35"/>
    <n v="96"/>
    <n v="43"/>
    <x v="0"/>
    <x v="0"/>
    <x v="3"/>
    <x v="1"/>
    <n v="58"/>
    <x v="3"/>
    <x v="4"/>
  </r>
  <r>
    <n v="20"/>
    <x v="0"/>
    <x v="3"/>
    <n v="14"/>
    <n v="5"/>
    <n v="47.891289999999998"/>
    <n v="78"/>
    <n v="40"/>
    <n v="57"/>
    <x v="1"/>
    <x v="1"/>
    <x v="5"/>
    <x v="1"/>
    <n v="58.333333333333336"/>
    <x v="3"/>
    <x v="2"/>
  </r>
  <r>
    <n v="24"/>
    <x v="0"/>
    <x v="2"/>
    <n v="12"/>
    <n v="3"/>
    <n v="34.857248329999997"/>
    <n v="7"/>
    <n v="89"/>
    <n v="43"/>
    <x v="0"/>
    <x v="0"/>
    <x v="5"/>
    <x v="1"/>
    <n v="46.333333333333336"/>
    <x v="2"/>
    <x v="3"/>
  </r>
  <r>
    <n v="47"/>
    <x v="0"/>
    <x v="3"/>
    <n v="15"/>
    <n v="4"/>
    <n v="6.9510652249999998"/>
    <n v="25"/>
    <n v="79"/>
    <n v="77"/>
    <x v="1"/>
    <x v="0"/>
    <x v="2"/>
    <x v="1"/>
    <n v="60.333333333333336"/>
    <x v="1"/>
    <x v="1"/>
  </r>
  <r>
    <n v="48"/>
    <x v="0"/>
    <x v="0"/>
    <n v="0"/>
    <n v="3"/>
    <n v="4.446393907"/>
    <n v="35"/>
    <n v="35"/>
    <n v="97"/>
    <x v="2"/>
    <x v="1"/>
    <x v="2"/>
    <x v="0"/>
    <n v="55.666666666666664"/>
    <x v="3"/>
    <x v="1"/>
  </r>
  <r>
    <n v="35"/>
    <x v="1"/>
    <x v="0"/>
    <n v="4"/>
    <n v="3"/>
    <n v="25.177492539999999"/>
    <n v="47"/>
    <n v="96"/>
    <n v="33"/>
    <x v="0"/>
    <x v="1"/>
    <x v="3"/>
    <x v="2"/>
    <n v="58.666666666666664"/>
    <x v="3"/>
    <x v="0"/>
  </r>
  <r>
    <n v="38"/>
    <x v="0"/>
    <x v="0"/>
    <n v="15"/>
    <n v="1"/>
    <n v="12.0045033"/>
    <n v="84"/>
    <n v="83"/>
    <n v="24"/>
    <x v="0"/>
    <x v="0"/>
    <x v="1"/>
    <x v="1"/>
    <n v="63.666666666666664"/>
    <x v="1"/>
    <x v="4"/>
  </r>
  <r>
    <n v="23"/>
    <x v="1"/>
    <x v="0"/>
    <n v="12"/>
    <n v="5"/>
    <n v="13.69923767"/>
    <n v="27"/>
    <n v="76"/>
    <n v="3"/>
    <x v="1"/>
    <x v="1"/>
    <x v="5"/>
    <x v="1"/>
    <n v="35.333333333333336"/>
    <x v="2"/>
    <x v="4"/>
  </r>
  <r>
    <n v="22"/>
    <x v="1"/>
    <x v="0"/>
    <n v="12"/>
    <n v="3"/>
    <n v="44.88460894"/>
    <n v="67"/>
    <n v="32"/>
    <n v="63"/>
    <x v="1"/>
    <x v="1"/>
    <x v="5"/>
    <x v="1"/>
    <n v="54"/>
    <x v="3"/>
    <x v="2"/>
  </r>
  <r>
    <n v="36"/>
    <x v="1"/>
    <x v="1"/>
    <n v="6"/>
    <n v="1"/>
    <n v="5.4783012160000002"/>
    <n v="61"/>
    <n v="4"/>
    <n v="89"/>
    <x v="1"/>
    <x v="1"/>
    <x v="1"/>
    <x v="2"/>
    <n v="51.333333333333336"/>
    <x v="3"/>
    <x v="1"/>
  </r>
  <r>
    <n v="36"/>
    <x v="1"/>
    <x v="3"/>
    <n v="15"/>
    <n v="4"/>
    <n v="36.768205760000001"/>
    <n v="79"/>
    <n v="100"/>
    <n v="15"/>
    <x v="0"/>
    <x v="0"/>
    <x v="1"/>
    <x v="1"/>
    <n v="64.666666666666671"/>
    <x v="1"/>
    <x v="3"/>
  </r>
  <r>
    <n v="31"/>
    <x v="1"/>
    <x v="0"/>
    <n v="7"/>
    <n v="3"/>
    <n v="14.55711267"/>
    <n v="85"/>
    <n v="77"/>
    <n v="9"/>
    <x v="0"/>
    <x v="0"/>
    <x v="3"/>
    <x v="2"/>
    <n v="57"/>
    <x v="3"/>
    <x v="4"/>
  </r>
  <r>
    <n v="47"/>
    <x v="0"/>
    <x v="2"/>
    <n v="9"/>
    <n v="5"/>
    <n v="39.016411069999997"/>
    <n v="75"/>
    <n v="90"/>
    <n v="65"/>
    <x v="1"/>
    <x v="0"/>
    <x v="2"/>
    <x v="1"/>
    <n v="76.666666666666671"/>
    <x v="0"/>
    <x v="3"/>
  </r>
  <r>
    <n v="49"/>
    <x v="0"/>
    <x v="1"/>
    <n v="0"/>
    <n v="3"/>
    <n v="37.12056922"/>
    <n v="79"/>
    <n v="86"/>
    <n v="34"/>
    <x v="0"/>
    <x v="0"/>
    <x v="2"/>
    <x v="0"/>
    <n v="66.333333333333329"/>
    <x v="1"/>
    <x v="3"/>
  </r>
  <r>
    <n v="48"/>
    <x v="0"/>
    <x v="1"/>
    <n v="6"/>
    <n v="4"/>
    <n v="1.3695950720000001"/>
    <n v="50"/>
    <n v="13"/>
    <n v="82"/>
    <x v="2"/>
    <x v="1"/>
    <x v="2"/>
    <x v="2"/>
    <n v="48.333333333333336"/>
    <x v="2"/>
    <x v="1"/>
  </r>
  <r>
    <n v="33"/>
    <x v="0"/>
    <x v="3"/>
    <n v="12"/>
    <n v="3"/>
    <n v="26.456770649999999"/>
    <n v="41"/>
    <n v="67"/>
    <n v="5"/>
    <x v="0"/>
    <x v="0"/>
    <x v="3"/>
    <x v="1"/>
    <n v="37.666666666666664"/>
    <x v="2"/>
    <x v="0"/>
  </r>
  <r>
    <n v="40"/>
    <x v="1"/>
    <x v="2"/>
    <n v="4"/>
    <n v="5"/>
    <n v="7.9659741190000002"/>
    <n v="100"/>
    <n v="82"/>
    <n v="18"/>
    <x v="1"/>
    <x v="1"/>
    <x v="1"/>
    <x v="2"/>
    <n v="66.666666666666671"/>
    <x v="1"/>
    <x v="1"/>
  </r>
  <r>
    <n v="25"/>
    <x v="0"/>
    <x v="2"/>
    <n v="9"/>
    <n v="1"/>
    <n v="44.311351530000003"/>
    <n v="28"/>
    <n v="46"/>
    <n v="58"/>
    <x v="0"/>
    <x v="1"/>
    <x v="5"/>
    <x v="1"/>
    <n v="44"/>
    <x v="2"/>
    <x v="2"/>
  </r>
  <r>
    <n v="22"/>
    <x v="1"/>
    <x v="0"/>
    <n v="0"/>
    <n v="5"/>
    <n v="44.579294140000002"/>
    <n v="81"/>
    <n v="53"/>
    <n v="52"/>
    <x v="0"/>
    <x v="0"/>
    <x v="5"/>
    <x v="0"/>
    <n v="62"/>
    <x v="1"/>
    <x v="2"/>
  </r>
  <r>
    <n v="47"/>
    <x v="0"/>
    <x v="2"/>
    <n v="2"/>
    <n v="1"/>
    <n v="21.91729037"/>
    <n v="9"/>
    <n v="3"/>
    <n v="7"/>
    <x v="1"/>
    <x v="1"/>
    <x v="2"/>
    <x v="0"/>
    <n v="6.333333333333333"/>
    <x v="2"/>
    <x v="0"/>
  </r>
  <r>
    <n v="28"/>
    <x v="1"/>
    <x v="0"/>
    <n v="6"/>
    <n v="2"/>
    <n v="23.219780920000002"/>
    <n v="38"/>
    <n v="93"/>
    <n v="77"/>
    <x v="1"/>
    <x v="1"/>
    <x v="0"/>
    <x v="2"/>
    <n v="69.333333333333329"/>
    <x v="1"/>
    <x v="0"/>
  </r>
  <r>
    <n v="24"/>
    <x v="1"/>
    <x v="1"/>
    <n v="9"/>
    <n v="5"/>
    <n v="16.164146970000001"/>
    <n v="81"/>
    <n v="82"/>
    <n v="9"/>
    <x v="0"/>
    <x v="0"/>
    <x v="5"/>
    <x v="1"/>
    <n v="57.333333333333336"/>
    <x v="3"/>
    <x v="4"/>
  </r>
  <r>
    <n v="43"/>
    <x v="0"/>
    <x v="0"/>
    <n v="0"/>
    <n v="5"/>
    <n v="36.830314950000002"/>
    <n v="0"/>
    <n v="94"/>
    <n v="66"/>
    <x v="0"/>
    <x v="0"/>
    <x v="4"/>
    <x v="0"/>
    <n v="53.333333333333336"/>
    <x v="3"/>
    <x v="3"/>
  </r>
  <r>
    <n v="48"/>
    <x v="1"/>
    <x v="2"/>
    <n v="6"/>
    <n v="4"/>
    <n v="18.93306815"/>
    <n v="38"/>
    <n v="94"/>
    <n v="37"/>
    <x v="0"/>
    <x v="0"/>
    <x v="2"/>
    <x v="2"/>
    <n v="56.333333333333336"/>
    <x v="3"/>
    <x v="4"/>
  </r>
  <r>
    <n v="36"/>
    <x v="1"/>
    <x v="0"/>
    <n v="4"/>
    <n v="3"/>
    <n v="14.38962373"/>
    <n v="20"/>
    <n v="8"/>
    <n v="28"/>
    <x v="1"/>
    <x v="1"/>
    <x v="1"/>
    <x v="2"/>
    <n v="18.666666666666668"/>
    <x v="2"/>
    <x v="4"/>
  </r>
  <r>
    <n v="33"/>
    <x v="0"/>
    <x v="2"/>
    <n v="0"/>
    <n v="1"/>
    <n v="22.611552979999999"/>
    <n v="64"/>
    <n v="52"/>
    <n v="14"/>
    <x v="1"/>
    <x v="1"/>
    <x v="3"/>
    <x v="0"/>
    <n v="43.333333333333336"/>
    <x v="2"/>
    <x v="0"/>
  </r>
  <r>
    <n v="40"/>
    <x v="1"/>
    <x v="2"/>
    <n v="0"/>
    <n v="1"/>
    <n v="5.5743759190000004"/>
    <n v="14"/>
    <n v="76"/>
    <n v="86"/>
    <x v="0"/>
    <x v="0"/>
    <x v="1"/>
    <x v="0"/>
    <n v="58.666666666666664"/>
    <x v="3"/>
    <x v="1"/>
  </r>
  <r>
    <n v="50"/>
    <x v="0"/>
    <x v="0"/>
    <n v="13"/>
    <n v="4"/>
    <n v="38.330160229999997"/>
    <n v="3"/>
    <n v="77"/>
    <n v="22"/>
    <x v="1"/>
    <x v="1"/>
    <x v="2"/>
    <x v="1"/>
    <n v="34"/>
    <x v="2"/>
    <x v="3"/>
  </r>
  <r>
    <n v="22"/>
    <x v="0"/>
    <x v="0"/>
    <n v="0"/>
    <n v="4"/>
    <n v="1.629820064"/>
    <n v="59"/>
    <n v="59"/>
    <n v="81"/>
    <x v="1"/>
    <x v="1"/>
    <x v="5"/>
    <x v="0"/>
    <n v="66.333333333333329"/>
    <x v="1"/>
    <x v="1"/>
  </r>
  <r>
    <n v="47"/>
    <x v="0"/>
    <x v="3"/>
    <n v="10"/>
    <n v="3"/>
    <n v="33.224253079999997"/>
    <n v="60"/>
    <n v="45"/>
    <n v="45"/>
    <x v="2"/>
    <x v="1"/>
    <x v="2"/>
    <x v="1"/>
    <n v="50"/>
    <x v="3"/>
    <x v="3"/>
  </r>
  <r>
    <n v="20"/>
    <x v="1"/>
    <x v="1"/>
    <n v="8"/>
    <n v="3"/>
    <n v="10.14322634"/>
    <n v="19"/>
    <n v="53"/>
    <n v="82"/>
    <x v="2"/>
    <x v="0"/>
    <x v="5"/>
    <x v="1"/>
    <n v="51.333333333333336"/>
    <x v="3"/>
    <x v="4"/>
  </r>
  <r>
    <n v="39"/>
    <x v="1"/>
    <x v="0"/>
    <n v="10"/>
    <n v="5"/>
    <n v="12.62020231"/>
    <n v="9"/>
    <n v="73"/>
    <n v="27"/>
    <x v="1"/>
    <x v="1"/>
    <x v="1"/>
    <x v="1"/>
    <n v="36.333333333333336"/>
    <x v="2"/>
    <x v="4"/>
  </r>
  <r>
    <n v="50"/>
    <x v="1"/>
    <x v="0"/>
    <n v="12"/>
    <n v="2"/>
    <n v="32.781599929999999"/>
    <n v="86"/>
    <n v="94"/>
    <n v="25"/>
    <x v="0"/>
    <x v="0"/>
    <x v="2"/>
    <x v="1"/>
    <n v="68.333333333333329"/>
    <x v="1"/>
    <x v="3"/>
  </r>
  <r>
    <n v="48"/>
    <x v="0"/>
    <x v="3"/>
    <n v="2"/>
    <n v="3"/>
    <n v="50.647173289999998"/>
    <n v="33"/>
    <n v="36"/>
    <n v="9"/>
    <x v="0"/>
    <x v="1"/>
    <x v="2"/>
    <x v="0"/>
    <n v="26"/>
    <x v="2"/>
    <x v="5"/>
  </r>
  <r>
    <n v="40"/>
    <x v="1"/>
    <x v="0"/>
    <n v="14"/>
    <n v="4"/>
    <n v="39.885874450000003"/>
    <n v="47"/>
    <n v="22"/>
    <n v="46"/>
    <x v="1"/>
    <x v="1"/>
    <x v="1"/>
    <x v="1"/>
    <n v="38.333333333333336"/>
    <x v="2"/>
    <x v="3"/>
  </r>
  <r>
    <n v="42"/>
    <x v="0"/>
    <x v="2"/>
    <n v="12"/>
    <n v="3"/>
    <n v="12.291981610000001"/>
    <n v="32"/>
    <n v="26"/>
    <n v="3"/>
    <x v="2"/>
    <x v="1"/>
    <x v="4"/>
    <x v="1"/>
    <n v="20.333333333333332"/>
    <x v="2"/>
    <x v="4"/>
  </r>
  <r>
    <n v="20"/>
    <x v="0"/>
    <x v="3"/>
    <n v="4"/>
    <n v="1"/>
    <n v="9.8012377520000005"/>
    <n v="97"/>
    <n v="69"/>
    <n v="54"/>
    <x v="1"/>
    <x v="1"/>
    <x v="5"/>
    <x v="2"/>
    <n v="73.333333333333329"/>
    <x v="0"/>
    <x v="1"/>
  </r>
  <r>
    <n v="22"/>
    <x v="1"/>
    <x v="2"/>
    <n v="10"/>
    <n v="2"/>
    <n v="44.311643510000003"/>
    <n v="60"/>
    <n v="89"/>
    <n v="65"/>
    <x v="1"/>
    <x v="1"/>
    <x v="5"/>
    <x v="1"/>
    <n v="71.333333333333329"/>
    <x v="0"/>
    <x v="2"/>
  </r>
  <r>
    <n v="37"/>
    <x v="0"/>
    <x v="0"/>
    <n v="15"/>
    <n v="5"/>
    <n v="23.209197400000001"/>
    <n v="9"/>
    <n v="65"/>
    <n v="66"/>
    <x v="1"/>
    <x v="1"/>
    <x v="1"/>
    <x v="1"/>
    <n v="46.666666666666664"/>
    <x v="2"/>
    <x v="0"/>
  </r>
  <r>
    <n v="44"/>
    <x v="1"/>
    <x v="0"/>
    <n v="9"/>
    <n v="1"/>
    <n v="7.8526401410000002"/>
    <n v="53"/>
    <n v="60"/>
    <n v="6"/>
    <x v="1"/>
    <x v="1"/>
    <x v="4"/>
    <x v="1"/>
    <n v="39.666666666666664"/>
    <x v="2"/>
    <x v="1"/>
  </r>
  <r>
    <n v="29"/>
    <x v="1"/>
    <x v="0"/>
    <n v="11"/>
    <n v="1"/>
    <n v="44.11057117"/>
    <n v="83"/>
    <n v="76"/>
    <n v="54"/>
    <x v="0"/>
    <x v="0"/>
    <x v="0"/>
    <x v="1"/>
    <n v="71"/>
    <x v="0"/>
    <x v="2"/>
  </r>
  <r>
    <n v="50"/>
    <x v="1"/>
    <x v="0"/>
    <n v="15"/>
    <n v="2"/>
    <n v="41.804617649999997"/>
    <n v="64"/>
    <n v="50"/>
    <n v="79"/>
    <x v="1"/>
    <x v="1"/>
    <x v="2"/>
    <x v="1"/>
    <n v="64.333333333333329"/>
    <x v="1"/>
    <x v="2"/>
  </r>
  <r>
    <n v="41"/>
    <x v="1"/>
    <x v="3"/>
    <n v="8"/>
    <n v="5"/>
    <n v="50.195318190000002"/>
    <n v="76"/>
    <n v="49"/>
    <n v="30"/>
    <x v="0"/>
    <x v="0"/>
    <x v="4"/>
    <x v="1"/>
    <n v="51.666666666666664"/>
    <x v="3"/>
    <x v="5"/>
  </r>
  <r>
    <n v="45"/>
    <x v="1"/>
    <x v="2"/>
    <n v="5"/>
    <n v="4"/>
    <n v="46.487184339999999"/>
    <n v="0"/>
    <n v="18"/>
    <n v="73"/>
    <x v="0"/>
    <x v="1"/>
    <x v="4"/>
    <x v="2"/>
    <n v="30.333333333333332"/>
    <x v="2"/>
    <x v="2"/>
  </r>
  <r>
    <n v="22"/>
    <x v="0"/>
    <x v="0"/>
    <n v="11"/>
    <n v="5"/>
    <n v="43.589516930000002"/>
    <n v="4"/>
    <n v="0"/>
    <n v="18"/>
    <x v="1"/>
    <x v="1"/>
    <x v="5"/>
    <x v="1"/>
    <n v="7.333333333333333"/>
    <x v="2"/>
    <x v="2"/>
  </r>
  <r>
    <n v="27"/>
    <x v="0"/>
    <x v="3"/>
    <n v="8"/>
    <n v="3"/>
    <n v="3.6287198909999998"/>
    <n v="79"/>
    <n v="39"/>
    <n v="27"/>
    <x v="0"/>
    <x v="0"/>
    <x v="0"/>
    <x v="1"/>
    <n v="48.333333333333336"/>
    <x v="2"/>
    <x v="1"/>
  </r>
  <r>
    <n v="33"/>
    <x v="0"/>
    <x v="0"/>
    <n v="7"/>
    <n v="1"/>
    <n v="6.2207684749999999"/>
    <n v="14"/>
    <n v="31"/>
    <n v="80"/>
    <x v="0"/>
    <x v="0"/>
    <x v="3"/>
    <x v="2"/>
    <n v="41.666666666666664"/>
    <x v="2"/>
    <x v="1"/>
  </r>
  <r>
    <n v="43"/>
    <x v="1"/>
    <x v="2"/>
    <n v="7"/>
    <n v="3"/>
    <n v="29.449159720000001"/>
    <n v="27"/>
    <n v="21"/>
    <n v="27"/>
    <x v="0"/>
    <x v="1"/>
    <x v="4"/>
    <x v="2"/>
    <n v="25"/>
    <x v="2"/>
    <x v="0"/>
  </r>
  <r>
    <n v="37"/>
    <x v="1"/>
    <x v="3"/>
    <n v="0"/>
    <n v="4"/>
    <n v="27.573962309999999"/>
    <n v="94"/>
    <n v="92"/>
    <n v="18"/>
    <x v="2"/>
    <x v="1"/>
    <x v="1"/>
    <x v="0"/>
    <n v="68"/>
    <x v="1"/>
    <x v="0"/>
  </r>
  <r>
    <n v="34"/>
    <x v="1"/>
    <x v="0"/>
    <n v="12"/>
    <n v="3"/>
    <n v="23.89816072"/>
    <n v="22"/>
    <n v="65"/>
    <n v="100"/>
    <x v="1"/>
    <x v="1"/>
    <x v="3"/>
    <x v="1"/>
    <n v="62.333333333333336"/>
    <x v="1"/>
    <x v="0"/>
  </r>
  <r>
    <n v="41"/>
    <x v="0"/>
    <x v="3"/>
    <n v="8"/>
    <n v="5"/>
    <n v="20.839466269999999"/>
    <n v="16"/>
    <n v="39"/>
    <n v="86"/>
    <x v="0"/>
    <x v="0"/>
    <x v="4"/>
    <x v="1"/>
    <n v="47"/>
    <x v="2"/>
    <x v="0"/>
  </r>
  <r>
    <n v="42"/>
    <x v="1"/>
    <x v="3"/>
    <n v="5"/>
    <n v="3"/>
    <n v="22.560524239999999"/>
    <n v="97"/>
    <n v="37"/>
    <n v="19"/>
    <x v="1"/>
    <x v="1"/>
    <x v="4"/>
    <x v="2"/>
    <n v="51"/>
    <x v="3"/>
    <x v="0"/>
  </r>
  <r>
    <n v="21"/>
    <x v="0"/>
    <x v="0"/>
    <n v="15"/>
    <n v="4"/>
    <n v="29.464896710000001"/>
    <n v="12"/>
    <n v="47"/>
    <n v="12"/>
    <x v="0"/>
    <x v="1"/>
    <x v="5"/>
    <x v="1"/>
    <n v="23.666666666666668"/>
    <x v="2"/>
    <x v="0"/>
  </r>
  <r>
    <n v="50"/>
    <x v="0"/>
    <x v="0"/>
    <n v="8"/>
    <n v="4"/>
    <n v="1.10382588"/>
    <n v="13"/>
    <n v="54"/>
    <n v="76"/>
    <x v="1"/>
    <x v="1"/>
    <x v="2"/>
    <x v="1"/>
    <n v="47.666666666666664"/>
    <x v="2"/>
    <x v="1"/>
  </r>
  <r>
    <n v="46"/>
    <x v="1"/>
    <x v="1"/>
    <n v="2"/>
    <n v="4"/>
    <n v="14.035438709999999"/>
    <n v="10"/>
    <n v="74"/>
    <n v="42"/>
    <x v="1"/>
    <x v="1"/>
    <x v="2"/>
    <x v="0"/>
    <n v="42"/>
    <x v="2"/>
    <x v="4"/>
  </r>
  <r>
    <n v="29"/>
    <x v="1"/>
    <x v="2"/>
    <n v="11"/>
    <n v="5"/>
    <n v="26.91398603"/>
    <n v="27"/>
    <n v="80"/>
    <n v="10"/>
    <x v="2"/>
    <x v="1"/>
    <x v="0"/>
    <x v="1"/>
    <n v="39"/>
    <x v="2"/>
    <x v="0"/>
  </r>
  <r>
    <n v="21"/>
    <x v="0"/>
    <x v="3"/>
    <n v="2"/>
    <n v="4"/>
    <n v="37.11080493"/>
    <n v="41"/>
    <n v="54"/>
    <n v="47"/>
    <x v="1"/>
    <x v="1"/>
    <x v="5"/>
    <x v="0"/>
    <n v="47.333333333333336"/>
    <x v="2"/>
    <x v="3"/>
  </r>
  <r>
    <n v="45"/>
    <x v="1"/>
    <x v="2"/>
    <n v="5"/>
    <n v="1"/>
    <n v="9.7078346199999999"/>
    <n v="95"/>
    <n v="50"/>
    <n v="14"/>
    <x v="2"/>
    <x v="1"/>
    <x v="4"/>
    <x v="2"/>
    <n v="53"/>
    <x v="3"/>
    <x v="1"/>
  </r>
  <r>
    <n v="36"/>
    <x v="0"/>
    <x v="0"/>
    <n v="8"/>
    <n v="4"/>
    <n v="28.344058690000001"/>
    <n v="98"/>
    <n v="59"/>
    <n v="16"/>
    <x v="2"/>
    <x v="1"/>
    <x v="1"/>
    <x v="1"/>
    <n v="57.666666666666664"/>
    <x v="3"/>
    <x v="0"/>
  </r>
  <r>
    <n v="27"/>
    <x v="1"/>
    <x v="0"/>
    <n v="6"/>
    <n v="3"/>
    <n v="36.722984189999998"/>
    <n v="60"/>
    <n v="7"/>
    <n v="53"/>
    <x v="2"/>
    <x v="1"/>
    <x v="0"/>
    <x v="2"/>
    <n v="40"/>
    <x v="2"/>
    <x v="3"/>
  </r>
  <r>
    <n v="20"/>
    <x v="1"/>
    <x v="1"/>
    <n v="13"/>
    <n v="3"/>
    <n v="23.2313829"/>
    <n v="63"/>
    <n v="85"/>
    <n v="49"/>
    <x v="1"/>
    <x v="1"/>
    <x v="5"/>
    <x v="1"/>
    <n v="65.666666666666671"/>
    <x v="1"/>
    <x v="0"/>
  </r>
  <r>
    <n v="28"/>
    <x v="0"/>
    <x v="1"/>
    <n v="12"/>
    <n v="3"/>
    <n v="2.3540566840000001"/>
    <n v="30"/>
    <n v="67"/>
    <n v="27"/>
    <x v="1"/>
    <x v="1"/>
    <x v="0"/>
    <x v="1"/>
    <n v="41.333333333333336"/>
    <x v="2"/>
    <x v="1"/>
  </r>
  <r>
    <n v="30"/>
    <x v="1"/>
    <x v="2"/>
    <n v="2"/>
    <n v="5"/>
    <n v="23.463407920000002"/>
    <n v="80"/>
    <n v="74"/>
    <n v="82"/>
    <x v="1"/>
    <x v="1"/>
    <x v="0"/>
    <x v="0"/>
    <n v="78.666666666666671"/>
    <x v="0"/>
    <x v="0"/>
  </r>
  <r>
    <n v="41"/>
    <x v="0"/>
    <x v="2"/>
    <n v="2"/>
    <n v="3"/>
    <n v="15.82224439"/>
    <n v="72"/>
    <n v="71"/>
    <n v="3"/>
    <x v="0"/>
    <x v="0"/>
    <x v="4"/>
    <x v="0"/>
    <n v="48.666666666666664"/>
    <x v="2"/>
    <x v="4"/>
  </r>
  <r>
    <n v="35"/>
    <x v="1"/>
    <x v="3"/>
    <n v="1"/>
    <n v="5"/>
    <n v="47.482480389999999"/>
    <n v="9"/>
    <n v="8"/>
    <n v="21"/>
    <x v="0"/>
    <x v="1"/>
    <x v="3"/>
    <x v="0"/>
    <n v="12.666666666666666"/>
    <x v="2"/>
    <x v="2"/>
  </r>
  <r>
    <n v="26"/>
    <x v="0"/>
    <x v="0"/>
    <n v="8"/>
    <n v="5"/>
    <n v="7.2306692840000002"/>
    <n v="7"/>
    <n v="89"/>
    <n v="85"/>
    <x v="1"/>
    <x v="1"/>
    <x v="0"/>
    <x v="1"/>
    <n v="60.333333333333336"/>
    <x v="1"/>
    <x v="1"/>
  </r>
  <r>
    <n v="48"/>
    <x v="0"/>
    <x v="2"/>
    <n v="12"/>
    <n v="4"/>
    <n v="33.623797779999997"/>
    <n v="20"/>
    <n v="1"/>
    <n v="100"/>
    <x v="1"/>
    <x v="1"/>
    <x v="2"/>
    <x v="1"/>
    <n v="40.333333333333336"/>
    <x v="2"/>
    <x v="3"/>
  </r>
  <r>
    <n v="29"/>
    <x v="1"/>
    <x v="0"/>
    <n v="14"/>
    <n v="1"/>
    <n v="3.6359883169999998"/>
    <n v="76"/>
    <n v="79"/>
    <n v="38"/>
    <x v="2"/>
    <x v="1"/>
    <x v="0"/>
    <x v="1"/>
    <n v="64.333333333333329"/>
    <x v="1"/>
    <x v="1"/>
  </r>
  <r>
    <n v="42"/>
    <x v="0"/>
    <x v="0"/>
    <n v="2"/>
    <n v="4"/>
    <n v="23.308521890000002"/>
    <n v="58"/>
    <n v="94"/>
    <n v="33"/>
    <x v="0"/>
    <x v="1"/>
    <x v="4"/>
    <x v="0"/>
    <n v="61.666666666666664"/>
    <x v="1"/>
    <x v="0"/>
  </r>
  <r>
    <n v="45"/>
    <x v="1"/>
    <x v="1"/>
    <n v="10"/>
    <n v="4"/>
    <n v="28.698974360000001"/>
    <n v="49"/>
    <n v="69"/>
    <n v="96"/>
    <x v="0"/>
    <x v="0"/>
    <x v="4"/>
    <x v="1"/>
    <n v="71.333333333333329"/>
    <x v="0"/>
    <x v="0"/>
  </r>
  <r>
    <n v="22"/>
    <x v="1"/>
    <x v="0"/>
    <n v="4"/>
    <n v="5"/>
    <n v="15.897746570000001"/>
    <n v="68"/>
    <n v="84"/>
    <n v="43"/>
    <x v="1"/>
    <x v="1"/>
    <x v="5"/>
    <x v="2"/>
    <n v="65"/>
    <x v="1"/>
    <x v="4"/>
  </r>
  <r>
    <n v="37"/>
    <x v="1"/>
    <x v="0"/>
    <n v="13"/>
    <n v="5"/>
    <n v="23.753781780000001"/>
    <n v="69"/>
    <n v="89"/>
    <n v="41"/>
    <x v="1"/>
    <x v="1"/>
    <x v="1"/>
    <x v="1"/>
    <n v="66.333333333333329"/>
    <x v="1"/>
    <x v="0"/>
  </r>
  <r>
    <n v="44"/>
    <x v="0"/>
    <x v="0"/>
    <n v="13"/>
    <n v="3"/>
    <n v="9.1776897270000006"/>
    <n v="29"/>
    <n v="58"/>
    <n v="39"/>
    <x v="0"/>
    <x v="0"/>
    <x v="4"/>
    <x v="1"/>
    <n v="42"/>
    <x v="2"/>
    <x v="1"/>
  </r>
  <r>
    <n v="43"/>
    <x v="0"/>
    <x v="3"/>
    <n v="8"/>
    <n v="3"/>
    <n v="16.206192470000001"/>
    <n v="94"/>
    <n v="18"/>
    <n v="96"/>
    <x v="2"/>
    <x v="0"/>
    <x v="4"/>
    <x v="1"/>
    <n v="69.333333333333329"/>
    <x v="1"/>
    <x v="4"/>
  </r>
  <r>
    <n v="32"/>
    <x v="1"/>
    <x v="0"/>
    <n v="7"/>
    <n v="4"/>
    <n v="32.055316249999997"/>
    <n v="16"/>
    <n v="27"/>
    <n v="11"/>
    <x v="1"/>
    <x v="1"/>
    <x v="3"/>
    <x v="2"/>
    <n v="18"/>
    <x v="2"/>
    <x v="3"/>
  </r>
  <r>
    <n v="47"/>
    <x v="1"/>
    <x v="0"/>
    <n v="1"/>
    <n v="2"/>
    <n v="16.09000279"/>
    <n v="74"/>
    <n v="71"/>
    <n v="1"/>
    <x v="1"/>
    <x v="1"/>
    <x v="2"/>
    <x v="0"/>
    <n v="48.666666666666664"/>
    <x v="2"/>
    <x v="4"/>
  </r>
  <r>
    <n v="45"/>
    <x v="0"/>
    <x v="0"/>
    <n v="2"/>
    <n v="2"/>
    <n v="45.987153919999997"/>
    <n v="19"/>
    <n v="13"/>
    <n v="27"/>
    <x v="2"/>
    <x v="1"/>
    <x v="4"/>
    <x v="0"/>
    <n v="19.666666666666668"/>
    <x v="2"/>
    <x v="2"/>
  </r>
  <r>
    <n v="26"/>
    <x v="1"/>
    <x v="3"/>
    <n v="15"/>
    <n v="3"/>
    <n v="32.420347880000001"/>
    <n v="47"/>
    <n v="23"/>
    <n v="73"/>
    <x v="1"/>
    <x v="1"/>
    <x v="0"/>
    <x v="1"/>
    <n v="47.666666666666664"/>
    <x v="2"/>
    <x v="3"/>
  </r>
  <r>
    <n v="44"/>
    <x v="1"/>
    <x v="0"/>
    <n v="15"/>
    <n v="2"/>
    <n v="22.932450920000001"/>
    <n v="72"/>
    <n v="43"/>
    <n v="85"/>
    <x v="1"/>
    <x v="1"/>
    <x v="4"/>
    <x v="1"/>
    <n v="66.666666666666671"/>
    <x v="1"/>
    <x v="0"/>
  </r>
  <r>
    <n v="23"/>
    <x v="0"/>
    <x v="2"/>
    <n v="1"/>
    <n v="3"/>
    <n v="2.9378467779999999"/>
    <n v="1"/>
    <n v="100"/>
    <n v="80"/>
    <x v="2"/>
    <x v="1"/>
    <x v="5"/>
    <x v="0"/>
    <n v="60.333333333333336"/>
    <x v="1"/>
    <x v="1"/>
  </r>
  <r>
    <n v="32"/>
    <x v="1"/>
    <x v="0"/>
    <n v="15"/>
    <n v="5"/>
    <n v="25.977416760000001"/>
    <n v="36"/>
    <n v="55"/>
    <n v="89"/>
    <x v="0"/>
    <x v="0"/>
    <x v="3"/>
    <x v="1"/>
    <n v="60"/>
    <x v="1"/>
    <x v="0"/>
  </r>
  <r>
    <n v="39"/>
    <x v="0"/>
    <x v="0"/>
    <n v="7"/>
    <n v="4"/>
    <n v="39.238812109999998"/>
    <n v="0"/>
    <n v="89"/>
    <n v="66"/>
    <x v="1"/>
    <x v="1"/>
    <x v="1"/>
    <x v="2"/>
    <n v="51.666666666666664"/>
    <x v="3"/>
    <x v="3"/>
  </r>
  <r>
    <n v="20"/>
    <x v="1"/>
    <x v="2"/>
    <n v="5"/>
    <n v="1"/>
    <n v="14.2778799"/>
    <n v="3"/>
    <n v="94"/>
    <n v="70"/>
    <x v="0"/>
    <x v="0"/>
    <x v="5"/>
    <x v="2"/>
    <n v="55.666666666666664"/>
    <x v="3"/>
    <x v="4"/>
  </r>
  <r>
    <n v="27"/>
    <x v="0"/>
    <x v="3"/>
    <n v="5"/>
    <n v="4"/>
    <n v="41.338678479999999"/>
    <n v="99"/>
    <n v="50"/>
    <n v="71"/>
    <x v="0"/>
    <x v="0"/>
    <x v="0"/>
    <x v="2"/>
    <n v="73.333333333333329"/>
    <x v="0"/>
    <x v="2"/>
  </r>
  <r>
    <n v="33"/>
    <x v="1"/>
    <x v="0"/>
    <n v="11"/>
    <n v="3"/>
    <n v="13.590338300000001"/>
    <n v="53"/>
    <n v="31"/>
    <n v="83"/>
    <x v="2"/>
    <x v="1"/>
    <x v="3"/>
    <x v="1"/>
    <n v="55.666666666666664"/>
    <x v="3"/>
    <x v="4"/>
  </r>
  <r>
    <n v="35"/>
    <x v="1"/>
    <x v="3"/>
    <n v="14"/>
    <n v="3"/>
    <n v="42.1873194"/>
    <n v="24"/>
    <n v="49"/>
    <n v="75"/>
    <x v="1"/>
    <x v="1"/>
    <x v="3"/>
    <x v="1"/>
    <n v="49.333333333333336"/>
    <x v="2"/>
    <x v="2"/>
  </r>
  <r>
    <n v="33"/>
    <x v="0"/>
    <x v="0"/>
    <n v="8"/>
    <n v="4"/>
    <n v="5.2634170810000001"/>
    <n v="2"/>
    <n v="40"/>
    <n v="98"/>
    <x v="1"/>
    <x v="1"/>
    <x v="3"/>
    <x v="1"/>
    <n v="46.666666666666664"/>
    <x v="2"/>
    <x v="1"/>
  </r>
  <r>
    <n v="31"/>
    <x v="1"/>
    <x v="3"/>
    <n v="7"/>
    <n v="3"/>
    <n v="44.30918544"/>
    <n v="8"/>
    <n v="65"/>
    <n v="80"/>
    <x v="2"/>
    <x v="0"/>
    <x v="3"/>
    <x v="2"/>
    <n v="51"/>
    <x v="3"/>
    <x v="2"/>
  </r>
  <r>
    <n v="38"/>
    <x v="0"/>
    <x v="2"/>
    <n v="3"/>
    <n v="2"/>
    <n v="25.95932255"/>
    <n v="85"/>
    <n v="24"/>
    <n v="91"/>
    <x v="2"/>
    <x v="1"/>
    <x v="1"/>
    <x v="2"/>
    <n v="66.666666666666671"/>
    <x v="1"/>
    <x v="0"/>
  </r>
  <r>
    <n v="42"/>
    <x v="1"/>
    <x v="0"/>
    <n v="14"/>
    <n v="2"/>
    <n v="15.826879480000001"/>
    <n v="86"/>
    <n v="60"/>
    <n v="9"/>
    <x v="2"/>
    <x v="1"/>
    <x v="4"/>
    <x v="1"/>
    <n v="51.666666666666664"/>
    <x v="3"/>
    <x v="4"/>
  </r>
  <r>
    <n v="34"/>
    <x v="0"/>
    <x v="1"/>
    <n v="11"/>
    <n v="3"/>
    <n v="14.25566252"/>
    <n v="75"/>
    <n v="65"/>
    <n v="85"/>
    <x v="1"/>
    <x v="0"/>
    <x v="3"/>
    <x v="1"/>
    <n v="75"/>
    <x v="0"/>
    <x v="4"/>
  </r>
  <r>
    <n v="47"/>
    <x v="0"/>
    <x v="3"/>
    <n v="3"/>
    <n v="3"/>
    <n v="22.60052795"/>
    <n v="73"/>
    <n v="41"/>
    <n v="56"/>
    <x v="1"/>
    <x v="1"/>
    <x v="2"/>
    <x v="2"/>
    <n v="56.666666666666664"/>
    <x v="3"/>
    <x v="0"/>
  </r>
  <r>
    <n v="21"/>
    <x v="0"/>
    <x v="0"/>
    <n v="8"/>
    <n v="2"/>
    <n v="50.952474909999999"/>
    <n v="33"/>
    <n v="64"/>
    <n v="96"/>
    <x v="0"/>
    <x v="0"/>
    <x v="5"/>
    <x v="1"/>
    <n v="64.333333333333329"/>
    <x v="1"/>
    <x v="5"/>
  </r>
  <r>
    <n v="21"/>
    <x v="0"/>
    <x v="0"/>
    <n v="0"/>
    <n v="3"/>
    <n v="12.01636967"/>
    <n v="42"/>
    <n v="35"/>
    <n v="85"/>
    <x v="1"/>
    <x v="1"/>
    <x v="5"/>
    <x v="0"/>
    <n v="54"/>
    <x v="3"/>
    <x v="4"/>
  </r>
  <r>
    <n v="42"/>
    <x v="1"/>
    <x v="3"/>
    <n v="12"/>
    <n v="3"/>
    <n v="6.1608324440000004"/>
    <n v="73"/>
    <n v="75"/>
    <n v="36"/>
    <x v="1"/>
    <x v="0"/>
    <x v="4"/>
    <x v="1"/>
    <n v="61.333333333333336"/>
    <x v="1"/>
    <x v="1"/>
  </r>
  <r>
    <n v="50"/>
    <x v="1"/>
    <x v="0"/>
    <n v="1"/>
    <n v="4"/>
    <n v="30.25175844"/>
    <n v="93"/>
    <n v="8"/>
    <n v="76"/>
    <x v="1"/>
    <x v="1"/>
    <x v="2"/>
    <x v="0"/>
    <n v="59"/>
    <x v="3"/>
    <x v="3"/>
  </r>
  <r>
    <n v="41"/>
    <x v="0"/>
    <x v="3"/>
    <n v="1"/>
    <n v="1"/>
    <n v="25.42712332"/>
    <n v="21"/>
    <n v="35"/>
    <n v="90"/>
    <x v="1"/>
    <x v="1"/>
    <x v="4"/>
    <x v="0"/>
    <n v="48.666666666666664"/>
    <x v="2"/>
    <x v="0"/>
  </r>
  <r>
    <n v="38"/>
    <x v="0"/>
    <x v="3"/>
    <n v="12"/>
    <n v="2"/>
    <n v="27.20981355"/>
    <n v="69"/>
    <n v="91"/>
    <n v="63"/>
    <x v="2"/>
    <x v="0"/>
    <x v="1"/>
    <x v="1"/>
    <n v="74.333333333333329"/>
    <x v="0"/>
    <x v="0"/>
  </r>
  <r>
    <n v="44"/>
    <x v="0"/>
    <x v="2"/>
    <n v="12"/>
    <n v="4"/>
    <n v="34.346770880000001"/>
    <n v="1"/>
    <n v="37"/>
    <n v="78"/>
    <x v="1"/>
    <x v="1"/>
    <x v="4"/>
    <x v="1"/>
    <n v="38.666666666666664"/>
    <x v="2"/>
    <x v="3"/>
  </r>
  <r>
    <n v="45"/>
    <x v="1"/>
    <x v="2"/>
    <n v="5"/>
    <n v="1"/>
    <n v="14.35720349"/>
    <n v="93"/>
    <n v="32"/>
    <n v="85"/>
    <x v="1"/>
    <x v="1"/>
    <x v="4"/>
    <x v="2"/>
    <n v="70"/>
    <x v="0"/>
    <x v="4"/>
  </r>
  <r>
    <n v="50"/>
    <x v="1"/>
    <x v="0"/>
    <n v="14"/>
    <n v="3"/>
    <n v="46.533249769999998"/>
    <n v="65"/>
    <n v="41"/>
    <n v="93"/>
    <x v="1"/>
    <x v="1"/>
    <x v="2"/>
    <x v="1"/>
    <n v="66.333333333333329"/>
    <x v="1"/>
    <x v="2"/>
  </r>
  <r>
    <n v="49"/>
    <x v="1"/>
    <x v="2"/>
    <n v="3"/>
    <n v="3"/>
    <n v="22.78360331"/>
    <n v="31"/>
    <n v="60"/>
    <n v="39"/>
    <x v="0"/>
    <x v="1"/>
    <x v="2"/>
    <x v="2"/>
    <n v="43.333333333333336"/>
    <x v="2"/>
    <x v="0"/>
  </r>
  <r>
    <n v="48"/>
    <x v="1"/>
    <x v="0"/>
    <n v="15"/>
    <n v="4"/>
    <n v="7.4543097569999999"/>
    <n v="15"/>
    <n v="45"/>
    <n v="100"/>
    <x v="0"/>
    <x v="0"/>
    <x v="2"/>
    <x v="1"/>
    <n v="53.333333333333336"/>
    <x v="3"/>
    <x v="1"/>
  </r>
  <r>
    <n v="41"/>
    <x v="0"/>
    <x v="1"/>
    <n v="12"/>
    <n v="3"/>
    <n v="38.114937840000003"/>
    <n v="75"/>
    <n v="85"/>
    <n v="97"/>
    <x v="1"/>
    <x v="0"/>
    <x v="4"/>
    <x v="1"/>
    <n v="85.666666666666671"/>
    <x v="4"/>
    <x v="3"/>
  </r>
  <r>
    <n v="45"/>
    <x v="0"/>
    <x v="0"/>
    <n v="10"/>
    <n v="5"/>
    <n v="33.155217630000003"/>
    <n v="0"/>
    <n v="88"/>
    <n v="59"/>
    <x v="0"/>
    <x v="0"/>
    <x v="4"/>
    <x v="1"/>
    <n v="49"/>
    <x v="2"/>
    <x v="3"/>
  </r>
  <r>
    <n v="45"/>
    <x v="0"/>
    <x v="3"/>
    <n v="9"/>
    <n v="4"/>
    <n v="16.787170119999999"/>
    <n v="71"/>
    <n v="60"/>
    <n v="97"/>
    <x v="1"/>
    <x v="0"/>
    <x v="4"/>
    <x v="1"/>
    <n v="76"/>
    <x v="0"/>
    <x v="4"/>
  </r>
  <r>
    <n v="41"/>
    <x v="1"/>
    <x v="0"/>
    <n v="12"/>
    <n v="1"/>
    <n v="32.075936200000001"/>
    <n v="47"/>
    <n v="17"/>
    <n v="47"/>
    <x v="1"/>
    <x v="1"/>
    <x v="4"/>
    <x v="1"/>
    <n v="37"/>
    <x v="2"/>
    <x v="3"/>
  </r>
  <r>
    <n v="36"/>
    <x v="1"/>
    <x v="0"/>
    <n v="2"/>
    <n v="4"/>
    <n v="11.993097819999999"/>
    <n v="49"/>
    <n v="69"/>
    <n v="98"/>
    <x v="0"/>
    <x v="0"/>
    <x v="1"/>
    <x v="0"/>
    <n v="72"/>
    <x v="0"/>
    <x v="4"/>
  </r>
  <r>
    <n v="39"/>
    <x v="1"/>
    <x v="2"/>
    <n v="2"/>
    <n v="2"/>
    <n v="23.241967970000001"/>
    <n v="12"/>
    <n v="81"/>
    <n v="18"/>
    <x v="0"/>
    <x v="1"/>
    <x v="1"/>
    <x v="0"/>
    <n v="37"/>
    <x v="2"/>
    <x v="0"/>
  </r>
  <r>
    <n v="29"/>
    <x v="0"/>
    <x v="0"/>
    <n v="2"/>
    <n v="4"/>
    <n v="45.970626109999998"/>
    <n v="14"/>
    <n v="79"/>
    <n v="71"/>
    <x v="1"/>
    <x v="1"/>
    <x v="0"/>
    <x v="0"/>
    <n v="54.666666666666664"/>
    <x v="3"/>
    <x v="2"/>
  </r>
  <r>
    <n v="25"/>
    <x v="0"/>
    <x v="0"/>
    <n v="5"/>
    <n v="3"/>
    <n v="7.6767116580000003"/>
    <n v="52"/>
    <n v="14"/>
    <n v="32"/>
    <x v="1"/>
    <x v="1"/>
    <x v="5"/>
    <x v="2"/>
    <n v="32.666666666666664"/>
    <x v="2"/>
    <x v="1"/>
  </r>
  <r>
    <n v="34"/>
    <x v="1"/>
    <x v="0"/>
    <n v="13"/>
    <n v="3"/>
    <n v="20.334822500000001"/>
    <n v="43"/>
    <n v="47"/>
    <n v="43"/>
    <x v="1"/>
    <x v="1"/>
    <x v="3"/>
    <x v="1"/>
    <n v="44.333333333333336"/>
    <x v="2"/>
    <x v="0"/>
  </r>
  <r>
    <n v="41"/>
    <x v="0"/>
    <x v="3"/>
    <n v="15"/>
    <n v="5"/>
    <n v="42.057121240000001"/>
    <n v="7"/>
    <n v="71"/>
    <n v="91"/>
    <x v="1"/>
    <x v="0"/>
    <x v="4"/>
    <x v="1"/>
    <n v="56.333333333333336"/>
    <x v="3"/>
    <x v="2"/>
  </r>
  <r>
    <n v="30"/>
    <x v="1"/>
    <x v="0"/>
    <n v="7"/>
    <n v="5"/>
    <n v="49.474544969999997"/>
    <n v="73"/>
    <n v="12"/>
    <n v="36"/>
    <x v="1"/>
    <x v="1"/>
    <x v="0"/>
    <x v="2"/>
    <n v="40.333333333333336"/>
    <x v="2"/>
    <x v="2"/>
  </r>
  <r>
    <n v="47"/>
    <x v="1"/>
    <x v="0"/>
    <n v="10"/>
    <n v="5"/>
    <n v="23.69630682"/>
    <n v="45"/>
    <n v="42"/>
    <n v="88"/>
    <x v="2"/>
    <x v="1"/>
    <x v="2"/>
    <x v="1"/>
    <n v="58.333333333333336"/>
    <x v="3"/>
    <x v="0"/>
  </r>
  <r>
    <n v="24"/>
    <x v="0"/>
    <x v="0"/>
    <n v="6"/>
    <n v="1"/>
    <n v="26.34998101"/>
    <n v="68"/>
    <n v="59"/>
    <n v="35"/>
    <x v="1"/>
    <x v="1"/>
    <x v="5"/>
    <x v="2"/>
    <n v="54"/>
    <x v="3"/>
    <x v="0"/>
  </r>
  <r>
    <n v="20"/>
    <x v="1"/>
    <x v="2"/>
    <n v="13"/>
    <n v="5"/>
    <n v="29.608598090000001"/>
    <n v="18"/>
    <n v="56"/>
    <n v="80"/>
    <x v="2"/>
    <x v="1"/>
    <x v="5"/>
    <x v="1"/>
    <n v="51.333333333333336"/>
    <x v="3"/>
    <x v="0"/>
  </r>
  <r>
    <n v="27"/>
    <x v="0"/>
    <x v="0"/>
    <n v="3"/>
    <n v="1"/>
    <n v="47.61740708"/>
    <n v="37"/>
    <n v="70"/>
    <n v="87"/>
    <x v="0"/>
    <x v="0"/>
    <x v="0"/>
    <x v="2"/>
    <n v="64.666666666666671"/>
    <x v="1"/>
    <x v="2"/>
  </r>
  <r>
    <n v="40"/>
    <x v="1"/>
    <x v="2"/>
    <n v="10"/>
    <n v="5"/>
    <n v="43.910339550000003"/>
    <n v="10"/>
    <n v="16"/>
    <n v="20"/>
    <x v="1"/>
    <x v="1"/>
    <x v="1"/>
    <x v="1"/>
    <n v="15.333333333333334"/>
    <x v="2"/>
    <x v="2"/>
  </r>
  <r>
    <n v="47"/>
    <x v="0"/>
    <x v="2"/>
    <n v="11"/>
    <n v="1"/>
    <n v="9.5300562309999997"/>
    <n v="42"/>
    <n v="49"/>
    <n v="1"/>
    <x v="1"/>
    <x v="1"/>
    <x v="2"/>
    <x v="1"/>
    <n v="30.666666666666668"/>
    <x v="2"/>
    <x v="1"/>
  </r>
  <r>
    <n v="31"/>
    <x v="0"/>
    <x v="2"/>
    <n v="3"/>
    <n v="4"/>
    <n v="22.837890890000001"/>
    <n v="19"/>
    <n v="31"/>
    <n v="30"/>
    <x v="0"/>
    <x v="1"/>
    <x v="3"/>
    <x v="2"/>
    <n v="26.666666666666668"/>
    <x v="2"/>
    <x v="0"/>
  </r>
  <r>
    <n v="31"/>
    <x v="0"/>
    <x v="0"/>
    <n v="10"/>
    <n v="4"/>
    <n v="24.200021410000002"/>
    <n v="19"/>
    <n v="21"/>
    <n v="96"/>
    <x v="0"/>
    <x v="0"/>
    <x v="3"/>
    <x v="1"/>
    <n v="45.333333333333336"/>
    <x v="2"/>
    <x v="0"/>
  </r>
  <r>
    <n v="24"/>
    <x v="1"/>
    <x v="3"/>
    <n v="9"/>
    <n v="3"/>
    <n v="40.454805579999999"/>
    <n v="20"/>
    <n v="54"/>
    <n v="29"/>
    <x v="1"/>
    <x v="1"/>
    <x v="5"/>
    <x v="1"/>
    <n v="34.333333333333336"/>
    <x v="2"/>
    <x v="2"/>
  </r>
  <r>
    <n v="26"/>
    <x v="1"/>
    <x v="0"/>
    <n v="14"/>
    <n v="1"/>
    <n v="31.14464413"/>
    <n v="81"/>
    <n v="56"/>
    <n v="75"/>
    <x v="0"/>
    <x v="0"/>
    <x v="0"/>
    <x v="1"/>
    <n v="70.666666666666671"/>
    <x v="0"/>
    <x v="3"/>
  </r>
  <r>
    <n v="23"/>
    <x v="0"/>
    <x v="0"/>
    <n v="10"/>
    <n v="2"/>
    <n v="33.711023099999998"/>
    <n v="56"/>
    <n v="12"/>
    <n v="43"/>
    <x v="0"/>
    <x v="1"/>
    <x v="5"/>
    <x v="1"/>
    <n v="37"/>
    <x v="2"/>
    <x v="3"/>
  </r>
  <r>
    <n v="25"/>
    <x v="0"/>
    <x v="0"/>
    <n v="15"/>
    <n v="3"/>
    <n v="50.909995379999998"/>
    <n v="49"/>
    <n v="46"/>
    <n v="11"/>
    <x v="2"/>
    <x v="1"/>
    <x v="5"/>
    <x v="1"/>
    <n v="35.333333333333336"/>
    <x v="2"/>
    <x v="5"/>
  </r>
  <r>
    <n v="32"/>
    <x v="1"/>
    <x v="2"/>
    <n v="10"/>
    <n v="4"/>
    <n v="4.7480021739999998"/>
    <n v="73"/>
    <n v="86"/>
    <n v="50"/>
    <x v="2"/>
    <x v="1"/>
    <x v="3"/>
    <x v="1"/>
    <n v="69.666666666666671"/>
    <x v="1"/>
    <x v="1"/>
  </r>
  <r>
    <n v="39"/>
    <x v="1"/>
    <x v="3"/>
    <n v="13"/>
    <n v="1"/>
    <n v="12.15049118"/>
    <n v="97"/>
    <n v="61"/>
    <n v="48"/>
    <x v="1"/>
    <x v="0"/>
    <x v="1"/>
    <x v="1"/>
    <n v="68.666666666666671"/>
    <x v="1"/>
    <x v="4"/>
  </r>
  <r>
    <n v="49"/>
    <x v="1"/>
    <x v="0"/>
    <n v="10"/>
    <n v="5"/>
    <n v="21.39479687"/>
    <n v="25"/>
    <n v="53"/>
    <n v="23"/>
    <x v="1"/>
    <x v="1"/>
    <x v="2"/>
    <x v="1"/>
    <n v="33.666666666666664"/>
    <x v="2"/>
    <x v="0"/>
  </r>
  <r>
    <n v="34"/>
    <x v="0"/>
    <x v="0"/>
    <n v="1"/>
    <n v="2"/>
    <n v="18.38912015"/>
    <n v="29"/>
    <n v="28"/>
    <n v="23"/>
    <x v="2"/>
    <x v="1"/>
    <x v="3"/>
    <x v="0"/>
    <n v="26.666666666666668"/>
    <x v="2"/>
    <x v="4"/>
  </r>
  <r>
    <n v="22"/>
    <x v="1"/>
    <x v="0"/>
    <n v="13"/>
    <n v="4"/>
    <n v="2.0822780669999998"/>
    <n v="72"/>
    <n v="21"/>
    <n v="59"/>
    <x v="1"/>
    <x v="1"/>
    <x v="5"/>
    <x v="1"/>
    <n v="50.666666666666664"/>
    <x v="3"/>
    <x v="1"/>
  </r>
  <r>
    <n v="42"/>
    <x v="1"/>
    <x v="2"/>
    <n v="15"/>
    <n v="3"/>
    <n v="5.5888803239999998"/>
    <n v="30"/>
    <n v="64"/>
    <n v="10"/>
    <x v="0"/>
    <x v="0"/>
    <x v="4"/>
    <x v="1"/>
    <n v="34.666666666666664"/>
    <x v="2"/>
    <x v="1"/>
  </r>
  <r>
    <n v="27"/>
    <x v="0"/>
    <x v="0"/>
    <n v="0"/>
    <n v="1"/>
    <n v="35.047664570000002"/>
    <n v="41"/>
    <n v="28"/>
    <n v="12"/>
    <x v="2"/>
    <x v="1"/>
    <x v="0"/>
    <x v="0"/>
    <n v="27"/>
    <x v="2"/>
    <x v="3"/>
  </r>
  <r>
    <n v="39"/>
    <x v="1"/>
    <x v="0"/>
    <n v="8"/>
    <n v="2"/>
    <n v="44.966223169999999"/>
    <n v="67"/>
    <n v="47"/>
    <n v="90"/>
    <x v="1"/>
    <x v="1"/>
    <x v="1"/>
    <x v="1"/>
    <n v="68"/>
    <x v="1"/>
    <x v="2"/>
  </r>
  <r>
    <n v="35"/>
    <x v="1"/>
    <x v="3"/>
    <n v="11"/>
    <n v="1"/>
    <n v="26.71135056"/>
    <n v="60"/>
    <n v="4"/>
    <n v="71"/>
    <x v="1"/>
    <x v="1"/>
    <x v="3"/>
    <x v="1"/>
    <n v="45"/>
    <x v="2"/>
    <x v="0"/>
  </r>
  <r>
    <n v="32"/>
    <x v="1"/>
    <x v="2"/>
    <n v="14"/>
    <n v="5"/>
    <n v="27.959553979999999"/>
    <n v="60"/>
    <n v="34"/>
    <n v="73"/>
    <x v="1"/>
    <x v="1"/>
    <x v="3"/>
    <x v="1"/>
    <n v="55.666666666666664"/>
    <x v="3"/>
    <x v="0"/>
  </r>
  <r>
    <n v="37"/>
    <x v="0"/>
    <x v="0"/>
    <n v="11"/>
    <n v="3"/>
    <n v="13.75467164"/>
    <n v="69"/>
    <n v="73"/>
    <n v="71"/>
    <x v="1"/>
    <x v="1"/>
    <x v="1"/>
    <x v="1"/>
    <n v="71"/>
    <x v="0"/>
    <x v="4"/>
  </r>
  <r>
    <n v="47"/>
    <x v="0"/>
    <x v="0"/>
    <n v="1"/>
    <n v="1"/>
    <n v="39.393818179999997"/>
    <n v="77"/>
    <n v="82"/>
    <n v="63"/>
    <x v="2"/>
    <x v="1"/>
    <x v="2"/>
    <x v="0"/>
    <n v="74"/>
    <x v="0"/>
    <x v="3"/>
  </r>
  <r>
    <n v="29"/>
    <x v="0"/>
    <x v="2"/>
    <n v="12"/>
    <n v="4"/>
    <n v="38.589729370000001"/>
    <n v="67"/>
    <n v="100"/>
    <n v="19"/>
    <x v="1"/>
    <x v="1"/>
    <x v="0"/>
    <x v="1"/>
    <n v="62"/>
    <x v="1"/>
    <x v="3"/>
  </r>
  <r>
    <n v="49"/>
    <x v="0"/>
    <x v="0"/>
    <n v="7"/>
    <n v="3"/>
    <n v="30.418284459999999"/>
    <n v="89"/>
    <n v="70"/>
    <n v="71"/>
    <x v="2"/>
    <x v="0"/>
    <x v="2"/>
    <x v="2"/>
    <n v="76.666666666666671"/>
    <x v="0"/>
    <x v="3"/>
  </r>
  <r>
    <n v="38"/>
    <x v="0"/>
    <x v="3"/>
    <n v="14"/>
    <n v="4"/>
    <n v="11.633214329999999"/>
    <n v="16"/>
    <n v="45"/>
    <n v="72"/>
    <x v="2"/>
    <x v="1"/>
    <x v="1"/>
    <x v="1"/>
    <n v="44.333333333333336"/>
    <x v="2"/>
    <x v="4"/>
  </r>
  <r>
    <n v="36"/>
    <x v="0"/>
    <x v="3"/>
    <n v="15"/>
    <n v="1"/>
    <n v="5.8509109119999998"/>
    <n v="18"/>
    <n v="34"/>
    <n v="70"/>
    <x v="1"/>
    <x v="1"/>
    <x v="1"/>
    <x v="1"/>
    <n v="40.666666666666664"/>
    <x v="2"/>
    <x v="1"/>
  </r>
  <r>
    <n v="43"/>
    <x v="0"/>
    <x v="0"/>
    <n v="8"/>
    <n v="3"/>
    <n v="4.2119287930000002"/>
    <n v="50"/>
    <n v="44"/>
    <n v="77"/>
    <x v="1"/>
    <x v="1"/>
    <x v="4"/>
    <x v="1"/>
    <n v="57"/>
    <x v="3"/>
    <x v="1"/>
  </r>
  <r>
    <n v="50"/>
    <x v="1"/>
    <x v="3"/>
    <n v="3"/>
    <n v="4"/>
    <n v="30.63480333"/>
    <n v="69"/>
    <n v="12"/>
    <n v="27"/>
    <x v="1"/>
    <x v="1"/>
    <x v="2"/>
    <x v="2"/>
    <n v="36"/>
    <x v="2"/>
    <x v="3"/>
  </r>
  <r>
    <n v="38"/>
    <x v="1"/>
    <x v="1"/>
    <n v="7"/>
    <n v="5"/>
    <n v="42.25176596"/>
    <n v="62"/>
    <n v="9"/>
    <n v="1"/>
    <x v="0"/>
    <x v="0"/>
    <x v="1"/>
    <x v="2"/>
    <n v="24"/>
    <x v="2"/>
    <x v="2"/>
  </r>
  <r>
    <n v="47"/>
    <x v="0"/>
    <x v="3"/>
    <n v="8"/>
    <n v="5"/>
    <n v="43.916521590000002"/>
    <n v="92"/>
    <n v="65"/>
    <n v="42"/>
    <x v="0"/>
    <x v="0"/>
    <x v="2"/>
    <x v="1"/>
    <n v="66.333333333333329"/>
    <x v="1"/>
    <x v="2"/>
  </r>
  <r>
    <n v="45"/>
    <x v="1"/>
    <x v="2"/>
    <n v="9"/>
    <n v="1"/>
    <n v="24.181103719999999"/>
    <n v="74"/>
    <n v="69"/>
    <n v="7"/>
    <x v="1"/>
    <x v="1"/>
    <x v="4"/>
    <x v="1"/>
    <n v="50"/>
    <x v="3"/>
    <x v="0"/>
  </r>
  <r>
    <n v="42"/>
    <x v="1"/>
    <x v="3"/>
    <n v="9"/>
    <n v="3"/>
    <n v="40.21356497"/>
    <n v="79"/>
    <n v="71"/>
    <n v="12"/>
    <x v="1"/>
    <x v="0"/>
    <x v="4"/>
    <x v="1"/>
    <n v="54"/>
    <x v="3"/>
    <x v="2"/>
  </r>
  <r>
    <n v="45"/>
    <x v="0"/>
    <x v="0"/>
    <n v="4"/>
    <n v="2"/>
    <n v="48.344009819999997"/>
    <n v="29"/>
    <n v="99"/>
    <n v="84"/>
    <x v="0"/>
    <x v="0"/>
    <x v="4"/>
    <x v="2"/>
    <n v="70.666666666666671"/>
    <x v="0"/>
    <x v="2"/>
  </r>
  <r>
    <n v="24"/>
    <x v="1"/>
    <x v="1"/>
    <n v="15"/>
    <n v="3"/>
    <n v="14.758505619999999"/>
    <n v="24"/>
    <n v="24"/>
    <n v="91"/>
    <x v="0"/>
    <x v="0"/>
    <x v="5"/>
    <x v="1"/>
    <n v="46.333333333333336"/>
    <x v="2"/>
    <x v="4"/>
  </r>
  <r>
    <n v="45"/>
    <x v="1"/>
    <x v="0"/>
    <n v="12"/>
    <n v="5"/>
    <n v="20.898017320000001"/>
    <n v="74"/>
    <n v="43"/>
    <n v="34"/>
    <x v="2"/>
    <x v="1"/>
    <x v="4"/>
    <x v="1"/>
    <n v="50.333333333333336"/>
    <x v="3"/>
    <x v="0"/>
  </r>
  <r>
    <n v="40"/>
    <x v="1"/>
    <x v="2"/>
    <n v="13"/>
    <n v="4"/>
    <n v="47.573949630000001"/>
    <n v="70"/>
    <n v="59"/>
    <n v="22"/>
    <x v="1"/>
    <x v="1"/>
    <x v="1"/>
    <x v="1"/>
    <n v="50.333333333333336"/>
    <x v="3"/>
    <x v="2"/>
  </r>
  <r>
    <n v="49"/>
    <x v="1"/>
    <x v="3"/>
    <n v="6"/>
    <n v="2"/>
    <n v="17.911548369999998"/>
    <n v="25"/>
    <n v="46"/>
    <n v="45"/>
    <x v="2"/>
    <x v="1"/>
    <x v="2"/>
    <x v="2"/>
    <n v="38.666666666666664"/>
    <x v="2"/>
    <x v="4"/>
  </r>
  <r>
    <n v="42"/>
    <x v="1"/>
    <x v="0"/>
    <n v="15"/>
    <n v="1"/>
    <n v="46.693814519999997"/>
    <n v="55"/>
    <n v="39"/>
    <n v="14"/>
    <x v="1"/>
    <x v="1"/>
    <x v="4"/>
    <x v="1"/>
    <n v="36"/>
    <x v="2"/>
    <x v="2"/>
  </r>
  <r>
    <n v="50"/>
    <x v="0"/>
    <x v="1"/>
    <n v="9"/>
    <n v="2"/>
    <n v="50.052243109999999"/>
    <n v="21"/>
    <n v="6"/>
    <n v="1"/>
    <x v="1"/>
    <x v="1"/>
    <x v="2"/>
    <x v="1"/>
    <n v="9.3333333333333339"/>
    <x v="2"/>
    <x v="5"/>
  </r>
  <r>
    <n v="28"/>
    <x v="0"/>
    <x v="1"/>
    <n v="3"/>
    <n v="1"/>
    <n v="34.09053643"/>
    <n v="88"/>
    <n v="45"/>
    <n v="60"/>
    <x v="0"/>
    <x v="0"/>
    <x v="0"/>
    <x v="2"/>
    <n v="64.333333333333329"/>
    <x v="1"/>
    <x v="3"/>
  </r>
  <r>
    <n v="31"/>
    <x v="0"/>
    <x v="0"/>
    <n v="0"/>
    <n v="2"/>
    <n v="41.844514480000001"/>
    <n v="18"/>
    <n v="22"/>
    <n v="75"/>
    <x v="1"/>
    <x v="1"/>
    <x v="3"/>
    <x v="0"/>
    <n v="38.333333333333336"/>
    <x v="2"/>
    <x v="2"/>
  </r>
  <r>
    <n v="40"/>
    <x v="1"/>
    <x v="2"/>
    <n v="2"/>
    <n v="1"/>
    <n v="38.477278210000001"/>
    <n v="30"/>
    <n v="82"/>
    <n v="63"/>
    <x v="1"/>
    <x v="1"/>
    <x v="1"/>
    <x v="0"/>
    <n v="58.333333333333336"/>
    <x v="3"/>
    <x v="3"/>
  </r>
  <r>
    <n v="20"/>
    <x v="0"/>
    <x v="0"/>
    <n v="4"/>
    <n v="1"/>
    <n v="35.976712880000001"/>
    <n v="25"/>
    <n v="45"/>
    <n v="51"/>
    <x v="0"/>
    <x v="1"/>
    <x v="5"/>
    <x v="2"/>
    <n v="40.333333333333336"/>
    <x v="2"/>
    <x v="3"/>
  </r>
  <r>
    <n v="45"/>
    <x v="1"/>
    <x v="2"/>
    <n v="2"/>
    <n v="2"/>
    <n v="16.346553650000001"/>
    <n v="41"/>
    <n v="85"/>
    <n v="35"/>
    <x v="1"/>
    <x v="1"/>
    <x v="4"/>
    <x v="0"/>
    <n v="53.666666666666664"/>
    <x v="3"/>
    <x v="4"/>
  </r>
  <r>
    <n v="45"/>
    <x v="1"/>
    <x v="2"/>
    <n v="15"/>
    <n v="2"/>
    <n v="3.8547168950000001"/>
    <n v="40"/>
    <n v="12"/>
    <n v="66"/>
    <x v="1"/>
    <x v="1"/>
    <x v="4"/>
    <x v="1"/>
    <n v="39.333333333333336"/>
    <x v="2"/>
    <x v="1"/>
  </r>
  <r>
    <n v="20"/>
    <x v="1"/>
    <x v="3"/>
    <n v="11"/>
    <n v="1"/>
    <n v="18.152586629999998"/>
    <n v="99"/>
    <n v="20"/>
    <n v="68"/>
    <x v="1"/>
    <x v="0"/>
    <x v="5"/>
    <x v="1"/>
    <n v="62.333333333333336"/>
    <x v="1"/>
    <x v="4"/>
  </r>
  <r>
    <n v="34"/>
    <x v="1"/>
    <x v="0"/>
    <n v="12"/>
    <n v="5"/>
    <n v="34.346799259999997"/>
    <n v="22"/>
    <n v="0"/>
    <n v="66"/>
    <x v="1"/>
    <x v="1"/>
    <x v="3"/>
    <x v="1"/>
    <n v="29.333333333333332"/>
    <x v="2"/>
    <x v="3"/>
  </r>
  <r>
    <n v="21"/>
    <x v="0"/>
    <x v="0"/>
    <n v="10"/>
    <n v="2"/>
    <n v="6.1264599110000004"/>
    <n v="46"/>
    <n v="18"/>
    <n v="46"/>
    <x v="1"/>
    <x v="1"/>
    <x v="5"/>
    <x v="1"/>
    <n v="36.666666666666664"/>
    <x v="2"/>
    <x v="1"/>
  </r>
  <r>
    <n v="49"/>
    <x v="0"/>
    <x v="1"/>
    <n v="6"/>
    <n v="3"/>
    <n v="1.5958991490000001"/>
    <n v="12"/>
    <n v="59"/>
    <n v="82"/>
    <x v="1"/>
    <x v="0"/>
    <x v="2"/>
    <x v="2"/>
    <n v="51"/>
    <x v="3"/>
    <x v="1"/>
  </r>
  <r>
    <n v="41"/>
    <x v="1"/>
    <x v="0"/>
    <n v="11"/>
    <n v="4"/>
    <n v="7.9846186299999999"/>
    <n v="88"/>
    <n v="32"/>
    <n v="1"/>
    <x v="2"/>
    <x v="1"/>
    <x v="4"/>
    <x v="1"/>
    <n v="40.333333333333336"/>
    <x v="2"/>
    <x v="1"/>
  </r>
  <r>
    <n v="35"/>
    <x v="0"/>
    <x v="0"/>
    <n v="8"/>
    <n v="1"/>
    <n v="36.786796320000001"/>
    <n v="65"/>
    <n v="3"/>
    <n v="43"/>
    <x v="2"/>
    <x v="1"/>
    <x v="3"/>
    <x v="1"/>
    <n v="37"/>
    <x v="2"/>
    <x v="3"/>
  </r>
  <r>
    <n v="44"/>
    <x v="1"/>
    <x v="1"/>
    <n v="14"/>
    <n v="1"/>
    <n v="49.63968508"/>
    <n v="65"/>
    <n v="2"/>
    <n v="100"/>
    <x v="2"/>
    <x v="1"/>
    <x v="4"/>
    <x v="1"/>
    <n v="55.666666666666664"/>
    <x v="3"/>
    <x v="2"/>
  </r>
  <r>
    <n v="27"/>
    <x v="0"/>
    <x v="2"/>
    <n v="11"/>
    <n v="4"/>
    <n v="50.153234980000001"/>
    <n v="15"/>
    <n v="90"/>
    <n v="63"/>
    <x v="1"/>
    <x v="1"/>
    <x v="0"/>
    <x v="1"/>
    <n v="56"/>
    <x v="3"/>
    <x v="5"/>
  </r>
  <r>
    <n v="32"/>
    <x v="0"/>
    <x v="3"/>
    <n v="5"/>
    <n v="5"/>
    <n v="25.698957459999999"/>
    <n v="72"/>
    <n v="51"/>
    <n v="80"/>
    <x v="1"/>
    <x v="0"/>
    <x v="3"/>
    <x v="2"/>
    <n v="67.666666666666671"/>
    <x v="1"/>
    <x v="0"/>
  </r>
  <r>
    <n v="40"/>
    <x v="1"/>
    <x v="1"/>
    <n v="12"/>
    <n v="4"/>
    <n v="44.467615049999999"/>
    <n v="27"/>
    <n v="98"/>
    <n v="77"/>
    <x v="1"/>
    <x v="0"/>
    <x v="1"/>
    <x v="1"/>
    <n v="67.333333333333329"/>
    <x v="1"/>
    <x v="2"/>
  </r>
  <r>
    <n v="20"/>
    <x v="0"/>
    <x v="1"/>
    <n v="9"/>
    <n v="2"/>
    <n v="37.84132279"/>
    <n v="76"/>
    <n v="27"/>
    <n v="27"/>
    <x v="0"/>
    <x v="0"/>
    <x v="5"/>
    <x v="1"/>
    <n v="43.333333333333336"/>
    <x v="2"/>
    <x v="3"/>
  </r>
  <r>
    <n v="35"/>
    <x v="1"/>
    <x v="0"/>
    <n v="0"/>
    <n v="4"/>
    <n v="26.05201185"/>
    <n v="34"/>
    <n v="69"/>
    <n v="90"/>
    <x v="2"/>
    <x v="1"/>
    <x v="3"/>
    <x v="0"/>
    <n v="64.333333333333329"/>
    <x v="1"/>
    <x v="0"/>
  </r>
  <r>
    <n v="48"/>
    <x v="0"/>
    <x v="0"/>
    <n v="15"/>
    <n v="1"/>
    <n v="29.63802665"/>
    <n v="40"/>
    <n v="69"/>
    <n v="53"/>
    <x v="1"/>
    <x v="1"/>
    <x v="2"/>
    <x v="1"/>
    <n v="54"/>
    <x v="3"/>
    <x v="0"/>
  </r>
  <r>
    <n v="26"/>
    <x v="1"/>
    <x v="0"/>
    <n v="6"/>
    <n v="4"/>
    <n v="7.8613573309999998"/>
    <n v="76"/>
    <n v="54"/>
    <n v="73"/>
    <x v="0"/>
    <x v="0"/>
    <x v="0"/>
    <x v="2"/>
    <n v="67.666666666666671"/>
    <x v="1"/>
    <x v="1"/>
  </r>
  <r>
    <n v="50"/>
    <x v="1"/>
    <x v="3"/>
    <n v="14"/>
    <n v="3"/>
    <n v="47.883073029999998"/>
    <n v="30"/>
    <n v="56"/>
    <n v="66"/>
    <x v="0"/>
    <x v="0"/>
    <x v="2"/>
    <x v="1"/>
    <n v="50.666666666666664"/>
    <x v="3"/>
    <x v="2"/>
  </r>
  <r>
    <n v="24"/>
    <x v="0"/>
    <x v="3"/>
    <n v="2"/>
    <n v="2"/>
    <n v="18.596488539999999"/>
    <n v="84"/>
    <n v="86"/>
    <n v="35"/>
    <x v="2"/>
    <x v="1"/>
    <x v="5"/>
    <x v="0"/>
    <n v="68.333333333333329"/>
    <x v="1"/>
    <x v="4"/>
  </r>
  <r>
    <n v="41"/>
    <x v="0"/>
    <x v="0"/>
    <n v="4"/>
    <n v="4"/>
    <n v="23.307462820000001"/>
    <n v="31"/>
    <n v="96"/>
    <n v="62"/>
    <x v="0"/>
    <x v="0"/>
    <x v="4"/>
    <x v="2"/>
    <n v="63"/>
    <x v="1"/>
    <x v="0"/>
  </r>
  <r>
    <n v="48"/>
    <x v="1"/>
    <x v="0"/>
    <n v="15"/>
    <n v="1"/>
    <n v="34.583011550000002"/>
    <n v="53"/>
    <n v="15"/>
    <n v="24"/>
    <x v="0"/>
    <x v="1"/>
    <x v="2"/>
    <x v="1"/>
    <n v="30.666666666666668"/>
    <x v="2"/>
    <x v="3"/>
  </r>
  <r>
    <n v="42"/>
    <x v="0"/>
    <x v="2"/>
    <n v="9"/>
    <n v="2"/>
    <n v="17.695123580000001"/>
    <n v="97"/>
    <n v="23"/>
    <n v="85"/>
    <x v="1"/>
    <x v="1"/>
    <x v="4"/>
    <x v="1"/>
    <n v="68.333333333333329"/>
    <x v="1"/>
    <x v="4"/>
  </r>
  <r>
    <n v="22"/>
    <x v="0"/>
    <x v="2"/>
    <n v="3"/>
    <n v="1"/>
    <n v="13.712958049999999"/>
    <n v="71"/>
    <n v="68"/>
    <n v="47"/>
    <x v="0"/>
    <x v="0"/>
    <x v="5"/>
    <x v="2"/>
    <n v="62"/>
    <x v="1"/>
    <x v="4"/>
  </r>
  <r>
    <n v="31"/>
    <x v="1"/>
    <x v="3"/>
    <n v="9"/>
    <n v="5"/>
    <n v="32.55246966"/>
    <n v="58"/>
    <n v="40"/>
    <n v="38"/>
    <x v="2"/>
    <x v="1"/>
    <x v="3"/>
    <x v="1"/>
    <n v="45.333333333333336"/>
    <x v="2"/>
    <x v="3"/>
  </r>
  <r>
    <n v="45"/>
    <x v="1"/>
    <x v="0"/>
    <n v="4"/>
    <n v="3"/>
    <n v="2.2492041139999999"/>
    <n v="40"/>
    <n v="76"/>
    <n v="46"/>
    <x v="1"/>
    <x v="1"/>
    <x v="4"/>
    <x v="2"/>
    <n v="54"/>
    <x v="3"/>
    <x v="1"/>
  </r>
  <r>
    <n v="35"/>
    <x v="0"/>
    <x v="1"/>
    <n v="4"/>
    <n v="5"/>
    <n v="37.036255599999997"/>
    <n v="65"/>
    <n v="46"/>
    <n v="93"/>
    <x v="1"/>
    <x v="1"/>
    <x v="3"/>
    <x v="2"/>
    <n v="68"/>
    <x v="1"/>
    <x v="3"/>
  </r>
  <r>
    <n v="38"/>
    <x v="1"/>
    <x v="3"/>
    <n v="5"/>
    <n v="3"/>
    <n v="26.701168490000001"/>
    <n v="95"/>
    <n v="75"/>
    <n v="20"/>
    <x v="2"/>
    <x v="1"/>
    <x v="1"/>
    <x v="2"/>
    <n v="63.333333333333336"/>
    <x v="1"/>
    <x v="0"/>
  </r>
  <r>
    <n v="24"/>
    <x v="1"/>
    <x v="2"/>
    <n v="13"/>
    <n v="4"/>
    <n v="31.287686529999998"/>
    <n v="53"/>
    <n v="68"/>
    <n v="29"/>
    <x v="1"/>
    <x v="1"/>
    <x v="5"/>
    <x v="1"/>
    <n v="50"/>
    <x v="3"/>
    <x v="3"/>
  </r>
  <r>
    <n v="41"/>
    <x v="1"/>
    <x v="0"/>
    <n v="9"/>
    <n v="2"/>
    <n v="32.594007959999999"/>
    <n v="39"/>
    <n v="100"/>
    <n v="91"/>
    <x v="1"/>
    <x v="1"/>
    <x v="4"/>
    <x v="1"/>
    <n v="76.666666666666671"/>
    <x v="0"/>
    <x v="3"/>
  </r>
  <r>
    <n v="44"/>
    <x v="0"/>
    <x v="0"/>
    <n v="11"/>
    <n v="4"/>
    <n v="27.35250782"/>
    <n v="27"/>
    <n v="30"/>
    <n v="30"/>
    <x v="1"/>
    <x v="1"/>
    <x v="4"/>
    <x v="1"/>
    <n v="29"/>
    <x v="2"/>
    <x v="0"/>
  </r>
  <r>
    <n v="48"/>
    <x v="0"/>
    <x v="0"/>
    <n v="9"/>
    <n v="3"/>
    <n v="30.126688869999999"/>
    <n v="36"/>
    <n v="91"/>
    <n v="25"/>
    <x v="1"/>
    <x v="1"/>
    <x v="2"/>
    <x v="1"/>
    <n v="50.666666666666664"/>
    <x v="3"/>
    <x v="3"/>
  </r>
  <r>
    <n v="33"/>
    <x v="1"/>
    <x v="3"/>
    <n v="12"/>
    <n v="3"/>
    <n v="35.189410039999999"/>
    <n v="64"/>
    <n v="91"/>
    <n v="21"/>
    <x v="1"/>
    <x v="1"/>
    <x v="3"/>
    <x v="1"/>
    <n v="58.666666666666664"/>
    <x v="3"/>
    <x v="3"/>
  </r>
  <r>
    <n v="47"/>
    <x v="0"/>
    <x v="3"/>
    <n v="12"/>
    <n v="3"/>
    <n v="38.655942359999997"/>
    <n v="73"/>
    <n v="29"/>
    <n v="20"/>
    <x v="1"/>
    <x v="1"/>
    <x v="2"/>
    <x v="1"/>
    <n v="40.666666666666664"/>
    <x v="2"/>
    <x v="3"/>
  </r>
  <r>
    <n v="24"/>
    <x v="1"/>
    <x v="3"/>
    <n v="10"/>
    <n v="1"/>
    <n v="37.372619559999997"/>
    <n v="54"/>
    <n v="17"/>
    <n v="0"/>
    <x v="2"/>
    <x v="1"/>
    <x v="5"/>
    <x v="1"/>
    <n v="23.666666666666668"/>
    <x v="2"/>
    <x v="3"/>
  </r>
  <r>
    <n v="34"/>
    <x v="0"/>
    <x v="0"/>
    <n v="5"/>
    <n v="2"/>
    <n v="44.480822889999999"/>
    <n v="3"/>
    <n v="43"/>
    <n v="36"/>
    <x v="1"/>
    <x v="1"/>
    <x v="3"/>
    <x v="2"/>
    <n v="27.333333333333332"/>
    <x v="2"/>
    <x v="2"/>
  </r>
  <r>
    <n v="36"/>
    <x v="1"/>
    <x v="2"/>
    <n v="15"/>
    <n v="4"/>
    <n v="10.472171660000001"/>
    <n v="98"/>
    <n v="26"/>
    <n v="76"/>
    <x v="2"/>
    <x v="1"/>
    <x v="1"/>
    <x v="1"/>
    <n v="66.666666666666671"/>
    <x v="1"/>
    <x v="4"/>
  </r>
  <r>
    <n v="49"/>
    <x v="1"/>
    <x v="3"/>
    <n v="7"/>
    <n v="4"/>
    <n v="21.057398469999999"/>
    <n v="9"/>
    <n v="98"/>
    <n v="84"/>
    <x v="1"/>
    <x v="0"/>
    <x v="2"/>
    <x v="2"/>
    <n v="63.666666666666664"/>
    <x v="1"/>
    <x v="0"/>
  </r>
  <r>
    <n v="33"/>
    <x v="0"/>
    <x v="2"/>
    <n v="7"/>
    <n v="5"/>
    <n v="48.389803299999997"/>
    <n v="46"/>
    <n v="25"/>
    <n v="45"/>
    <x v="1"/>
    <x v="1"/>
    <x v="3"/>
    <x v="2"/>
    <n v="38.666666666666664"/>
    <x v="2"/>
    <x v="2"/>
  </r>
  <r>
    <n v="49"/>
    <x v="1"/>
    <x v="0"/>
    <n v="10"/>
    <n v="3"/>
    <n v="20.829528719999999"/>
    <n v="74"/>
    <n v="59"/>
    <n v="8"/>
    <x v="2"/>
    <x v="1"/>
    <x v="2"/>
    <x v="1"/>
    <n v="47"/>
    <x v="2"/>
    <x v="0"/>
  </r>
  <r>
    <n v="39"/>
    <x v="0"/>
    <x v="2"/>
    <n v="8"/>
    <n v="3"/>
    <n v="7.2435038450000002"/>
    <n v="13"/>
    <n v="17"/>
    <n v="16"/>
    <x v="0"/>
    <x v="1"/>
    <x v="1"/>
    <x v="1"/>
    <n v="15.333333333333334"/>
    <x v="2"/>
    <x v="1"/>
  </r>
  <r>
    <n v="24"/>
    <x v="0"/>
    <x v="0"/>
    <n v="7"/>
    <n v="3"/>
    <n v="27.27225632"/>
    <n v="37"/>
    <n v="96"/>
    <n v="46"/>
    <x v="1"/>
    <x v="1"/>
    <x v="5"/>
    <x v="2"/>
    <n v="59.666666666666664"/>
    <x v="3"/>
    <x v="0"/>
  </r>
  <r>
    <n v="31"/>
    <x v="1"/>
    <x v="2"/>
    <n v="12"/>
    <n v="4"/>
    <n v="6.474548628"/>
    <n v="11"/>
    <n v="88"/>
    <n v="84"/>
    <x v="1"/>
    <x v="1"/>
    <x v="3"/>
    <x v="1"/>
    <n v="61"/>
    <x v="1"/>
    <x v="1"/>
  </r>
  <r>
    <n v="35"/>
    <x v="1"/>
    <x v="0"/>
    <n v="10"/>
    <n v="5"/>
    <n v="11.14266194"/>
    <n v="44"/>
    <n v="55"/>
    <n v="94"/>
    <x v="1"/>
    <x v="1"/>
    <x v="3"/>
    <x v="1"/>
    <n v="64.333333333333329"/>
    <x v="1"/>
    <x v="4"/>
  </r>
  <r>
    <n v="45"/>
    <x v="0"/>
    <x v="1"/>
    <n v="1"/>
    <n v="1"/>
    <n v="50.915937829999997"/>
    <n v="16"/>
    <n v="30"/>
    <n v="58"/>
    <x v="0"/>
    <x v="1"/>
    <x v="4"/>
    <x v="0"/>
    <n v="34.666666666666664"/>
    <x v="2"/>
    <x v="5"/>
  </r>
  <r>
    <n v="45"/>
    <x v="1"/>
    <x v="2"/>
    <n v="13"/>
    <n v="2"/>
    <n v="28.068131919999999"/>
    <n v="79"/>
    <n v="100"/>
    <n v="53"/>
    <x v="1"/>
    <x v="1"/>
    <x v="4"/>
    <x v="1"/>
    <n v="77.333333333333329"/>
    <x v="0"/>
    <x v="0"/>
  </r>
  <r>
    <n v="35"/>
    <x v="1"/>
    <x v="2"/>
    <n v="13"/>
    <n v="1"/>
    <n v="15.20291945"/>
    <n v="34"/>
    <n v="58"/>
    <n v="85"/>
    <x v="1"/>
    <x v="1"/>
    <x v="3"/>
    <x v="1"/>
    <n v="59"/>
    <x v="3"/>
    <x v="4"/>
  </r>
  <r>
    <n v="40"/>
    <x v="1"/>
    <x v="0"/>
    <n v="11"/>
    <n v="4"/>
    <n v="50.73874773"/>
    <n v="65"/>
    <n v="1"/>
    <n v="11"/>
    <x v="1"/>
    <x v="1"/>
    <x v="1"/>
    <x v="1"/>
    <n v="25.666666666666668"/>
    <x v="2"/>
    <x v="5"/>
  </r>
  <r>
    <n v="26"/>
    <x v="1"/>
    <x v="3"/>
    <n v="9"/>
    <n v="3"/>
    <n v="49.327945929999998"/>
    <n v="74"/>
    <n v="96"/>
    <n v="63"/>
    <x v="2"/>
    <x v="0"/>
    <x v="0"/>
    <x v="1"/>
    <n v="77.666666666666671"/>
    <x v="0"/>
    <x v="2"/>
  </r>
  <r>
    <n v="23"/>
    <x v="1"/>
    <x v="0"/>
    <n v="11"/>
    <n v="2"/>
    <n v="23.03695205"/>
    <n v="40"/>
    <n v="38"/>
    <n v="5"/>
    <x v="2"/>
    <x v="1"/>
    <x v="5"/>
    <x v="1"/>
    <n v="27.666666666666668"/>
    <x v="2"/>
    <x v="0"/>
  </r>
  <r>
    <n v="20"/>
    <x v="0"/>
    <x v="0"/>
    <n v="10"/>
    <n v="4"/>
    <n v="14.02015544"/>
    <n v="66"/>
    <n v="60"/>
    <n v="52"/>
    <x v="1"/>
    <x v="1"/>
    <x v="5"/>
    <x v="1"/>
    <n v="59.333333333333336"/>
    <x v="3"/>
    <x v="4"/>
  </r>
  <r>
    <n v="49"/>
    <x v="0"/>
    <x v="2"/>
    <n v="14"/>
    <n v="4"/>
    <n v="42.919981900000003"/>
    <n v="28"/>
    <n v="62"/>
    <n v="15"/>
    <x v="2"/>
    <x v="1"/>
    <x v="2"/>
    <x v="1"/>
    <n v="35"/>
    <x v="2"/>
    <x v="2"/>
  </r>
  <r>
    <n v="49"/>
    <x v="1"/>
    <x v="3"/>
    <n v="15"/>
    <n v="4"/>
    <n v="36.781035850000002"/>
    <n v="17"/>
    <n v="95"/>
    <n v="89"/>
    <x v="1"/>
    <x v="0"/>
    <x v="2"/>
    <x v="1"/>
    <n v="67"/>
    <x v="1"/>
    <x v="3"/>
  </r>
  <r>
    <n v="24"/>
    <x v="1"/>
    <x v="0"/>
    <n v="0"/>
    <n v="2"/>
    <n v="35.347071749999998"/>
    <n v="19"/>
    <n v="17"/>
    <n v="4"/>
    <x v="1"/>
    <x v="1"/>
    <x v="5"/>
    <x v="0"/>
    <n v="13.333333333333334"/>
    <x v="2"/>
    <x v="3"/>
  </r>
  <r>
    <n v="42"/>
    <x v="1"/>
    <x v="3"/>
    <n v="9"/>
    <n v="2"/>
    <n v="45.655687069999999"/>
    <n v="13"/>
    <n v="16"/>
    <n v="72"/>
    <x v="1"/>
    <x v="1"/>
    <x v="4"/>
    <x v="1"/>
    <n v="33.666666666666664"/>
    <x v="2"/>
    <x v="2"/>
  </r>
  <r>
    <n v="45"/>
    <x v="0"/>
    <x v="1"/>
    <n v="1"/>
    <n v="5"/>
    <n v="35.470856689999998"/>
    <n v="33"/>
    <n v="97"/>
    <n v="45"/>
    <x v="1"/>
    <x v="1"/>
    <x v="4"/>
    <x v="0"/>
    <n v="58.333333333333336"/>
    <x v="3"/>
    <x v="3"/>
  </r>
  <r>
    <n v="29"/>
    <x v="1"/>
    <x v="0"/>
    <n v="1"/>
    <n v="5"/>
    <n v="15.18989715"/>
    <n v="48"/>
    <n v="38"/>
    <n v="13"/>
    <x v="0"/>
    <x v="1"/>
    <x v="0"/>
    <x v="0"/>
    <n v="33"/>
    <x v="2"/>
    <x v="4"/>
  </r>
  <r>
    <n v="41"/>
    <x v="0"/>
    <x v="3"/>
    <n v="11"/>
    <n v="1"/>
    <n v="35.693158089999997"/>
    <n v="53"/>
    <n v="70"/>
    <n v="43"/>
    <x v="1"/>
    <x v="1"/>
    <x v="4"/>
    <x v="1"/>
    <n v="55.333333333333336"/>
    <x v="3"/>
    <x v="3"/>
  </r>
  <r>
    <n v="24"/>
    <x v="0"/>
    <x v="2"/>
    <n v="2"/>
    <n v="2"/>
    <n v="16.29067556"/>
    <n v="30"/>
    <n v="53"/>
    <n v="62"/>
    <x v="1"/>
    <x v="1"/>
    <x v="5"/>
    <x v="0"/>
    <n v="48.333333333333336"/>
    <x v="2"/>
    <x v="4"/>
  </r>
  <r>
    <n v="23"/>
    <x v="0"/>
    <x v="3"/>
    <n v="9"/>
    <n v="2"/>
    <n v="38.961948980000003"/>
    <n v="57"/>
    <n v="98"/>
    <n v="93"/>
    <x v="1"/>
    <x v="0"/>
    <x v="5"/>
    <x v="1"/>
    <n v="82.666666666666671"/>
    <x v="4"/>
    <x v="3"/>
  </r>
  <r>
    <n v="21"/>
    <x v="1"/>
    <x v="0"/>
    <n v="6"/>
    <n v="2"/>
    <n v="31.987392719999999"/>
    <n v="41"/>
    <n v="93"/>
    <n v="51"/>
    <x v="2"/>
    <x v="1"/>
    <x v="5"/>
    <x v="2"/>
    <n v="61.666666666666664"/>
    <x v="1"/>
    <x v="3"/>
  </r>
  <r>
    <n v="39"/>
    <x v="0"/>
    <x v="3"/>
    <n v="1"/>
    <n v="5"/>
    <n v="4.8705775989999998"/>
    <n v="57"/>
    <n v="75"/>
    <n v="25"/>
    <x v="1"/>
    <x v="1"/>
    <x v="1"/>
    <x v="0"/>
    <n v="52.333333333333336"/>
    <x v="3"/>
    <x v="1"/>
  </r>
  <r>
    <n v="50"/>
    <x v="1"/>
    <x v="2"/>
    <n v="13"/>
    <n v="4"/>
    <n v="26.641768119999998"/>
    <n v="81"/>
    <n v="34"/>
    <n v="52"/>
    <x v="0"/>
    <x v="0"/>
    <x v="2"/>
    <x v="1"/>
    <n v="55.666666666666664"/>
    <x v="3"/>
    <x v="0"/>
  </r>
  <r>
    <n v="29"/>
    <x v="0"/>
    <x v="2"/>
    <n v="15"/>
    <n v="3"/>
    <n v="18.165048460000001"/>
    <n v="29"/>
    <n v="10"/>
    <n v="28"/>
    <x v="1"/>
    <x v="1"/>
    <x v="0"/>
    <x v="1"/>
    <n v="22.333333333333332"/>
    <x v="2"/>
    <x v="4"/>
  </r>
  <r>
    <n v="45"/>
    <x v="1"/>
    <x v="0"/>
    <n v="0"/>
    <n v="5"/>
    <n v="17.428531639999999"/>
    <n v="24"/>
    <n v="60"/>
    <n v="18"/>
    <x v="1"/>
    <x v="1"/>
    <x v="4"/>
    <x v="0"/>
    <n v="34"/>
    <x v="2"/>
    <x v="4"/>
  </r>
  <r>
    <n v="38"/>
    <x v="0"/>
    <x v="0"/>
    <n v="15"/>
    <n v="2"/>
    <n v="31.11281512"/>
    <n v="62"/>
    <n v="43"/>
    <n v="46"/>
    <x v="1"/>
    <x v="1"/>
    <x v="1"/>
    <x v="1"/>
    <n v="50.333333333333336"/>
    <x v="3"/>
    <x v="3"/>
  </r>
  <r>
    <n v="45"/>
    <x v="1"/>
    <x v="0"/>
    <n v="13"/>
    <n v="5"/>
    <n v="17.116241219999999"/>
    <n v="18"/>
    <n v="67"/>
    <n v="7"/>
    <x v="0"/>
    <x v="0"/>
    <x v="4"/>
    <x v="1"/>
    <n v="30.666666666666668"/>
    <x v="2"/>
    <x v="4"/>
  </r>
  <r>
    <n v="20"/>
    <x v="0"/>
    <x v="0"/>
    <n v="5"/>
    <n v="1"/>
    <n v="39.844687409999999"/>
    <n v="71"/>
    <n v="24"/>
    <n v="22"/>
    <x v="1"/>
    <x v="1"/>
    <x v="5"/>
    <x v="2"/>
    <n v="39"/>
    <x v="2"/>
    <x v="3"/>
  </r>
  <r>
    <n v="43"/>
    <x v="1"/>
    <x v="2"/>
    <n v="8"/>
    <n v="2"/>
    <n v="4.5395718010000001"/>
    <n v="91"/>
    <n v="47"/>
    <n v="34"/>
    <x v="2"/>
    <x v="1"/>
    <x v="4"/>
    <x v="1"/>
    <n v="57.333333333333336"/>
    <x v="3"/>
    <x v="1"/>
  </r>
  <r>
    <n v="24"/>
    <x v="1"/>
    <x v="0"/>
    <n v="14"/>
    <n v="1"/>
    <n v="34.019412619999997"/>
    <n v="7"/>
    <n v="31"/>
    <n v="94"/>
    <x v="1"/>
    <x v="1"/>
    <x v="5"/>
    <x v="1"/>
    <n v="44"/>
    <x v="2"/>
    <x v="3"/>
  </r>
  <r>
    <n v="32"/>
    <x v="1"/>
    <x v="3"/>
    <n v="2"/>
    <n v="2"/>
    <n v="41.459740179999997"/>
    <n v="94"/>
    <n v="83"/>
    <n v="52"/>
    <x v="2"/>
    <x v="1"/>
    <x v="3"/>
    <x v="0"/>
    <n v="76.333333333333329"/>
    <x v="0"/>
    <x v="2"/>
  </r>
  <r>
    <n v="23"/>
    <x v="1"/>
    <x v="0"/>
    <n v="5"/>
    <n v="5"/>
    <n v="34.6415845"/>
    <n v="2"/>
    <n v="94"/>
    <n v="98"/>
    <x v="2"/>
    <x v="1"/>
    <x v="5"/>
    <x v="2"/>
    <n v="64.666666666666671"/>
    <x v="1"/>
    <x v="3"/>
  </r>
  <r>
    <n v="35"/>
    <x v="0"/>
    <x v="2"/>
    <n v="2"/>
    <n v="4"/>
    <n v="25.861459750000002"/>
    <n v="66"/>
    <n v="3"/>
    <n v="95"/>
    <x v="0"/>
    <x v="1"/>
    <x v="3"/>
    <x v="0"/>
    <n v="54.666666666666664"/>
    <x v="3"/>
    <x v="0"/>
  </r>
  <r>
    <n v="43"/>
    <x v="0"/>
    <x v="0"/>
    <n v="13"/>
    <n v="3"/>
    <n v="48.515350689999998"/>
    <n v="85"/>
    <n v="37"/>
    <n v="57"/>
    <x v="1"/>
    <x v="1"/>
    <x v="4"/>
    <x v="1"/>
    <n v="59.666666666666664"/>
    <x v="3"/>
    <x v="2"/>
  </r>
  <r>
    <n v="35"/>
    <x v="1"/>
    <x v="2"/>
    <n v="12"/>
    <n v="1"/>
    <n v="15.99692449"/>
    <n v="80"/>
    <n v="62"/>
    <n v="4"/>
    <x v="1"/>
    <x v="1"/>
    <x v="3"/>
    <x v="1"/>
    <n v="48.666666666666664"/>
    <x v="2"/>
    <x v="4"/>
  </r>
  <r>
    <n v="42"/>
    <x v="0"/>
    <x v="1"/>
    <n v="0"/>
    <n v="5"/>
    <n v="1.958394376"/>
    <n v="99"/>
    <n v="46"/>
    <n v="15"/>
    <x v="0"/>
    <x v="0"/>
    <x v="4"/>
    <x v="0"/>
    <n v="53.333333333333336"/>
    <x v="3"/>
    <x v="1"/>
  </r>
  <r>
    <n v="21"/>
    <x v="1"/>
    <x v="2"/>
    <n v="13"/>
    <n v="4"/>
    <n v="22.599468569999999"/>
    <n v="16"/>
    <n v="0"/>
    <n v="16"/>
    <x v="1"/>
    <x v="1"/>
    <x v="5"/>
    <x v="1"/>
    <n v="10.666666666666666"/>
    <x v="2"/>
    <x v="0"/>
  </r>
  <r>
    <n v="36"/>
    <x v="1"/>
    <x v="3"/>
    <n v="12"/>
    <n v="5"/>
    <n v="2.6505967949999998"/>
    <n v="13"/>
    <n v="2"/>
    <n v="31"/>
    <x v="1"/>
    <x v="1"/>
    <x v="1"/>
    <x v="1"/>
    <n v="15.333333333333334"/>
    <x v="2"/>
    <x v="1"/>
  </r>
  <r>
    <n v="47"/>
    <x v="0"/>
    <x v="1"/>
    <n v="15"/>
    <n v="1"/>
    <n v="48.696837629999997"/>
    <n v="8"/>
    <n v="100"/>
    <n v="95"/>
    <x v="0"/>
    <x v="0"/>
    <x v="2"/>
    <x v="1"/>
    <n v="67.666666666666671"/>
    <x v="1"/>
    <x v="2"/>
  </r>
  <r>
    <n v="46"/>
    <x v="1"/>
    <x v="3"/>
    <n v="11"/>
    <n v="3"/>
    <n v="11.49590229"/>
    <n v="61"/>
    <n v="85"/>
    <n v="51"/>
    <x v="2"/>
    <x v="1"/>
    <x v="2"/>
    <x v="1"/>
    <n v="65.666666666666671"/>
    <x v="1"/>
    <x v="4"/>
  </r>
  <r>
    <n v="39"/>
    <x v="1"/>
    <x v="0"/>
    <n v="4"/>
    <n v="5"/>
    <n v="40.446351200000002"/>
    <n v="93"/>
    <n v="61"/>
    <n v="19"/>
    <x v="1"/>
    <x v="1"/>
    <x v="1"/>
    <x v="2"/>
    <n v="57.666666666666664"/>
    <x v="3"/>
    <x v="2"/>
  </r>
  <r>
    <n v="43"/>
    <x v="0"/>
    <x v="3"/>
    <n v="9"/>
    <n v="2"/>
    <n v="39.728604160000003"/>
    <n v="20"/>
    <n v="63"/>
    <n v="65"/>
    <x v="2"/>
    <x v="0"/>
    <x v="4"/>
    <x v="1"/>
    <n v="49.333333333333336"/>
    <x v="2"/>
    <x v="3"/>
  </r>
  <r>
    <n v="31"/>
    <x v="1"/>
    <x v="1"/>
    <n v="13"/>
    <n v="4"/>
    <n v="11.88644498"/>
    <n v="75"/>
    <n v="16"/>
    <n v="83"/>
    <x v="1"/>
    <x v="0"/>
    <x v="3"/>
    <x v="1"/>
    <n v="58"/>
    <x v="3"/>
    <x v="4"/>
  </r>
  <r>
    <n v="37"/>
    <x v="1"/>
    <x v="0"/>
    <n v="12"/>
    <n v="5"/>
    <n v="32.061326520000001"/>
    <n v="36"/>
    <n v="77"/>
    <n v="81"/>
    <x v="2"/>
    <x v="1"/>
    <x v="1"/>
    <x v="1"/>
    <n v="64.666666666666671"/>
    <x v="1"/>
    <x v="3"/>
  </r>
  <r>
    <n v="22"/>
    <x v="1"/>
    <x v="0"/>
    <n v="10"/>
    <n v="4"/>
    <n v="3.4039484240000002"/>
    <n v="95"/>
    <n v="61"/>
    <n v="0"/>
    <x v="1"/>
    <x v="1"/>
    <x v="5"/>
    <x v="1"/>
    <n v="52"/>
    <x v="3"/>
    <x v="1"/>
  </r>
  <r>
    <n v="47"/>
    <x v="1"/>
    <x v="0"/>
    <n v="3"/>
    <n v="2"/>
    <n v="25.17872929"/>
    <n v="10"/>
    <n v="34"/>
    <n v="57"/>
    <x v="0"/>
    <x v="1"/>
    <x v="2"/>
    <x v="2"/>
    <n v="33.666666666666664"/>
    <x v="2"/>
    <x v="0"/>
  </r>
  <r>
    <n v="20"/>
    <x v="0"/>
    <x v="0"/>
    <n v="6"/>
    <n v="3"/>
    <n v="1.7323563639999999"/>
    <n v="19"/>
    <n v="12"/>
    <n v="92"/>
    <x v="1"/>
    <x v="1"/>
    <x v="5"/>
    <x v="2"/>
    <n v="41"/>
    <x v="2"/>
    <x v="1"/>
  </r>
  <r>
    <n v="20"/>
    <x v="0"/>
    <x v="0"/>
    <n v="5"/>
    <n v="3"/>
    <n v="47.057194010000003"/>
    <n v="34"/>
    <n v="34"/>
    <n v="92"/>
    <x v="1"/>
    <x v="1"/>
    <x v="5"/>
    <x v="2"/>
    <n v="53.333333333333336"/>
    <x v="3"/>
    <x v="2"/>
  </r>
  <r>
    <n v="48"/>
    <x v="0"/>
    <x v="0"/>
    <n v="9"/>
    <n v="2"/>
    <n v="49.804301209999998"/>
    <n v="52"/>
    <n v="42"/>
    <n v="82"/>
    <x v="1"/>
    <x v="1"/>
    <x v="2"/>
    <x v="1"/>
    <n v="58.666666666666664"/>
    <x v="3"/>
    <x v="2"/>
  </r>
  <r>
    <n v="38"/>
    <x v="1"/>
    <x v="0"/>
    <n v="6"/>
    <n v="4"/>
    <n v="12.114138329999999"/>
    <n v="46"/>
    <n v="1"/>
    <n v="43"/>
    <x v="1"/>
    <x v="1"/>
    <x v="1"/>
    <x v="2"/>
    <n v="30"/>
    <x v="2"/>
    <x v="4"/>
  </r>
  <r>
    <n v="30"/>
    <x v="1"/>
    <x v="2"/>
    <n v="4"/>
    <n v="5"/>
    <n v="11.40530173"/>
    <n v="74"/>
    <n v="55"/>
    <n v="5"/>
    <x v="0"/>
    <x v="0"/>
    <x v="0"/>
    <x v="2"/>
    <n v="44.666666666666664"/>
    <x v="2"/>
    <x v="4"/>
  </r>
  <r>
    <n v="24"/>
    <x v="0"/>
    <x v="2"/>
    <n v="14"/>
    <n v="2"/>
    <n v="38.686008829999999"/>
    <n v="51"/>
    <n v="76"/>
    <n v="49"/>
    <x v="1"/>
    <x v="1"/>
    <x v="5"/>
    <x v="1"/>
    <n v="58.666666666666664"/>
    <x v="3"/>
    <x v="3"/>
  </r>
  <r>
    <n v="31"/>
    <x v="1"/>
    <x v="0"/>
    <n v="14"/>
    <n v="1"/>
    <n v="13.66896994"/>
    <n v="7"/>
    <n v="50"/>
    <n v="71"/>
    <x v="1"/>
    <x v="1"/>
    <x v="3"/>
    <x v="1"/>
    <n v="42.666666666666664"/>
    <x v="2"/>
    <x v="4"/>
  </r>
  <r>
    <n v="22"/>
    <x v="1"/>
    <x v="2"/>
    <n v="3"/>
    <n v="4"/>
    <n v="45.753827960000002"/>
    <n v="3"/>
    <n v="53"/>
    <n v="87"/>
    <x v="1"/>
    <x v="1"/>
    <x v="5"/>
    <x v="2"/>
    <n v="47.666666666666664"/>
    <x v="2"/>
    <x v="2"/>
  </r>
  <r>
    <n v="20"/>
    <x v="1"/>
    <x v="0"/>
    <n v="15"/>
    <n v="3"/>
    <n v="29.696456810000001"/>
    <n v="26"/>
    <n v="15"/>
    <n v="19"/>
    <x v="1"/>
    <x v="1"/>
    <x v="5"/>
    <x v="1"/>
    <n v="20"/>
    <x v="2"/>
    <x v="0"/>
  </r>
  <r>
    <n v="20"/>
    <x v="1"/>
    <x v="0"/>
    <n v="6"/>
    <n v="2"/>
    <n v="18.538881150000002"/>
    <n v="43"/>
    <n v="17"/>
    <n v="13"/>
    <x v="2"/>
    <x v="1"/>
    <x v="5"/>
    <x v="2"/>
    <n v="24.333333333333332"/>
    <x v="2"/>
    <x v="4"/>
  </r>
  <r>
    <n v="27"/>
    <x v="0"/>
    <x v="3"/>
    <n v="6"/>
    <n v="3"/>
    <n v="42.634687319999998"/>
    <n v="39"/>
    <n v="6"/>
    <n v="4"/>
    <x v="1"/>
    <x v="1"/>
    <x v="0"/>
    <x v="2"/>
    <n v="16.333333333333332"/>
    <x v="2"/>
    <x v="2"/>
  </r>
  <r>
    <n v="29"/>
    <x v="0"/>
    <x v="2"/>
    <n v="5"/>
    <n v="4"/>
    <n v="25.67033502"/>
    <n v="46"/>
    <n v="44"/>
    <n v="40"/>
    <x v="1"/>
    <x v="1"/>
    <x v="0"/>
    <x v="2"/>
    <n v="43.333333333333336"/>
    <x v="2"/>
    <x v="0"/>
  </r>
  <r>
    <n v="30"/>
    <x v="0"/>
    <x v="0"/>
    <n v="7"/>
    <n v="3"/>
    <n v="46.581645690000002"/>
    <n v="93"/>
    <n v="35"/>
    <n v="39"/>
    <x v="2"/>
    <x v="1"/>
    <x v="0"/>
    <x v="2"/>
    <n v="55.666666666666664"/>
    <x v="3"/>
    <x v="2"/>
  </r>
  <r>
    <n v="31"/>
    <x v="1"/>
    <x v="3"/>
    <n v="3"/>
    <n v="2"/>
    <n v="47.40071184"/>
    <n v="43"/>
    <n v="40"/>
    <n v="33"/>
    <x v="1"/>
    <x v="1"/>
    <x v="3"/>
    <x v="2"/>
    <n v="38.666666666666664"/>
    <x v="2"/>
    <x v="2"/>
  </r>
  <r>
    <n v="48"/>
    <x v="0"/>
    <x v="0"/>
    <n v="9"/>
    <n v="4"/>
    <n v="9.2710076059999995"/>
    <n v="47"/>
    <n v="93"/>
    <n v="79"/>
    <x v="0"/>
    <x v="0"/>
    <x v="2"/>
    <x v="1"/>
    <n v="73"/>
    <x v="0"/>
    <x v="1"/>
  </r>
  <r>
    <n v="32"/>
    <x v="0"/>
    <x v="2"/>
    <n v="4"/>
    <n v="1"/>
    <n v="1.116170307"/>
    <n v="90"/>
    <n v="41"/>
    <n v="44"/>
    <x v="0"/>
    <x v="1"/>
    <x v="3"/>
    <x v="2"/>
    <n v="58.333333333333336"/>
    <x v="3"/>
    <x v="1"/>
  </r>
  <r>
    <n v="31"/>
    <x v="1"/>
    <x v="3"/>
    <n v="3"/>
    <n v="2"/>
    <n v="50.196547010000003"/>
    <n v="84"/>
    <n v="6"/>
    <n v="70"/>
    <x v="1"/>
    <x v="1"/>
    <x v="3"/>
    <x v="2"/>
    <n v="53.333333333333336"/>
    <x v="3"/>
    <x v="5"/>
  </r>
  <r>
    <n v="50"/>
    <x v="1"/>
    <x v="3"/>
    <n v="11"/>
    <n v="5"/>
    <n v="46.306876809999999"/>
    <n v="51"/>
    <n v="14"/>
    <n v="79"/>
    <x v="0"/>
    <x v="0"/>
    <x v="2"/>
    <x v="1"/>
    <n v="48"/>
    <x v="2"/>
    <x v="2"/>
  </r>
  <r>
    <n v="33"/>
    <x v="0"/>
    <x v="0"/>
    <n v="0"/>
    <n v="2"/>
    <n v="3.772261785"/>
    <n v="83"/>
    <n v="59"/>
    <n v="70"/>
    <x v="1"/>
    <x v="1"/>
    <x v="3"/>
    <x v="0"/>
    <n v="70.666666666666671"/>
    <x v="0"/>
    <x v="1"/>
  </r>
  <r>
    <n v="21"/>
    <x v="0"/>
    <x v="0"/>
    <n v="11"/>
    <n v="4"/>
    <n v="42.651713200000003"/>
    <n v="67"/>
    <n v="39"/>
    <n v="26"/>
    <x v="0"/>
    <x v="1"/>
    <x v="5"/>
    <x v="1"/>
    <n v="44"/>
    <x v="2"/>
    <x v="2"/>
  </r>
  <r>
    <n v="48"/>
    <x v="0"/>
    <x v="1"/>
    <n v="7"/>
    <n v="2"/>
    <n v="23.89024663"/>
    <n v="10"/>
    <n v="82"/>
    <n v="77"/>
    <x v="0"/>
    <x v="0"/>
    <x v="2"/>
    <x v="2"/>
    <n v="56.333333333333336"/>
    <x v="3"/>
    <x v="0"/>
  </r>
  <r>
    <n v="38"/>
    <x v="0"/>
    <x v="0"/>
    <n v="0"/>
    <n v="1"/>
    <n v="13.94808025"/>
    <n v="76"/>
    <n v="36"/>
    <n v="77"/>
    <x v="1"/>
    <x v="1"/>
    <x v="1"/>
    <x v="0"/>
    <n v="63"/>
    <x v="1"/>
    <x v="4"/>
  </r>
  <r>
    <n v="37"/>
    <x v="1"/>
    <x v="0"/>
    <n v="4"/>
    <n v="1"/>
    <n v="44.937326179999999"/>
    <n v="72"/>
    <n v="65"/>
    <n v="43"/>
    <x v="2"/>
    <x v="1"/>
    <x v="1"/>
    <x v="2"/>
    <n v="60"/>
    <x v="1"/>
    <x v="2"/>
  </r>
  <r>
    <n v="22"/>
    <x v="0"/>
    <x v="3"/>
    <n v="14"/>
    <n v="5"/>
    <n v="10.83336162"/>
    <n v="3"/>
    <n v="54"/>
    <n v="32"/>
    <x v="1"/>
    <x v="1"/>
    <x v="5"/>
    <x v="1"/>
    <n v="29.666666666666668"/>
    <x v="2"/>
    <x v="4"/>
  </r>
  <r>
    <n v="42"/>
    <x v="0"/>
    <x v="0"/>
    <n v="5"/>
    <n v="3"/>
    <n v="48.36499997"/>
    <n v="75"/>
    <n v="76"/>
    <n v="32"/>
    <x v="2"/>
    <x v="1"/>
    <x v="4"/>
    <x v="2"/>
    <n v="61"/>
    <x v="1"/>
    <x v="2"/>
  </r>
  <r>
    <n v="36"/>
    <x v="1"/>
    <x v="0"/>
    <n v="5"/>
    <n v="4"/>
    <n v="11.28107438"/>
    <n v="72"/>
    <n v="94"/>
    <n v="43"/>
    <x v="2"/>
    <x v="1"/>
    <x v="1"/>
    <x v="2"/>
    <n v="69.666666666666671"/>
    <x v="1"/>
    <x v="4"/>
  </r>
  <r>
    <n v="45"/>
    <x v="0"/>
    <x v="0"/>
    <n v="12"/>
    <n v="4"/>
    <n v="31.684159390000001"/>
    <n v="76"/>
    <n v="79"/>
    <n v="19"/>
    <x v="0"/>
    <x v="0"/>
    <x v="4"/>
    <x v="1"/>
    <n v="58"/>
    <x v="3"/>
    <x v="3"/>
  </r>
  <r>
    <n v="27"/>
    <x v="1"/>
    <x v="3"/>
    <n v="4"/>
    <n v="3"/>
    <n v="12.15431673"/>
    <n v="47"/>
    <n v="55"/>
    <n v="35"/>
    <x v="1"/>
    <x v="1"/>
    <x v="0"/>
    <x v="2"/>
    <n v="45.666666666666664"/>
    <x v="2"/>
    <x v="4"/>
  </r>
  <r>
    <n v="48"/>
    <x v="1"/>
    <x v="0"/>
    <n v="15"/>
    <n v="1"/>
    <n v="28.283433250000002"/>
    <n v="25"/>
    <n v="43"/>
    <n v="6"/>
    <x v="1"/>
    <x v="1"/>
    <x v="2"/>
    <x v="1"/>
    <n v="24.666666666666668"/>
    <x v="2"/>
    <x v="0"/>
  </r>
  <r>
    <n v="45"/>
    <x v="1"/>
    <x v="0"/>
    <n v="2"/>
    <n v="1"/>
    <n v="35.198756500000002"/>
    <n v="76"/>
    <n v="56"/>
    <n v="31"/>
    <x v="2"/>
    <x v="1"/>
    <x v="4"/>
    <x v="0"/>
    <n v="54.333333333333336"/>
    <x v="3"/>
    <x v="3"/>
  </r>
  <r>
    <n v="29"/>
    <x v="0"/>
    <x v="0"/>
    <n v="14"/>
    <n v="2"/>
    <n v="10.51139654"/>
    <n v="38"/>
    <n v="5"/>
    <n v="66"/>
    <x v="1"/>
    <x v="1"/>
    <x v="0"/>
    <x v="1"/>
    <n v="36.333333333333336"/>
    <x v="2"/>
    <x v="4"/>
  </r>
  <r>
    <n v="45"/>
    <x v="0"/>
    <x v="0"/>
    <n v="4"/>
    <n v="5"/>
    <n v="27.04428914"/>
    <n v="91"/>
    <n v="91"/>
    <n v="38"/>
    <x v="2"/>
    <x v="1"/>
    <x v="4"/>
    <x v="2"/>
    <n v="73.333333333333329"/>
    <x v="0"/>
    <x v="0"/>
  </r>
  <r>
    <n v="49"/>
    <x v="1"/>
    <x v="0"/>
    <n v="11"/>
    <n v="5"/>
    <n v="24.452987220000001"/>
    <n v="57"/>
    <n v="31"/>
    <n v="92"/>
    <x v="0"/>
    <x v="0"/>
    <x v="2"/>
    <x v="1"/>
    <n v="60"/>
    <x v="1"/>
    <x v="0"/>
  </r>
  <r>
    <n v="21"/>
    <x v="0"/>
    <x v="3"/>
    <n v="7"/>
    <n v="5"/>
    <n v="4.5518710699999998"/>
    <n v="18"/>
    <n v="73"/>
    <n v="23"/>
    <x v="0"/>
    <x v="0"/>
    <x v="5"/>
    <x v="2"/>
    <n v="38"/>
    <x v="2"/>
    <x v="1"/>
  </r>
  <r>
    <n v="38"/>
    <x v="0"/>
    <x v="0"/>
    <n v="13"/>
    <n v="2"/>
    <n v="41.915390879999997"/>
    <n v="87"/>
    <n v="17"/>
    <n v="85"/>
    <x v="1"/>
    <x v="1"/>
    <x v="1"/>
    <x v="1"/>
    <n v="63"/>
    <x v="1"/>
    <x v="2"/>
  </r>
  <r>
    <n v="28"/>
    <x v="1"/>
    <x v="2"/>
    <n v="1"/>
    <n v="5"/>
    <n v="17.78412003"/>
    <n v="82"/>
    <n v="67"/>
    <n v="69"/>
    <x v="1"/>
    <x v="1"/>
    <x v="0"/>
    <x v="0"/>
    <n v="72.666666666666671"/>
    <x v="0"/>
    <x v="4"/>
  </r>
  <r>
    <n v="26"/>
    <x v="1"/>
    <x v="3"/>
    <n v="15"/>
    <n v="3"/>
    <n v="29.729109879999999"/>
    <n v="76"/>
    <n v="72"/>
    <n v="87"/>
    <x v="0"/>
    <x v="0"/>
    <x v="0"/>
    <x v="1"/>
    <n v="78.333333333333329"/>
    <x v="0"/>
    <x v="0"/>
  </r>
  <r>
    <n v="23"/>
    <x v="0"/>
    <x v="2"/>
    <n v="5"/>
    <n v="2"/>
    <n v="26.739211749999999"/>
    <n v="76"/>
    <n v="6"/>
    <n v="86"/>
    <x v="1"/>
    <x v="1"/>
    <x v="5"/>
    <x v="2"/>
    <n v="56"/>
    <x v="3"/>
    <x v="0"/>
  </r>
  <r>
    <n v="45"/>
    <x v="1"/>
    <x v="1"/>
    <n v="8"/>
    <n v="3"/>
    <n v="26.663025229999999"/>
    <n v="57"/>
    <n v="7"/>
    <n v="53"/>
    <x v="0"/>
    <x v="0"/>
    <x v="4"/>
    <x v="1"/>
    <n v="39"/>
    <x v="2"/>
    <x v="0"/>
  </r>
  <r>
    <n v="40"/>
    <x v="0"/>
    <x v="2"/>
    <n v="7"/>
    <n v="2"/>
    <n v="6.3611197099999996"/>
    <n v="27"/>
    <n v="63"/>
    <n v="37"/>
    <x v="1"/>
    <x v="1"/>
    <x v="1"/>
    <x v="2"/>
    <n v="42.333333333333336"/>
    <x v="2"/>
    <x v="1"/>
  </r>
  <r>
    <n v="37"/>
    <x v="0"/>
    <x v="0"/>
    <n v="13"/>
    <n v="5"/>
    <n v="22.174100459999998"/>
    <n v="65"/>
    <n v="6"/>
    <n v="73"/>
    <x v="2"/>
    <x v="1"/>
    <x v="1"/>
    <x v="1"/>
    <n v="48"/>
    <x v="2"/>
    <x v="0"/>
  </r>
  <r>
    <n v="32"/>
    <x v="0"/>
    <x v="2"/>
    <n v="10"/>
    <n v="3"/>
    <n v="23.618337960000002"/>
    <n v="9"/>
    <n v="40"/>
    <n v="79"/>
    <x v="2"/>
    <x v="1"/>
    <x v="3"/>
    <x v="1"/>
    <n v="42.666666666666664"/>
    <x v="2"/>
    <x v="0"/>
  </r>
  <r>
    <n v="30"/>
    <x v="0"/>
    <x v="1"/>
    <n v="7"/>
    <n v="3"/>
    <n v="37.682142020000001"/>
    <n v="85"/>
    <n v="39"/>
    <n v="74"/>
    <x v="1"/>
    <x v="0"/>
    <x v="0"/>
    <x v="2"/>
    <n v="66"/>
    <x v="1"/>
    <x v="3"/>
  </r>
  <r>
    <n v="48"/>
    <x v="1"/>
    <x v="0"/>
    <n v="7"/>
    <n v="3"/>
    <n v="43.000941599999997"/>
    <n v="76"/>
    <n v="2"/>
    <n v="31"/>
    <x v="1"/>
    <x v="1"/>
    <x v="2"/>
    <x v="2"/>
    <n v="36.333333333333336"/>
    <x v="2"/>
    <x v="2"/>
  </r>
  <r>
    <n v="43"/>
    <x v="1"/>
    <x v="2"/>
    <n v="14"/>
    <n v="2"/>
    <n v="28.249113909999998"/>
    <n v="57"/>
    <n v="16"/>
    <n v="44"/>
    <x v="1"/>
    <x v="1"/>
    <x v="4"/>
    <x v="1"/>
    <n v="39"/>
    <x v="2"/>
    <x v="0"/>
  </r>
  <r>
    <n v="23"/>
    <x v="1"/>
    <x v="0"/>
    <n v="12"/>
    <n v="4"/>
    <n v="5.3391477030000001"/>
    <n v="72"/>
    <n v="65"/>
    <n v="60"/>
    <x v="0"/>
    <x v="0"/>
    <x v="5"/>
    <x v="1"/>
    <n v="65.666666666666671"/>
    <x v="1"/>
    <x v="1"/>
  </r>
  <r>
    <n v="44"/>
    <x v="1"/>
    <x v="2"/>
    <n v="6"/>
    <n v="5"/>
    <n v="12.842473529999999"/>
    <n v="96"/>
    <n v="78"/>
    <n v="69"/>
    <x v="1"/>
    <x v="0"/>
    <x v="4"/>
    <x v="2"/>
    <n v="81"/>
    <x v="4"/>
    <x v="4"/>
  </r>
  <r>
    <n v="40"/>
    <x v="0"/>
    <x v="2"/>
    <n v="7"/>
    <n v="3"/>
    <n v="9.2467013429999998"/>
    <n v="13"/>
    <n v="92"/>
    <n v="87"/>
    <x v="0"/>
    <x v="0"/>
    <x v="1"/>
    <x v="2"/>
    <n v="64"/>
    <x v="1"/>
    <x v="1"/>
  </r>
  <r>
    <n v="48"/>
    <x v="0"/>
    <x v="1"/>
    <n v="12"/>
    <n v="4"/>
    <n v="7.2307531589999998"/>
    <n v="83"/>
    <n v="51"/>
    <n v="96"/>
    <x v="2"/>
    <x v="0"/>
    <x v="2"/>
    <x v="1"/>
    <n v="76.666666666666671"/>
    <x v="0"/>
    <x v="1"/>
  </r>
  <r>
    <n v="44"/>
    <x v="1"/>
    <x v="0"/>
    <n v="5"/>
    <n v="5"/>
    <n v="19.294964929999999"/>
    <n v="14"/>
    <n v="21"/>
    <n v="52"/>
    <x v="2"/>
    <x v="1"/>
    <x v="4"/>
    <x v="2"/>
    <n v="29"/>
    <x v="2"/>
    <x v="4"/>
  </r>
  <r>
    <n v="23"/>
    <x v="0"/>
    <x v="3"/>
    <n v="1"/>
    <n v="5"/>
    <n v="12.469675110000001"/>
    <n v="95"/>
    <n v="3"/>
    <n v="50"/>
    <x v="1"/>
    <x v="1"/>
    <x v="5"/>
    <x v="0"/>
    <n v="49.333333333333336"/>
    <x v="2"/>
    <x v="4"/>
  </r>
  <r>
    <n v="29"/>
    <x v="0"/>
    <x v="0"/>
    <n v="1"/>
    <n v="3"/>
    <n v="11.915155589999999"/>
    <n v="32"/>
    <n v="5"/>
    <n v="75"/>
    <x v="1"/>
    <x v="1"/>
    <x v="0"/>
    <x v="0"/>
    <n v="37.333333333333336"/>
    <x v="2"/>
    <x v="4"/>
  </r>
  <r>
    <n v="24"/>
    <x v="0"/>
    <x v="0"/>
    <n v="7"/>
    <n v="3"/>
    <n v="3.734658729"/>
    <n v="16"/>
    <n v="37"/>
    <n v="55"/>
    <x v="0"/>
    <x v="1"/>
    <x v="5"/>
    <x v="2"/>
    <n v="36"/>
    <x v="2"/>
    <x v="1"/>
  </r>
  <r>
    <n v="28"/>
    <x v="1"/>
    <x v="2"/>
    <n v="10"/>
    <n v="2"/>
    <n v="1.8835022400000001"/>
    <n v="23"/>
    <n v="25"/>
    <n v="26"/>
    <x v="1"/>
    <x v="1"/>
    <x v="0"/>
    <x v="1"/>
    <n v="24.666666666666668"/>
    <x v="2"/>
    <x v="1"/>
  </r>
  <r>
    <n v="43"/>
    <x v="1"/>
    <x v="0"/>
    <n v="0"/>
    <n v="4"/>
    <n v="6.138412132"/>
    <n v="29"/>
    <n v="10"/>
    <n v="37"/>
    <x v="1"/>
    <x v="1"/>
    <x v="4"/>
    <x v="0"/>
    <n v="25.333333333333332"/>
    <x v="2"/>
    <x v="1"/>
  </r>
  <r>
    <n v="22"/>
    <x v="1"/>
    <x v="3"/>
    <n v="5"/>
    <n v="4"/>
    <n v="9.6098739710000007"/>
    <n v="61"/>
    <n v="89"/>
    <n v="61"/>
    <x v="1"/>
    <x v="1"/>
    <x v="5"/>
    <x v="2"/>
    <n v="70.333333333333329"/>
    <x v="0"/>
    <x v="1"/>
  </r>
  <r>
    <n v="36"/>
    <x v="0"/>
    <x v="1"/>
    <n v="12"/>
    <n v="3"/>
    <n v="22.54918644"/>
    <n v="12"/>
    <n v="16"/>
    <n v="17"/>
    <x v="0"/>
    <x v="0"/>
    <x v="1"/>
    <x v="1"/>
    <n v="15"/>
    <x v="2"/>
    <x v="0"/>
  </r>
  <r>
    <n v="22"/>
    <x v="1"/>
    <x v="0"/>
    <n v="15"/>
    <n v="5"/>
    <n v="26.52601306"/>
    <n v="61"/>
    <n v="87"/>
    <n v="63"/>
    <x v="2"/>
    <x v="1"/>
    <x v="5"/>
    <x v="1"/>
    <n v="70.333333333333329"/>
    <x v="0"/>
    <x v="0"/>
  </r>
  <r>
    <n v="35"/>
    <x v="1"/>
    <x v="0"/>
    <n v="5"/>
    <n v="3"/>
    <n v="8.0295959089999993"/>
    <n v="46"/>
    <n v="91"/>
    <n v="76"/>
    <x v="1"/>
    <x v="1"/>
    <x v="3"/>
    <x v="2"/>
    <n v="71"/>
    <x v="0"/>
    <x v="1"/>
  </r>
  <r>
    <n v="23"/>
    <x v="1"/>
    <x v="0"/>
    <n v="15"/>
    <n v="5"/>
    <n v="22.239167080000001"/>
    <n v="15"/>
    <n v="98"/>
    <n v="29"/>
    <x v="2"/>
    <x v="1"/>
    <x v="5"/>
    <x v="1"/>
    <n v="47.333333333333336"/>
    <x v="2"/>
    <x v="0"/>
  </r>
  <r>
    <n v="37"/>
    <x v="1"/>
    <x v="1"/>
    <n v="10"/>
    <n v="5"/>
    <n v="18.087442119999999"/>
    <n v="65"/>
    <n v="30"/>
    <n v="48"/>
    <x v="2"/>
    <x v="1"/>
    <x v="1"/>
    <x v="1"/>
    <n v="47.666666666666664"/>
    <x v="2"/>
    <x v="4"/>
  </r>
  <r>
    <n v="36"/>
    <x v="1"/>
    <x v="0"/>
    <n v="3"/>
    <n v="3"/>
    <n v="10.17118217"/>
    <n v="80"/>
    <n v="76"/>
    <n v="40"/>
    <x v="2"/>
    <x v="1"/>
    <x v="1"/>
    <x v="2"/>
    <n v="65.333333333333329"/>
    <x v="1"/>
    <x v="4"/>
  </r>
  <r>
    <n v="26"/>
    <x v="1"/>
    <x v="0"/>
    <n v="11"/>
    <n v="1"/>
    <n v="1.3420374070000001"/>
    <n v="95"/>
    <n v="34"/>
    <n v="12"/>
    <x v="0"/>
    <x v="0"/>
    <x v="0"/>
    <x v="1"/>
    <n v="47"/>
    <x v="2"/>
    <x v="1"/>
  </r>
  <r>
    <n v="43"/>
    <x v="0"/>
    <x v="3"/>
    <n v="10"/>
    <n v="4"/>
    <n v="24.350893330000002"/>
    <n v="42"/>
    <n v="15"/>
    <n v="33"/>
    <x v="0"/>
    <x v="0"/>
    <x v="4"/>
    <x v="1"/>
    <n v="30"/>
    <x v="2"/>
    <x v="0"/>
  </r>
  <r>
    <n v="42"/>
    <x v="0"/>
    <x v="2"/>
    <n v="12"/>
    <n v="5"/>
    <n v="35.282587460000002"/>
    <n v="7"/>
    <n v="78"/>
    <n v="99"/>
    <x v="1"/>
    <x v="1"/>
    <x v="4"/>
    <x v="1"/>
    <n v="61.333333333333336"/>
    <x v="1"/>
    <x v="3"/>
  </r>
  <r>
    <n v="49"/>
    <x v="1"/>
    <x v="2"/>
    <n v="14"/>
    <n v="5"/>
    <n v="12.313866709999999"/>
    <n v="2"/>
    <n v="17"/>
    <n v="93"/>
    <x v="0"/>
    <x v="0"/>
    <x v="2"/>
    <x v="1"/>
    <n v="37.333333333333336"/>
    <x v="2"/>
    <x v="4"/>
  </r>
  <r>
    <n v="24"/>
    <x v="1"/>
    <x v="0"/>
    <n v="10"/>
    <n v="1"/>
    <n v="7.5903414949999997"/>
    <n v="11"/>
    <n v="100"/>
    <n v="24"/>
    <x v="1"/>
    <x v="1"/>
    <x v="5"/>
    <x v="1"/>
    <n v="45"/>
    <x v="2"/>
    <x v="1"/>
  </r>
  <r>
    <n v="31"/>
    <x v="0"/>
    <x v="1"/>
    <n v="15"/>
    <n v="2"/>
    <n v="45.352137220000003"/>
    <n v="83"/>
    <n v="61"/>
    <n v="65"/>
    <x v="1"/>
    <x v="0"/>
    <x v="3"/>
    <x v="1"/>
    <n v="69.666666666666671"/>
    <x v="1"/>
    <x v="2"/>
  </r>
  <r>
    <n v="36"/>
    <x v="0"/>
    <x v="0"/>
    <n v="12"/>
    <n v="1"/>
    <n v="14.751238620000001"/>
    <n v="15"/>
    <n v="26"/>
    <n v="99"/>
    <x v="1"/>
    <x v="1"/>
    <x v="1"/>
    <x v="1"/>
    <n v="46.666666666666664"/>
    <x v="2"/>
    <x v="4"/>
  </r>
  <r>
    <n v="42"/>
    <x v="1"/>
    <x v="0"/>
    <n v="9"/>
    <n v="1"/>
    <n v="12.180630989999999"/>
    <n v="77"/>
    <n v="34"/>
    <n v="17"/>
    <x v="0"/>
    <x v="0"/>
    <x v="4"/>
    <x v="1"/>
    <n v="42.666666666666664"/>
    <x v="2"/>
    <x v="4"/>
  </r>
  <r>
    <n v="32"/>
    <x v="1"/>
    <x v="0"/>
    <n v="2"/>
    <n v="5"/>
    <n v="43.854846979999998"/>
    <n v="79"/>
    <n v="44"/>
    <n v="4"/>
    <x v="2"/>
    <x v="1"/>
    <x v="3"/>
    <x v="0"/>
    <n v="42.333333333333336"/>
    <x v="2"/>
    <x v="2"/>
  </r>
  <r>
    <n v="42"/>
    <x v="1"/>
    <x v="0"/>
    <n v="12"/>
    <n v="4"/>
    <n v="41.85535496"/>
    <n v="58"/>
    <n v="34"/>
    <n v="18"/>
    <x v="0"/>
    <x v="1"/>
    <x v="4"/>
    <x v="1"/>
    <n v="36.666666666666664"/>
    <x v="2"/>
    <x v="2"/>
  </r>
  <r>
    <n v="44"/>
    <x v="1"/>
    <x v="0"/>
    <n v="10"/>
    <n v="1"/>
    <n v="23.417323530000001"/>
    <n v="48"/>
    <n v="27"/>
    <n v="41"/>
    <x v="1"/>
    <x v="1"/>
    <x v="4"/>
    <x v="1"/>
    <n v="38.666666666666664"/>
    <x v="2"/>
    <x v="0"/>
  </r>
  <r>
    <n v="22"/>
    <x v="0"/>
    <x v="0"/>
    <n v="2"/>
    <n v="2"/>
    <n v="25.46194307"/>
    <n v="62"/>
    <n v="8"/>
    <n v="17"/>
    <x v="1"/>
    <x v="1"/>
    <x v="5"/>
    <x v="0"/>
    <n v="29"/>
    <x v="2"/>
    <x v="0"/>
  </r>
  <r>
    <n v="28"/>
    <x v="1"/>
    <x v="0"/>
    <n v="14"/>
    <n v="3"/>
    <n v="11.88743524"/>
    <n v="61"/>
    <n v="75"/>
    <n v="31"/>
    <x v="1"/>
    <x v="1"/>
    <x v="0"/>
    <x v="1"/>
    <n v="55.666666666666664"/>
    <x v="3"/>
    <x v="4"/>
  </r>
  <r>
    <n v="49"/>
    <x v="1"/>
    <x v="0"/>
    <n v="14"/>
    <n v="1"/>
    <n v="4.9150835239999999"/>
    <n v="48"/>
    <n v="14"/>
    <n v="20"/>
    <x v="1"/>
    <x v="1"/>
    <x v="2"/>
    <x v="1"/>
    <n v="27.333333333333332"/>
    <x v="2"/>
    <x v="1"/>
  </r>
  <r>
    <n v="36"/>
    <x v="1"/>
    <x v="0"/>
    <n v="15"/>
    <n v="1"/>
    <n v="29.67159127"/>
    <n v="50"/>
    <n v="20"/>
    <n v="9"/>
    <x v="0"/>
    <x v="1"/>
    <x v="1"/>
    <x v="1"/>
    <n v="26.333333333333332"/>
    <x v="2"/>
    <x v="0"/>
  </r>
  <r>
    <n v="36"/>
    <x v="1"/>
    <x v="0"/>
    <n v="12"/>
    <n v="2"/>
    <n v="5.91724608"/>
    <n v="32"/>
    <n v="51"/>
    <n v="36"/>
    <x v="1"/>
    <x v="1"/>
    <x v="1"/>
    <x v="1"/>
    <n v="39.666666666666664"/>
    <x v="2"/>
    <x v="1"/>
  </r>
  <r>
    <n v="49"/>
    <x v="0"/>
    <x v="3"/>
    <n v="12"/>
    <n v="4"/>
    <n v="23.463727349999999"/>
    <n v="29"/>
    <n v="34"/>
    <n v="48"/>
    <x v="0"/>
    <x v="0"/>
    <x v="2"/>
    <x v="1"/>
    <n v="37"/>
    <x v="2"/>
    <x v="0"/>
  </r>
  <r>
    <n v="39"/>
    <x v="0"/>
    <x v="2"/>
    <n v="0"/>
    <n v="1"/>
    <n v="48.024859929999998"/>
    <n v="58"/>
    <n v="96"/>
    <n v="85"/>
    <x v="0"/>
    <x v="0"/>
    <x v="1"/>
    <x v="0"/>
    <n v="79.666666666666671"/>
    <x v="0"/>
    <x v="2"/>
  </r>
  <r>
    <n v="35"/>
    <x v="0"/>
    <x v="3"/>
    <n v="2"/>
    <n v="1"/>
    <n v="48.641719459999997"/>
    <n v="75"/>
    <n v="50"/>
    <n v="12"/>
    <x v="1"/>
    <x v="1"/>
    <x v="3"/>
    <x v="0"/>
    <n v="45.666666666666664"/>
    <x v="2"/>
    <x v="2"/>
  </r>
  <r>
    <n v="44"/>
    <x v="1"/>
    <x v="3"/>
    <n v="3"/>
    <n v="4"/>
    <n v="12.966614330000001"/>
    <n v="14"/>
    <n v="82"/>
    <n v="54"/>
    <x v="1"/>
    <x v="1"/>
    <x v="4"/>
    <x v="2"/>
    <n v="50"/>
    <x v="3"/>
    <x v="4"/>
  </r>
  <r>
    <n v="41"/>
    <x v="1"/>
    <x v="0"/>
    <n v="10"/>
    <n v="2"/>
    <n v="32.205671000000002"/>
    <n v="81"/>
    <n v="54"/>
    <n v="16"/>
    <x v="1"/>
    <x v="1"/>
    <x v="4"/>
    <x v="1"/>
    <n v="50.333333333333336"/>
    <x v="3"/>
    <x v="3"/>
  </r>
  <r>
    <n v="32"/>
    <x v="0"/>
    <x v="0"/>
    <n v="10"/>
    <n v="1"/>
    <n v="24.70381321"/>
    <n v="91"/>
    <n v="86"/>
    <n v="8"/>
    <x v="1"/>
    <x v="1"/>
    <x v="3"/>
    <x v="1"/>
    <n v="61.666666666666664"/>
    <x v="1"/>
    <x v="0"/>
  </r>
  <r>
    <n v="46"/>
    <x v="1"/>
    <x v="0"/>
    <n v="4"/>
    <n v="4"/>
    <n v="44.784256380000002"/>
    <n v="22"/>
    <n v="76"/>
    <n v="87"/>
    <x v="2"/>
    <x v="1"/>
    <x v="2"/>
    <x v="2"/>
    <n v="61.666666666666664"/>
    <x v="1"/>
    <x v="2"/>
  </r>
  <r>
    <n v="38"/>
    <x v="1"/>
    <x v="0"/>
    <n v="2"/>
    <n v="1"/>
    <n v="14.57154321"/>
    <n v="77"/>
    <n v="43"/>
    <n v="43"/>
    <x v="2"/>
    <x v="1"/>
    <x v="1"/>
    <x v="0"/>
    <n v="54.333333333333336"/>
    <x v="3"/>
    <x v="4"/>
  </r>
  <r>
    <n v="36"/>
    <x v="0"/>
    <x v="0"/>
    <n v="5"/>
    <n v="3"/>
    <n v="1.185120342"/>
    <n v="93"/>
    <n v="64"/>
    <n v="77"/>
    <x v="1"/>
    <x v="1"/>
    <x v="1"/>
    <x v="2"/>
    <n v="78"/>
    <x v="0"/>
    <x v="1"/>
  </r>
  <r>
    <n v="23"/>
    <x v="0"/>
    <x v="2"/>
    <n v="10"/>
    <n v="5"/>
    <n v="9.1280602969999993"/>
    <n v="96"/>
    <n v="92"/>
    <n v="45"/>
    <x v="0"/>
    <x v="0"/>
    <x v="5"/>
    <x v="1"/>
    <n v="77.666666666666671"/>
    <x v="0"/>
    <x v="1"/>
  </r>
  <r>
    <n v="31"/>
    <x v="0"/>
    <x v="0"/>
    <n v="13"/>
    <n v="3"/>
    <n v="18.476140059999999"/>
    <n v="44"/>
    <n v="87"/>
    <n v="7"/>
    <x v="1"/>
    <x v="1"/>
    <x v="3"/>
    <x v="1"/>
    <n v="46"/>
    <x v="2"/>
    <x v="4"/>
  </r>
  <r>
    <n v="48"/>
    <x v="0"/>
    <x v="3"/>
    <n v="14"/>
    <n v="1"/>
    <n v="16.78605649"/>
    <n v="61"/>
    <n v="79"/>
    <n v="36"/>
    <x v="0"/>
    <x v="0"/>
    <x v="2"/>
    <x v="1"/>
    <n v="58.666666666666664"/>
    <x v="3"/>
    <x v="4"/>
  </r>
  <r>
    <n v="28"/>
    <x v="1"/>
    <x v="0"/>
    <n v="11"/>
    <n v="2"/>
    <n v="40.568145960000003"/>
    <n v="78"/>
    <n v="24"/>
    <n v="18"/>
    <x v="1"/>
    <x v="1"/>
    <x v="0"/>
    <x v="1"/>
    <n v="40"/>
    <x v="2"/>
    <x v="2"/>
  </r>
  <r>
    <n v="38"/>
    <x v="1"/>
    <x v="3"/>
    <n v="15"/>
    <n v="5"/>
    <n v="35.028033309999998"/>
    <n v="70"/>
    <n v="86"/>
    <n v="62"/>
    <x v="1"/>
    <x v="0"/>
    <x v="1"/>
    <x v="1"/>
    <n v="72.666666666666671"/>
    <x v="0"/>
    <x v="3"/>
  </r>
  <r>
    <n v="31"/>
    <x v="0"/>
    <x v="0"/>
    <n v="4"/>
    <n v="3"/>
    <n v="15.977815980000001"/>
    <n v="14"/>
    <n v="91"/>
    <n v="91"/>
    <x v="1"/>
    <x v="1"/>
    <x v="3"/>
    <x v="2"/>
    <n v="65.333333333333329"/>
    <x v="1"/>
    <x v="4"/>
  </r>
  <r>
    <n v="28"/>
    <x v="1"/>
    <x v="3"/>
    <n v="2"/>
    <n v="4"/>
    <n v="23.88719086"/>
    <n v="45"/>
    <n v="46"/>
    <n v="45"/>
    <x v="1"/>
    <x v="1"/>
    <x v="0"/>
    <x v="0"/>
    <n v="45.333333333333336"/>
    <x v="2"/>
    <x v="0"/>
  </r>
  <r>
    <n v="26"/>
    <x v="0"/>
    <x v="0"/>
    <n v="5"/>
    <n v="2"/>
    <n v="5.7779551979999999"/>
    <n v="63"/>
    <n v="79"/>
    <n v="93"/>
    <x v="0"/>
    <x v="0"/>
    <x v="0"/>
    <x v="2"/>
    <n v="78.333333333333329"/>
    <x v="0"/>
    <x v="1"/>
  </r>
  <r>
    <n v="47"/>
    <x v="0"/>
    <x v="2"/>
    <n v="5"/>
    <n v="3"/>
    <n v="45.907322239999999"/>
    <n v="45"/>
    <n v="55"/>
    <n v="70"/>
    <x v="1"/>
    <x v="1"/>
    <x v="2"/>
    <x v="2"/>
    <n v="56.666666666666664"/>
    <x v="3"/>
    <x v="2"/>
  </r>
  <r>
    <n v="33"/>
    <x v="1"/>
    <x v="0"/>
    <n v="14"/>
    <n v="4"/>
    <n v="47.77124122"/>
    <n v="55"/>
    <n v="37"/>
    <n v="25"/>
    <x v="1"/>
    <x v="1"/>
    <x v="3"/>
    <x v="1"/>
    <n v="39"/>
    <x v="2"/>
    <x v="2"/>
  </r>
  <r>
    <n v="50"/>
    <x v="0"/>
    <x v="2"/>
    <n v="13"/>
    <n v="1"/>
    <n v="49.990176769999998"/>
    <n v="43"/>
    <n v="10"/>
    <n v="45"/>
    <x v="1"/>
    <x v="1"/>
    <x v="2"/>
    <x v="1"/>
    <n v="32.666666666666664"/>
    <x v="2"/>
    <x v="2"/>
  </r>
  <r>
    <n v="39"/>
    <x v="1"/>
    <x v="0"/>
    <n v="7"/>
    <n v="4"/>
    <n v="44.427641540000003"/>
    <n v="74"/>
    <n v="66"/>
    <n v="45"/>
    <x v="1"/>
    <x v="1"/>
    <x v="1"/>
    <x v="2"/>
    <n v="61.666666666666664"/>
    <x v="1"/>
    <x v="2"/>
  </r>
  <r>
    <n v="38"/>
    <x v="1"/>
    <x v="1"/>
    <n v="1"/>
    <n v="3"/>
    <n v="9.6980443849999993"/>
    <n v="28"/>
    <n v="14"/>
    <n v="74"/>
    <x v="1"/>
    <x v="1"/>
    <x v="1"/>
    <x v="0"/>
    <n v="38.666666666666664"/>
    <x v="2"/>
    <x v="1"/>
  </r>
  <r>
    <n v="45"/>
    <x v="1"/>
    <x v="2"/>
    <n v="0"/>
    <n v="3"/>
    <n v="3.3098241599999998"/>
    <n v="94"/>
    <n v="0"/>
    <n v="13"/>
    <x v="1"/>
    <x v="1"/>
    <x v="4"/>
    <x v="0"/>
    <n v="35.666666666666664"/>
    <x v="2"/>
    <x v="1"/>
  </r>
  <r>
    <n v="34"/>
    <x v="1"/>
    <x v="0"/>
    <n v="15"/>
    <n v="1"/>
    <n v="29.979836370000001"/>
    <n v="61"/>
    <n v="6"/>
    <n v="84"/>
    <x v="1"/>
    <x v="1"/>
    <x v="3"/>
    <x v="1"/>
    <n v="50.333333333333336"/>
    <x v="3"/>
    <x v="0"/>
  </r>
  <r>
    <n v="35"/>
    <x v="0"/>
    <x v="3"/>
    <n v="3"/>
    <n v="4"/>
    <n v="46.630251340000001"/>
    <n v="88"/>
    <n v="0"/>
    <n v="62"/>
    <x v="0"/>
    <x v="0"/>
    <x v="3"/>
    <x v="2"/>
    <n v="50"/>
    <x v="3"/>
    <x v="2"/>
  </r>
  <r>
    <n v="40"/>
    <x v="1"/>
    <x v="3"/>
    <n v="15"/>
    <n v="4"/>
    <n v="9.8675680830000001"/>
    <n v="51"/>
    <n v="48"/>
    <n v="71"/>
    <x v="0"/>
    <x v="0"/>
    <x v="1"/>
    <x v="1"/>
    <n v="56.666666666666664"/>
    <x v="3"/>
    <x v="1"/>
  </r>
  <r>
    <n v="24"/>
    <x v="0"/>
    <x v="0"/>
    <n v="6"/>
    <n v="1"/>
    <n v="1.352145731"/>
    <n v="53"/>
    <n v="95"/>
    <n v="2"/>
    <x v="1"/>
    <x v="1"/>
    <x v="5"/>
    <x v="2"/>
    <n v="50"/>
    <x v="3"/>
    <x v="1"/>
  </r>
  <r>
    <n v="22"/>
    <x v="0"/>
    <x v="0"/>
    <n v="14"/>
    <n v="4"/>
    <n v="41.274802299999998"/>
    <n v="87"/>
    <n v="72"/>
    <n v="27"/>
    <x v="0"/>
    <x v="0"/>
    <x v="5"/>
    <x v="1"/>
    <n v="62"/>
    <x v="1"/>
    <x v="2"/>
  </r>
  <r>
    <n v="31"/>
    <x v="0"/>
    <x v="0"/>
    <n v="15"/>
    <n v="1"/>
    <n v="4.8397842139999998"/>
    <n v="56"/>
    <n v="28"/>
    <n v="28"/>
    <x v="1"/>
    <x v="1"/>
    <x v="3"/>
    <x v="1"/>
    <n v="37.333333333333336"/>
    <x v="2"/>
    <x v="1"/>
  </r>
  <r>
    <n v="44"/>
    <x v="0"/>
    <x v="0"/>
    <n v="10"/>
    <n v="2"/>
    <n v="21.685301599999999"/>
    <n v="82"/>
    <n v="25"/>
    <n v="86"/>
    <x v="1"/>
    <x v="1"/>
    <x v="4"/>
    <x v="1"/>
    <n v="64.333333333333329"/>
    <x v="1"/>
    <x v="0"/>
  </r>
  <r>
    <n v="39"/>
    <x v="1"/>
    <x v="3"/>
    <n v="9"/>
    <n v="3"/>
    <n v="34.944366860000002"/>
    <n v="65"/>
    <n v="86"/>
    <n v="17"/>
    <x v="2"/>
    <x v="1"/>
    <x v="1"/>
    <x v="1"/>
    <n v="56"/>
    <x v="3"/>
    <x v="3"/>
  </r>
  <r>
    <n v="46"/>
    <x v="1"/>
    <x v="1"/>
    <n v="2"/>
    <n v="2"/>
    <n v="12.839879270000001"/>
    <n v="21"/>
    <n v="44"/>
    <n v="34"/>
    <x v="2"/>
    <x v="1"/>
    <x v="2"/>
    <x v="0"/>
    <n v="33"/>
    <x v="2"/>
    <x v="4"/>
  </r>
  <r>
    <n v="40"/>
    <x v="0"/>
    <x v="3"/>
    <n v="2"/>
    <n v="5"/>
    <n v="5.1981281719999997"/>
    <n v="19"/>
    <n v="92"/>
    <n v="76"/>
    <x v="0"/>
    <x v="0"/>
    <x v="1"/>
    <x v="0"/>
    <n v="62.333333333333336"/>
    <x v="1"/>
    <x v="1"/>
  </r>
  <r>
    <n v="23"/>
    <x v="0"/>
    <x v="3"/>
    <n v="15"/>
    <n v="5"/>
    <n v="39.501061419999999"/>
    <n v="32"/>
    <n v="96"/>
    <n v="75"/>
    <x v="2"/>
    <x v="0"/>
    <x v="5"/>
    <x v="1"/>
    <n v="67.666666666666671"/>
    <x v="1"/>
    <x v="3"/>
  </r>
  <r>
    <n v="40"/>
    <x v="1"/>
    <x v="2"/>
    <n v="4"/>
    <n v="5"/>
    <n v="32.508754240000002"/>
    <n v="71"/>
    <n v="70"/>
    <n v="46"/>
    <x v="1"/>
    <x v="1"/>
    <x v="1"/>
    <x v="2"/>
    <n v="62.333333333333336"/>
    <x v="1"/>
    <x v="3"/>
  </r>
  <r>
    <n v="42"/>
    <x v="0"/>
    <x v="3"/>
    <n v="4"/>
    <n v="1"/>
    <n v="50.424524220000002"/>
    <n v="24"/>
    <n v="11"/>
    <n v="4"/>
    <x v="1"/>
    <x v="1"/>
    <x v="4"/>
    <x v="2"/>
    <n v="13"/>
    <x v="2"/>
    <x v="5"/>
  </r>
  <r>
    <n v="35"/>
    <x v="1"/>
    <x v="3"/>
    <n v="12"/>
    <n v="4"/>
    <n v="18.215401669999999"/>
    <n v="45"/>
    <n v="94"/>
    <n v="74"/>
    <x v="0"/>
    <x v="0"/>
    <x v="3"/>
    <x v="1"/>
    <n v="71"/>
    <x v="0"/>
    <x v="4"/>
  </r>
  <r>
    <n v="44"/>
    <x v="0"/>
    <x v="2"/>
    <n v="9"/>
    <n v="2"/>
    <n v="4.0881193150000001"/>
    <n v="72"/>
    <n v="31"/>
    <n v="58"/>
    <x v="2"/>
    <x v="1"/>
    <x v="4"/>
    <x v="1"/>
    <n v="53.666666666666664"/>
    <x v="3"/>
    <x v="1"/>
  </r>
  <r>
    <n v="26"/>
    <x v="1"/>
    <x v="3"/>
    <n v="2"/>
    <n v="2"/>
    <n v="37.717501769999998"/>
    <n v="97"/>
    <n v="19"/>
    <n v="74"/>
    <x v="0"/>
    <x v="0"/>
    <x v="0"/>
    <x v="0"/>
    <n v="63.333333333333336"/>
    <x v="1"/>
    <x v="3"/>
  </r>
  <r>
    <n v="32"/>
    <x v="0"/>
    <x v="0"/>
    <n v="8"/>
    <n v="2"/>
    <n v="27.086670940000001"/>
    <n v="56"/>
    <n v="50"/>
    <n v="58"/>
    <x v="2"/>
    <x v="1"/>
    <x v="3"/>
    <x v="1"/>
    <n v="54.666666666666664"/>
    <x v="3"/>
    <x v="0"/>
  </r>
  <r>
    <n v="40"/>
    <x v="0"/>
    <x v="0"/>
    <n v="3"/>
    <n v="2"/>
    <n v="11.66019657"/>
    <n v="86"/>
    <n v="80"/>
    <n v="46"/>
    <x v="0"/>
    <x v="0"/>
    <x v="1"/>
    <x v="2"/>
    <n v="70.666666666666671"/>
    <x v="0"/>
    <x v="4"/>
  </r>
  <r>
    <n v="29"/>
    <x v="1"/>
    <x v="3"/>
    <n v="12"/>
    <n v="5"/>
    <n v="40.086449450000003"/>
    <n v="4"/>
    <n v="35"/>
    <n v="94"/>
    <x v="1"/>
    <x v="1"/>
    <x v="0"/>
    <x v="1"/>
    <n v="44.333333333333336"/>
    <x v="2"/>
    <x v="2"/>
  </r>
  <r>
    <n v="45"/>
    <x v="0"/>
    <x v="0"/>
    <n v="12"/>
    <n v="2"/>
    <n v="11.18777429"/>
    <n v="54"/>
    <n v="66"/>
    <n v="94"/>
    <x v="1"/>
    <x v="1"/>
    <x v="4"/>
    <x v="1"/>
    <n v="71.333333333333329"/>
    <x v="0"/>
    <x v="4"/>
  </r>
  <r>
    <n v="26"/>
    <x v="0"/>
    <x v="2"/>
    <n v="14"/>
    <n v="4"/>
    <n v="14.033082739999999"/>
    <n v="60"/>
    <n v="0"/>
    <n v="12"/>
    <x v="0"/>
    <x v="1"/>
    <x v="0"/>
    <x v="1"/>
    <n v="24"/>
    <x v="2"/>
    <x v="4"/>
  </r>
  <r>
    <n v="33"/>
    <x v="1"/>
    <x v="0"/>
    <n v="2"/>
    <n v="5"/>
    <n v="5.6264277180000004"/>
    <n v="88"/>
    <n v="26"/>
    <n v="77"/>
    <x v="0"/>
    <x v="0"/>
    <x v="3"/>
    <x v="0"/>
    <n v="63.666666666666664"/>
    <x v="1"/>
    <x v="1"/>
  </r>
  <r>
    <n v="50"/>
    <x v="0"/>
    <x v="0"/>
    <n v="10"/>
    <n v="2"/>
    <n v="20.971613949999998"/>
    <n v="7"/>
    <n v="39"/>
    <n v="88"/>
    <x v="1"/>
    <x v="1"/>
    <x v="2"/>
    <x v="1"/>
    <n v="44.666666666666664"/>
    <x v="2"/>
    <x v="0"/>
  </r>
  <r>
    <n v="45"/>
    <x v="1"/>
    <x v="1"/>
    <n v="1"/>
    <n v="1"/>
    <n v="21.946461200000002"/>
    <n v="15"/>
    <n v="96"/>
    <n v="32"/>
    <x v="0"/>
    <x v="0"/>
    <x v="4"/>
    <x v="0"/>
    <n v="47.666666666666664"/>
    <x v="2"/>
    <x v="0"/>
  </r>
  <r>
    <n v="24"/>
    <x v="1"/>
    <x v="0"/>
    <n v="9"/>
    <n v="3"/>
    <n v="26.728089520000001"/>
    <n v="47"/>
    <n v="83"/>
    <n v="96"/>
    <x v="1"/>
    <x v="1"/>
    <x v="5"/>
    <x v="1"/>
    <n v="75.333333333333329"/>
    <x v="0"/>
    <x v="0"/>
  </r>
  <r>
    <n v="22"/>
    <x v="0"/>
    <x v="0"/>
    <n v="12"/>
    <n v="3"/>
    <n v="36.448213359999997"/>
    <n v="60"/>
    <n v="13"/>
    <n v="61"/>
    <x v="1"/>
    <x v="1"/>
    <x v="5"/>
    <x v="1"/>
    <n v="44.666666666666664"/>
    <x v="2"/>
    <x v="3"/>
  </r>
  <r>
    <n v="42"/>
    <x v="0"/>
    <x v="3"/>
    <n v="10"/>
    <n v="3"/>
    <n v="46.305046429999997"/>
    <n v="14"/>
    <n v="99"/>
    <n v="78"/>
    <x v="2"/>
    <x v="0"/>
    <x v="4"/>
    <x v="1"/>
    <n v="63.666666666666664"/>
    <x v="1"/>
    <x v="2"/>
  </r>
  <r>
    <n v="48"/>
    <x v="0"/>
    <x v="0"/>
    <n v="8"/>
    <n v="5"/>
    <n v="7.8867049439999999"/>
    <n v="64"/>
    <n v="68"/>
    <n v="15"/>
    <x v="1"/>
    <x v="1"/>
    <x v="2"/>
    <x v="1"/>
    <n v="49"/>
    <x v="2"/>
    <x v="1"/>
  </r>
  <r>
    <n v="30"/>
    <x v="0"/>
    <x v="0"/>
    <n v="3"/>
    <n v="2"/>
    <n v="3.7174049170000001"/>
    <n v="21"/>
    <n v="86"/>
    <n v="43"/>
    <x v="0"/>
    <x v="1"/>
    <x v="0"/>
    <x v="2"/>
    <n v="50"/>
    <x v="3"/>
    <x v="1"/>
  </r>
  <r>
    <n v="30"/>
    <x v="0"/>
    <x v="0"/>
    <n v="15"/>
    <n v="5"/>
    <n v="1.9265616800000001"/>
    <n v="2"/>
    <n v="78"/>
    <n v="57"/>
    <x v="1"/>
    <x v="1"/>
    <x v="0"/>
    <x v="1"/>
    <n v="45.666666666666664"/>
    <x v="2"/>
    <x v="1"/>
  </r>
  <r>
    <n v="37"/>
    <x v="0"/>
    <x v="3"/>
    <n v="2"/>
    <n v="4"/>
    <n v="8.1810689029999999"/>
    <n v="53"/>
    <n v="5"/>
    <n v="5"/>
    <x v="0"/>
    <x v="1"/>
    <x v="1"/>
    <x v="0"/>
    <n v="21"/>
    <x v="2"/>
    <x v="1"/>
  </r>
  <r>
    <n v="34"/>
    <x v="0"/>
    <x v="0"/>
    <n v="6"/>
    <n v="1"/>
    <n v="33.897474289999998"/>
    <n v="13"/>
    <n v="32"/>
    <n v="88"/>
    <x v="2"/>
    <x v="1"/>
    <x v="3"/>
    <x v="2"/>
    <n v="44.333333333333336"/>
    <x v="2"/>
    <x v="3"/>
  </r>
  <r>
    <n v="31"/>
    <x v="1"/>
    <x v="0"/>
    <n v="7"/>
    <n v="1"/>
    <n v="37.3738539"/>
    <n v="35"/>
    <n v="54"/>
    <n v="14"/>
    <x v="2"/>
    <x v="1"/>
    <x v="3"/>
    <x v="2"/>
    <n v="34.333333333333336"/>
    <x v="2"/>
    <x v="3"/>
  </r>
  <r>
    <n v="28"/>
    <x v="0"/>
    <x v="2"/>
    <n v="10"/>
    <n v="3"/>
    <n v="40.32528568"/>
    <n v="81"/>
    <n v="18"/>
    <n v="3"/>
    <x v="1"/>
    <x v="1"/>
    <x v="0"/>
    <x v="1"/>
    <n v="34"/>
    <x v="2"/>
    <x v="2"/>
  </r>
  <r>
    <n v="29"/>
    <x v="1"/>
    <x v="2"/>
    <n v="13"/>
    <n v="3"/>
    <n v="13.185410600000001"/>
    <n v="81"/>
    <n v="76"/>
    <n v="55"/>
    <x v="0"/>
    <x v="0"/>
    <x v="0"/>
    <x v="1"/>
    <n v="70.666666666666671"/>
    <x v="0"/>
    <x v="4"/>
  </r>
  <r>
    <n v="45"/>
    <x v="0"/>
    <x v="2"/>
    <n v="1"/>
    <n v="3"/>
    <n v="16.294740659999999"/>
    <n v="66"/>
    <n v="28"/>
    <n v="63"/>
    <x v="2"/>
    <x v="1"/>
    <x v="4"/>
    <x v="0"/>
    <n v="52.333333333333336"/>
    <x v="3"/>
    <x v="4"/>
  </r>
  <r>
    <n v="31"/>
    <x v="0"/>
    <x v="2"/>
    <n v="6"/>
    <n v="2"/>
    <n v="25.15673228"/>
    <n v="9"/>
    <n v="60"/>
    <n v="67"/>
    <x v="2"/>
    <x v="1"/>
    <x v="3"/>
    <x v="2"/>
    <n v="45.333333333333336"/>
    <x v="2"/>
    <x v="0"/>
  </r>
  <r>
    <n v="36"/>
    <x v="1"/>
    <x v="0"/>
    <n v="11"/>
    <n v="4"/>
    <n v="4.1591548429999996"/>
    <n v="48"/>
    <n v="69"/>
    <n v="93"/>
    <x v="2"/>
    <x v="1"/>
    <x v="1"/>
    <x v="1"/>
    <n v="70"/>
    <x v="0"/>
    <x v="1"/>
  </r>
  <r>
    <n v="48"/>
    <x v="0"/>
    <x v="3"/>
    <n v="4"/>
    <n v="4"/>
    <n v="31.557076160000001"/>
    <n v="64"/>
    <n v="78"/>
    <n v="33"/>
    <x v="2"/>
    <x v="1"/>
    <x v="2"/>
    <x v="2"/>
    <n v="58.333333333333336"/>
    <x v="3"/>
    <x v="3"/>
  </r>
  <r>
    <n v="25"/>
    <x v="0"/>
    <x v="0"/>
    <n v="14"/>
    <n v="4"/>
    <n v="50.18675168"/>
    <n v="90"/>
    <n v="79"/>
    <n v="90"/>
    <x v="1"/>
    <x v="0"/>
    <x v="5"/>
    <x v="1"/>
    <n v="86.333333333333329"/>
    <x v="4"/>
    <x v="5"/>
  </r>
  <r>
    <n v="26"/>
    <x v="1"/>
    <x v="3"/>
    <n v="10"/>
    <n v="4"/>
    <n v="19.040315570000001"/>
    <n v="56"/>
    <n v="23"/>
    <n v="94"/>
    <x v="0"/>
    <x v="0"/>
    <x v="0"/>
    <x v="1"/>
    <n v="57.666666666666664"/>
    <x v="3"/>
    <x v="4"/>
  </r>
  <r>
    <n v="33"/>
    <x v="0"/>
    <x v="1"/>
    <n v="4"/>
    <n v="3"/>
    <n v="38.642373749999997"/>
    <n v="26"/>
    <n v="22"/>
    <n v="55"/>
    <x v="1"/>
    <x v="1"/>
    <x v="3"/>
    <x v="2"/>
    <n v="34.333333333333336"/>
    <x v="2"/>
    <x v="3"/>
  </r>
  <r>
    <n v="32"/>
    <x v="0"/>
    <x v="3"/>
    <n v="2"/>
    <n v="1"/>
    <n v="26.001695779999999"/>
    <n v="74"/>
    <n v="9"/>
    <n v="31"/>
    <x v="1"/>
    <x v="1"/>
    <x v="3"/>
    <x v="0"/>
    <n v="38"/>
    <x v="2"/>
    <x v="0"/>
  </r>
  <r>
    <n v="27"/>
    <x v="0"/>
    <x v="0"/>
    <n v="4"/>
    <n v="3"/>
    <n v="7.3905922180000001"/>
    <n v="4"/>
    <n v="53"/>
    <n v="8"/>
    <x v="1"/>
    <x v="1"/>
    <x v="0"/>
    <x v="2"/>
    <n v="21.666666666666668"/>
    <x v="2"/>
    <x v="1"/>
  </r>
  <r>
    <n v="29"/>
    <x v="1"/>
    <x v="0"/>
    <n v="11"/>
    <n v="4"/>
    <n v="30.111872439999999"/>
    <n v="70"/>
    <n v="40"/>
    <n v="62"/>
    <x v="1"/>
    <x v="1"/>
    <x v="0"/>
    <x v="1"/>
    <n v="57.333333333333336"/>
    <x v="3"/>
    <x v="3"/>
  </r>
  <r>
    <n v="28"/>
    <x v="0"/>
    <x v="0"/>
    <n v="1"/>
    <n v="3"/>
    <n v="15.993713420000001"/>
    <n v="82"/>
    <n v="48"/>
    <n v="71"/>
    <x v="0"/>
    <x v="0"/>
    <x v="0"/>
    <x v="0"/>
    <n v="67"/>
    <x v="1"/>
    <x v="4"/>
  </r>
  <r>
    <n v="37"/>
    <x v="0"/>
    <x v="2"/>
    <n v="3"/>
    <n v="4"/>
    <n v="2.7201604229999998"/>
    <n v="56"/>
    <n v="16"/>
    <n v="77"/>
    <x v="1"/>
    <x v="1"/>
    <x v="1"/>
    <x v="2"/>
    <n v="49.666666666666664"/>
    <x v="2"/>
    <x v="1"/>
  </r>
  <r>
    <n v="46"/>
    <x v="0"/>
    <x v="0"/>
    <n v="5"/>
    <n v="5"/>
    <n v="32.746486509999997"/>
    <n v="92"/>
    <n v="55"/>
    <n v="32"/>
    <x v="1"/>
    <x v="1"/>
    <x v="2"/>
    <x v="2"/>
    <n v="59.666666666666664"/>
    <x v="3"/>
    <x v="3"/>
  </r>
  <r>
    <n v="45"/>
    <x v="0"/>
    <x v="1"/>
    <n v="0"/>
    <n v="1"/>
    <n v="43.94661747"/>
    <n v="14"/>
    <n v="44"/>
    <n v="86"/>
    <x v="0"/>
    <x v="0"/>
    <x v="4"/>
    <x v="0"/>
    <n v="48"/>
    <x v="2"/>
    <x v="2"/>
  </r>
  <r>
    <n v="21"/>
    <x v="1"/>
    <x v="3"/>
    <n v="9"/>
    <n v="5"/>
    <n v="18.23848834"/>
    <n v="98"/>
    <n v="29"/>
    <n v="20"/>
    <x v="1"/>
    <x v="1"/>
    <x v="5"/>
    <x v="1"/>
    <n v="49"/>
    <x v="2"/>
    <x v="4"/>
  </r>
  <r>
    <n v="24"/>
    <x v="1"/>
    <x v="0"/>
    <n v="3"/>
    <n v="2"/>
    <n v="20.51477736"/>
    <n v="100"/>
    <n v="43"/>
    <n v="54"/>
    <x v="2"/>
    <x v="1"/>
    <x v="5"/>
    <x v="2"/>
    <n v="65.666666666666671"/>
    <x v="1"/>
    <x v="0"/>
  </r>
  <r>
    <n v="48"/>
    <x v="0"/>
    <x v="0"/>
    <n v="5"/>
    <n v="3"/>
    <n v="45.551084150000001"/>
    <n v="75"/>
    <n v="73"/>
    <n v="75"/>
    <x v="2"/>
    <x v="1"/>
    <x v="2"/>
    <x v="2"/>
    <n v="74.333333333333329"/>
    <x v="0"/>
    <x v="2"/>
  </r>
  <r>
    <n v="24"/>
    <x v="0"/>
    <x v="3"/>
    <n v="8"/>
    <n v="2"/>
    <n v="41.680440670000003"/>
    <n v="29"/>
    <n v="54"/>
    <n v="56"/>
    <x v="1"/>
    <x v="1"/>
    <x v="5"/>
    <x v="1"/>
    <n v="46.333333333333336"/>
    <x v="2"/>
    <x v="2"/>
  </r>
  <r>
    <n v="25"/>
    <x v="1"/>
    <x v="2"/>
    <n v="13"/>
    <n v="3"/>
    <n v="36.747641180000002"/>
    <n v="19"/>
    <n v="18"/>
    <n v="1"/>
    <x v="1"/>
    <x v="1"/>
    <x v="5"/>
    <x v="1"/>
    <n v="12.666666666666666"/>
    <x v="2"/>
    <x v="3"/>
  </r>
  <r>
    <n v="38"/>
    <x v="1"/>
    <x v="0"/>
    <n v="10"/>
    <n v="5"/>
    <n v="13.439853189999999"/>
    <n v="36"/>
    <n v="28"/>
    <n v="12"/>
    <x v="0"/>
    <x v="1"/>
    <x v="1"/>
    <x v="1"/>
    <n v="25.333333333333332"/>
    <x v="2"/>
    <x v="4"/>
  </r>
  <r>
    <n v="27"/>
    <x v="0"/>
    <x v="3"/>
    <n v="15"/>
    <n v="4"/>
    <n v="46.510832749999999"/>
    <n v="2"/>
    <n v="1"/>
    <n v="3"/>
    <x v="1"/>
    <x v="1"/>
    <x v="0"/>
    <x v="1"/>
    <n v="2"/>
    <x v="2"/>
    <x v="2"/>
  </r>
  <r>
    <n v="35"/>
    <x v="1"/>
    <x v="0"/>
    <n v="10"/>
    <n v="4"/>
    <n v="8.7207878769999994"/>
    <n v="72"/>
    <n v="35"/>
    <n v="83"/>
    <x v="1"/>
    <x v="1"/>
    <x v="3"/>
    <x v="1"/>
    <n v="63.333333333333336"/>
    <x v="1"/>
    <x v="1"/>
  </r>
  <r>
    <n v="32"/>
    <x v="0"/>
    <x v="2"/>
    <n v="12"/>
    <n v="3"/>
    <n v="32.338525969999999"/>
    <n v="40"/>
    <n v="18"/>
    <n v="49"/>
    <x v="1"/>
    <x v="1"/>
    <x v="3"/>
    <x v="1"/>
    <n v="35.666666666666664"/>
    <x v="2"/>
    <x v="3"/>
  </r>
  <r>
    <n v="20"/>
    <x v="1"/>
    <x v="0"/>
    <n v="1"/>
    <n v="4"/>
    <n v="2.4400590270000002"/>
    <n v="38"/>
    <n v="6"/>
    <n v="47"/>
    <x v="2"/>
    <x v="1"/>
    <x v="5"/>
    <x v="0"/>
    <n v="30.333333333333332"/>
    <x v="2"/>
    <x v="1"/>
  </r>
  <r>
    <n v="41"/>
    <x v="1"/>
    <x v="3"/>
    <n v="10"/>
    <n v="5"/>
    <n v="33.185990320000002"/>
    <n v="25"/>
    <n v="25"/>
    <n v="77"/>
    <x v="1"/>
    <x v="1"/>
    <x v="4"/>
    <x v="1"/>
    <n v="42.333333333333336"/>
    <x v="2"/>
    <x v="3"/>
  </r>
  <r>
    <n v="39"/>
    <x v="1"/>
    <x v="0"/>
    <n v="6"/>
    <n v="4"/>
    <n v="14.857217589999999"/>
    <n v="1"/>
    <n v="78"/>
    <n v="29"/>
    <x v="0"/>
    <x v="0"/>
    <x v="1"/>
    <x v="2"/>
    <n v="36"/>
    <x v="2"/>
    <x v="4"/>
  </r>
  <r>
    <n v="36"/>
    <x v="1"/>
    <x v="0"/>
    <n v="5"/>
    <n v="5"/>
    <n v="23.483848859999998"/>
    <n v="22"/>
    <n v="37"/>
    <n v="28"/>
    <x v="0"/>
    <x v="1"/>
    <x v="1"/>
    <x v="2"/>
    <n v="29"/>
    <x v="2"/>
    <x v="0"/>
  </r>
  <r>
    <n v="50"/>
    <x v="0"/>
    <x v="0"/>
    <n v="1"/>
    <n v="2"/>
    <n v="18.2632276"/>
    <n v="22"/>
    <n v="2"/>
    <n v="7"/>
    <x v="1"/>
    <x v="1"/>
    <x v="2"/>
    <x v="0"/>
    <n v="10.333333333333334"/>
    <x v="2"/>
    <x v="4"/>
  </r>
  <r>
    <n v="26"/>
    <x v="1"/>
    <x v="0"/>
    <n v="7"/>
    <n v="5"/>
    <n v="9.6378378120000008"/>
    <n v="84"/>
    <n v="79"/>
    <n v="11"/>
    <x v="1"/>
    <x v="1"/>
    <x v="0"/>
    <x v="2"/>
    <n v="58"/>
    <x v="3"/>
    <x v="1"/>
  </r>
  <r>
    <n v="44"/>
    <x v="1"/>
    <x v="0"/>
    <n v="6"/>
    <n v="1"/>
    <n v="32.099039500000003"/>
    <n v="15"/>
    <n v="65"/>
    <n v="40"/>
    <x v="2"/>
    <x v="1"/>
    <x v="4"/>
    <x v="2"/>
    <n v="40"/>
    <x v="2"/>
    <x v="3"/>
  </r>
  <r>
    <n v="32"/>
    <x v="0"/>
    <x v="3"/>
    <n v="10"/>
    <n v="1"/>
    <n v="45.098777759999997"/>
    <n v="8"/>
    <n v="94"/>
    <n v="25"/>
    <x v="1"/>
    <x v="1"/>
    <x v="3"/>
    <x v="1"/>
    <n v="42.333333333333336"/>
    <x v="2"/>
    <x v="2"/>
  </r>
  <r>
    <n v="23"/>
    <x v="1"/>
    <x v="2"/>
    <n v="4"/>
    <n v="1"/>
    <n v="48.95421211"/>
    <n v="12"/>
    <n v="91"/>
    <n v="49"/>
    <x v="1"/>
    <x v="1"/>
    <x v="5"/>
    <x v="2"/>
    <n v="50.666666666666664"/>
    <x v="3"/>
    <x v="2"/>
  </r>
  <r>
    <n v="23"/>
    <x v="1"/>
    <x v="3"/>
    <n v="11"/>
    <n v="3"/>
    <n v="10.61731816"/>
    <n v="27"/>
    <n v="70"/>
    <n v="1"/>
    <x v="1"/>
    <x v="1"/>
    <x v="5"/>
    <x v="1"/>
    <n v="32.666666666666664"/>
    <x v="2"/>
    <x v="4"/>
  </r>
  <r>
    <n v="25"/>
    <x v="0"/>
    <x v="2"/>
    <n v="4"/>
    <n v="3"/>
    <n v="36.868638699999998"/>
    <n v="26"/>
    <n v="93"/>
    <n v="54"/>
    <x v="1"/>
    <x v="1"/>
    <x v="5"/>
    <x v="2"/>
    <n v="57.666666666666664"/>
    <x v="3"/>
    <x v="3"/>
  </r>
  <r>
    <n v="47"/>
    <x v="1"/>
    <x v="0"/>
    <n v="6"/>
    <n v="3"/>
    <n v="34.21696833"/>
    <n v="50"/>
    <n v="42"/>
    <n v="55"/>
    <x v="1"/>
    <x v="1"/>
    <x v="2"/>
    <x v="2"/>
    <n v="49"/>
    <x v="2"/>
    <x v="3"/>
  </r>
  <r>
    <n v="50"/>
    <x v="0"/>
    <x v="2"/>
    <n v="8"/>
    <n v="5"/>
    <n v="18.168889480000001"/>
    <n v="63"/>
    <n v="61"/>
    <n v="13"/>
    <x v="1"/>
    <x v="1"/>
    <x v="2"/>
    <x v="1"/>
    <n v="45.666666666666664"/>
    <x v="2"/>
    <x v="4"/>
  </r>
  <r>
    <n v="38"/>
    <x v="0"/>
    <x v="0"/>
    <n v="10"/>
    <n v="3"/>
    <n v="1.954959968"/>
    <n v="51"/>
    <n v="70"/>
    <n v="5"/>
    <x v="1"/>
    <x v="1"/>
    <x v="1"/>
    <x v="1"/>
    <n v="42"/>
    <x v="2"/>
    <x v="1"/>
  </r>
  <r>
    <n v="48"/>
    <x v="0"/>
    <x v="0"/>
    <n v="14"/>
    <n v="2"/>
    <n v="35.489562370000002"/>
    <n v="80"/>
    <n v="99"/>
    <n v="94"/>
    <x v="0"/>
    <x v="0"/>
    <x v="2"/>
    <x v="1"/>
    <n v="91"/>
    <x v="5"/>
    <x v="3"/>
  </r>
  <r>
    <n v="31"/>
    <x v="0"/>
    <x v="0"/>
    <n v="8"/>
    <n v="1"/>
    <n v="48.274743030000003"/>
    <n v="37"/>
    <n v="92"/>
    <n v="80"/>
    <x v="2"/>
    <x v="1"/>
    <x v="3"/>
    <x v="1"/>
    <n v="69.666666666666671"/>
    <x v="1"/>
    <x v="2"/>
  </r>
  <r>
    <n v="41"/>
    <x v="1"/>
    <x v="2"/>
    <n v="8"/>
    <n v="5"/>
    <n v="32.606006100000002"/>
    <n v="99"/>
    <n v="23"/>
    <n v="88"/>
    <x v="1"/>
    <x v="1"/>
    <x v="4"/>
    <x v="1"/>
    <n v="70"/>
    <x v="0"/>
    <x v="3"/>
  </r>
  <r>
    <n v="26"/>
    <x v="0"/>
    <x v="0"/>
    <n v="5"/>
    <n v="1"/>
    <n v="22.764636209999999"/>
    <n v="64"/>
    <n v="38"/>
    <n v="60"/>
    <x v="0"/>
    <x v="1"/>
    <x v="0"/>
    <x v="2"/>
    <n v="54"/>
    <x v="3"/>
    <x v="0"/>
  </r>
  <r>
    <n v="46"/>
    <x v="1"/>
    <x v="2"/>
    <n v="9"/>
    <n v="3"/>
    <n v="27.257694709999999"/>
    <n v="17"/>
    <n v="67"/>
    <n v="95"/>
    <x v="0"/>
    <x v="0"/>
    <x v="2"/>
    <x v="1"/>
    <n v="59.666666666666664"/>
    <x v="3"/>
    <x v="0"/>
  </r>
  <r>
    <n v="29"/>
    <x v="1"/>
    <x v="3"/>
    <n v="5"/>
    <n v="5"/>
    <n v="10.98144038"/>
    <n v="62"/>
    <n v="92"/>
    <n v="11"/>
    <x v="0"/>
    <x v="0"/>
    <x v="0"/>
    <x v="2"/>
    <n v="55"/>
    <x v="3"/>
    <x v="4"/>
  </r>
  <r>
    <n v="45"/>
    <x v="1"/>
    <x v="1"/>
    <n v="2"/>
    <n v="4"/>
    <n v="38.527208190000003"/>
    <n v="50"/>
    <n v="43"/>
    <n v="12"/>
    <x v="1"/>
    <x v="1"/>
    <x v="4"/>
    <x v="0"/>
    <n v="35"/>
    <x v="2"/>
    <x v="3"/>
  </r>
  <r>
    <n v="38"/>
    <x v="1"/>
    <x v="0"/>
    <n v="0"/>
    <n v="2"/>
    <n v="38.320991499999998"/>
    <n v="8"/>
    <n v="4"/>
    <n v="18"/>
    <x v="0"/>
    <x v="1"/>
    <x v="1"/>
    <x v="0"/>
    <n v="10"/>
    <x v="2"/>
    <x v="3"/>
  </r>
  <r>
    <n v="26"/>
    <x v="1"/>
    <x v="0"/>
    <n v="15"/>
    <n v="3"/>
    <n v="8.2758650189999994"/>
    <n v="12"/>
    <n v="54"/>
    <n v="43"/>
    <x v="0"/>
    <x v="0"/>
    <x v="0"/>
    <x v="1"/>
    <n v="36.333333333333336"/>
    <x v="2"/>
    <x v="1"/>
  </r>
  <r>
    <n v="49"/>
    <x v="1"/>
    <x v="0"/>
    <n v="6"/>
    <n v="3"/>
    <n v="44.898919120000002"/>
    <n v="39"/>
    <n v="92"/>
    <n v="88"/>
    <x v="1"/>
    <x v="1"/>
    <x v="2"/>
    <x v="2"/>
    <n v="73"/>
    <x v="0"/>
    <x v="2"/>
  </r>
  <r>
    <n v="22"/>
    <x v="1"/>
    <x v="2"/>
    <n v="3"/>
    <n v="2"/>
    <n v="14.45948697"/>
    <n v="54"/>
    <n v="29"/>
    <n v="94"/>
    <x v="1"/>
    <x v="1"/>
    <x v="5"/>
    <x v="2"/>
    <n v="59"/>
    <x v="3"/>
    <x v="4"/>
  </r>
  <r>
    <n v="32"/>
    <x v="1"/>
    <x v="0"/>
    <n v="0"/>
    <n v="2"/>
    <n v="50.112803049999997"/>
    <n v="78"/>
    <n v="28"/>
    <n v="58"/>
    <x v="0"/>
    <x v="1"/>
    <x v="3"/>
    <x v="0"/>
    <n v="54.666666666666664"/>
    <x v="3"/>
    <x v="5"/>
  </r>
  <r>
    <n v="32"/>
    <x v="1"/>
    <x v="3"/>
    <n v="14"/>
    <n v="4"/>
    <n v="20.145150699999999"/>
    <n v="42"/>
    <n v="25"/>
    <n v="36"/>
    <x v="1"/>
    <x v="1"/>
    <x v="3"/>
    <x v="1"/>
    <n v="34.333333333333336"/>
    <x v="2"/>
    <x v="0"/>
  </r>
  <r>
    <n v="37"/>
    <x v="1"/>
    <x v="0"/>
    <n v="7"/>
    <n v="3"/>
    <n v="9.8942029369999993"/>
    <n v="43"/>
    <n v="82"/>
    <n v="24"/>
    <x v="1"/>
    <x v="1"/>
    <x v="1"/>
    <x v="2"/>
    <n v="49.666666666666664"/>
    <x v="2"/>
    <x v="1"/>
  </r>
  <r>
    <n v="47"/>
    <x v="0"/>
    <x v="2"/>
    <n v="11"/>
    <n v="3"/>
    <n v="18.586005570000001"/>
    <n v="67"/>
    <n v="25"/>
    <n v="15"/>
    <x v="2"/>
    <x v="1"/>
    <x v="2"/>
    <x v="1"/>
    <n v="35.666666666666664"/>
    <x v="2"/>
    <x v="4"/>
  </r>
  <r>
    <n v="49"/>
    <x v="0"/>
    <x v="3"/>
    <n v="5"/>
    <n v="1"/>
    <n v="23.009016429999999"/>
    <n v="32"/>
    <n v="36"/>
    <n v="37"/>
    <x v="1"/>
    <x v="1"/>
    <x v="2"/>
    <x v="2"/>
    <n v="35"/>
    <x v="2"/>
    <x v="0"/>
  </r>
  <r>
    <n v="45"/>
    <x v="0"/>
    <x v="0"/>
    <n v="5"/>
    <n v="5"/>
    <n v="4.4653886519999997"/>
    <n v="23"/>
    <n v="90"/>
    <n v="42"/>
    <x v="0"/>
    <x v="1"/>
    <x v="4"/>
    <x v="2"/>
    <n v="51.666666666666664"/>
    <x v="3"/>
    <x v="1"/>
  </r>
  <r>
    <n v="39"/>
    <x v="1"/>
    <x v="3"/>
    <n v="1"/>
    <n v="5"/>
    <n v="29.910919060000001"/>
    <n v="35"/>
    <n v="93"/>
    <n v="86"/>
    <x v="1"/>
    <x v="1"/>
    <x v="1"/>
    <x v="0"/>
    <n v="71.333333333333329"/>
    <x v="0"/>
    <x v="0"/>
  </r>
  <r>
    <n v="47"/>
    <x v="0"/>
    <x v="0"/>
    <n v="14"/>
    <n v="1"/>
    <n v="30.881621989999999"/>
    <n v="9"/>
    <n v="52"/>
    <n v="13"/>
    <x v="1"/>
    <x v="1"/>
    <x v="2"/>
    <x v="1"/>
    <n v="24.666666666666668"/>
    <x v="2"/>
    <x v="3"/>
  </r>
  <r>
    <n v="27"/>
    <x v="0"/>
    <x v="0"/>
    <n v="0"/>
    <n v="5"/>
    <n v="37.946522770000001"/>
    <n v="99"/>
    <n v="29"/>
    <n v="5"/>
    <x v="0"/>
    <x v="1"/>
    <x v="0"/>
    <x v="0"/>
    <n v="44.333333333333336"/>
    <x v="2"/>
    <x v="3"/>
  </r>
  <r>
    <n v="48"/>
    <x v="0"/>
    <x v="2"/>
    <n v="12"/>
    <n v="2"/>
    <n v="2.4584946150000002"/>
    <n v="19"/>
    <n v="2"/>
    <n v="88"/>
    <x v="2"/>
    <x v="1"/>
    <x v="2"/>
    <x v="1"/>
    <n v="36.333333333333336"/>
    <x v="2"/>
    <x v="1"/>
  </r>
  <r>
    <n v="50"/>
    <x v="1"/>
    <x v="2"/>
    <n v="13"/>
    <n v="5"/>
    <n v="28.06191072"/>
    <n v="74"/>
    <n v="42"/>
    <n v="22"/>
    <x v="1"/>
    <x v="1"/>
    <x v="2"/>
    <x v="1"/>
    <n v="46"/>
    <x v="2"/>
    <x v="0"/>
  </r>
  <r>
    <n v="28"/>
    <x v="1"/>
    <x v="1"/>
    <n v="13"/>
    <n v="5"/>
    <n v="3.6453716639999998"/>
    <n v="11"/>
    <n v="6"/>
    <n v="59"/>
    <x v="2"/>
    <x v="1"/>
    <x v="0"/>
    <x v="1"/>
    <n v="25.333333333333332"/>
    <x v="2"/>
    <x v="1"/>
  </r>
  <r>
    <n v="26"/>
    <x v="1"/>
    <x v="0"/>
    <n v="1"/>
    <n v="1"/>
    <n v="36.057211000000002"/>
    <n v="61"/>
    <n v="48"/>
    <n v="11"/>
    <x v="1"/>
    <x v="1"/>
    <x v="0"/>
    <x v="0"/>
    <n v="40"/>
    <x v="2"/>
    <x v="3"/>
  </r>
  <r>
    <n v="20"/>
    <x v="1"/>
    <x v="1"/>
    <n v="3"/>
    <n v="4"/>
    <n v="3.7863992849999999"/>
    <n v="17"/>
    <n v="72"/>
    <n v="12"/>
    <x v="1"/>
    <x v="1"/>
    <x v="5"/>
    <x v="2"/>
    <n v="33.666666666666664"/>
    <x v="2"/>
    <x v="1"/>
  </r>
  <r>
    <n v="22"/>
    <x v="0"/>
    <x v="0"/>
    <n v="1"/>
    <n v="5"/>
    <n v="46.586392420000003"/>
    <n v="93"/>
    <n v="40"/>
    <n v="99"/>
    <x v="1"/>
    <x v="1"/>
    <x v="5"/>
    <x v="0"/>
    <n v="77.333333333333329"/>
    <x v="0"/>
    <x v="2"/>
  </r>
  <r>
    <n v="32"/>
    <x v="0"/>
    <x v="2"/>
    <n v="15"/>
    <n v="5"/>
    <n v="36.104128340000003"/>
    <n v="100"/>
    <n v="76"/>
    <n v="97"/>
    <x v="1"/>
    <x v="0"/>
    <x v="3"/>
    <x v="1"/>
    <n v="91"/>
    <x v="5"/>
    <x v="3"/>
  </r>
  <r>
    <n v="47"/>
    <x v="0"/>
    <x v="2"/>
    <n v="0"/>
    <n v="4"/>
    <n v="26.36948825"/>
    <n v="62"/>
    <n v="78"/>
    <n v="5"/>
    <x v="1"/>
    <x v="1"/>
    <x v="2"/>
    <x v="0"/>
    <n v="48.333333333333336"/>
    <x v="2"/>
    <x v="0"/>
  </r>
  <r>
    <n v="49"/>
    <x v="0"/>
    <x v="0"/>
    <n v="6"/>
    <n v="1"/>
    <n v="23.075196160000001"/>
    <n v="83"/>
    <n v="53"/>
    <n v="62"/>
    <x v="2"/>
    <x v="0"/>
    <x v="2"/>
    <x v="2"/>
    <n v="66"/>
    <x v="1"/>
    <x v="0"/>
  </r>
  <r>
    <n v="44"/>
    <x v="1"/>
    <x v="1"/>
    <n v="10"/>
    <n v="4"/>
    <n v="7.5336315210000002"/>
    <n v="24"/>
    <n v="68"/>
    <n v="37"/>
    <x v="1"/>
    <x v="1"/>
    <x v="4"/>
    <x v="1"/>
    <n v="43"/>
    <x v="2"/>
    <x v="1"/>
  </r>
  <r>
    <n v="50"/>
    <x v="1"/>
    <x v="0"/>
    <n v="10"/>
    <n v="1"/>
    <n v="15.54996948"/>
    <n v="11"/>
    <n v="92"/>
    <n v="49"/>
    <x v="2"/>
    <x v="1"/>
    <x v="2"/>
    <x v="1"/>
    <n v="50.666666666666664"/>
    <x v="3"/>
    <x v="4"/>
  </r>
  <r>
    <n v="47"/>
    <x v="1"/>
    <x v="0"/>
    <n v="14"/>
    <n v="2"/>
    <n v="44.44795525"/>
    <n v="20"/>
    <n v="98"/>
    <n v="51"/>
    <x v="2"/>
    <x v="1"/>
    <x v="2"/>
    <x v="1"/>
    <n v="56.333333333333336"/>
    <x v="3"/>
    <x v="2"/>
  </r>
  <r>
    <n v="36"/>
    <x v="0"/>
    <x v="0"/>
    <n v="11"/>
    <n v="1"/>
    <n v="46.222640579999997"/>
    <n v="24"/>
    <n v="90"/>
    <n v="39"/>
    <x v="2"/>
    <x v="1"/>
    <x v="1"/>
    <x v="1"/>
    <n v="51"/>
    <x v="3"/>
    <x v="2"/>
  </r>
  <r>
    <n v="44"/>
    <x v="1"/>
    <x v="2"/>
    <n v="7"/>
    <n v="2"/>
    <n v="1.037385419"/>
    <n v="10"/>
    <n v="26"/>
    <n v="7"/>
    <x v="1"/>
    <x v="1"/>
    <x v="4"/>
    <x v="2"/>
    <n v="14.333333333333334"/>
    <x v="2"/>
    <x v="1"/>
  </r>
  <r>
    <n v="43"/>
    <x v="1"/>
    <x v="0"/>
    <n v="5"/>
    <n v="2"/>
    <n v="30.70681957"/>
    <n v="63"/>
    <n v="7"/>
    <n v="60"/>
    <x v="1"/>
    <x v="1"/>
    <x v="4"/>
    <x v="2"/>
    <n v="43.333333333333336"/>
    <x v="2"/>
    <x v="3"/>
  </r>
  <r>
    <n v="20"/>
    <x v="0"/>
    <x v="2"/>
    <n v="3"/>
    <n v="1"/>
    <n v="36.96503045"/>
    <n v="72"/>
    <n v="31"/>
    <n v="7"/>
    <x v="0"/>
    <x v="1"/>
    <x v="5"/>
    <x v="2"/>
    <n v="36.666666666666664"/>
    <x v="2"/>
    <x v="3"/>
  </r>
  <r>
    <n v="25"/>
    <x v="0"/>
    <x v="3"/>
    <n v="13"/>
    <n v="3"/>
    <n v="31.93734912"/>
    <n v="49"/>
    <n v="83"/>
    <n v="96"/>
    <x v="1"/>
    <x v="0"/>
    <x v="5"/>
    <x v="1"/>
    <n v="76"/>
    <x v="0"/>
    <x v="3"/>
  </r>
  <r>
    <n v="40"/>
    <x v="1"/>
    <x v="0"/>
    <n v="5"/>
    <n v="1"/>
    <n v="5.0839882430000003"/>
    <n v="61"/>
    <n v="63"/>
    <n v="33"/>
    <x v="0"/>
    <x v="1"/>
    <x v="1"/>
    <x v="2"/>
    <n v="52.333333333333336"/>
    <x v="3"/>
    <x v="1"/>
  </r>
  <r>
    <n v="25"/>
    <x v="1"/>
    <x v="0"/>
    <n v="2"/>
    <n v="5"/>
    <n v="11.886244939999999"/>
    <n v="88"/>
    <n v="9"/>
    <n v="78"/>
    <x v="0"/>
    <x v="0"/>
    <x v="5"/>
    <x v="0"/>
    <n v="58.333333333333336"/>
    <x v="3"/>
    <x v="4"/>
  </r>
  <r>
    <n v="45"/>
    <x v="1"/>
    <x v="0"/>
    <n v="11"/>
    <n v="5"/>
    <n v="13.517013370000001"/>
    <n v="98"/>
    <n v="12"/>
    <n v="99"/>
    <x v="0"/>
    <x v="0"/>
    <x v="4"/>
    <x v="1"/>
    <n v="69.666666666666671"/>
    <x v="1"/>
    <x v="4"/>
  </r>
  <r>
    <n v="31"/>
    <x v="1"/>
    <x v="0"/>
    <n v="7"/>
    <n v="3"/>
    <n v="42.586231570000002"/>
    <n v="95"/>
    <n v="62"/>
    <n v="59"/>
    <x v="2"/>
    <x v="1"/>
    <x v="3"/>
    <x v="2"/>
    <n v="72"/>
    <x v="0"/>
    <x v="2"/>
  </r>
  <r>
    <n v="32"/>
    <x v="1"/>
    <x v="1"/>
    <n v="9"/>
    <n v="2"/>
    <n v="24.159971819999999"/>
    <n v="48"/>
    <n v="92"/>
    <n v="56"/>
    <x v="2"/>
    <x v="1"/>
    <x v="3"/>
    <x v="1"/>
    <n v="65.333333333333329"/>
    <x v="1"/>
    <x v="0"/>
  </r>
  <r>
    <n v="32"/>
    <x v="1"/>
    <x v="0"/>
    <n v="13"/>
    <n v="3"/>
    <n v="25.3414106"/>
    <n v="13"/>
    <n v="34"/>
    <n v="98"/>
    <x v="1"/>
    <x v="1"/>
    <x v="3"/>
    <x v="1"/>
    <n v="48.333333333333336"/>
    <x v="2"/>
    <x v="0"/>
  </r>
  <r>
    <n v="48"/>
    <x v="0"/>
    <x v="2"/>
    <n v="12"/>
    <n v="5"/>
    <n v="47.744652330000001"/>
    <n v="0"/>
    <n v="60"/>
    <n v="45"/>
    <x v="1"/>
    <x v="1"/>
    <x v="2"/>
    <x v="1"/>
    <n v="35"/>
    <x v="2"/>
    <x v="2"/>
  </r>
  <r>
    <n v="34"/>
    <x v="0"/>
    <x v="0"/>
    <n v="12"/>
    <n v="3"/>
    <n v="32.854294439999997"/>
    <n v="80"/>
    <n v="53"/>
    <n v="21"/>
    <x v="1"/>
    <x v="1"/>
    <x v="3"/>
    <x v="1"/>
    <n v="51.333333333333336"/>
    <x v="3"/>
    <x v="3"/>
  </r>
  <r>
    <n v="40"/>
    <x v="0"/>
    <x v="2"/>
    <n v="1"/>
    <n v="1"/>
    <n v="45.933385080000001"/>
    <n v="24"/>
    <n v="7"/>
    <n v="86"/>
    <x v="1"/>
    <x v="1"/>
    <x v="1"/>
    <x v="0"/>
    <n v="39"/>
    <x v="2"/>
    <x v="2"/>
  </r>
  <r>
    <n v="35"/>
    <x v="1"/>
    <x v="2"/>
    <n v="4"/>
    <n v="3"/>
    <n v="23.825442769999999"/>
    <n v="58"/>
    <n v="28"/>
    <n v="39"/>
    <x v="1"/>
    <x v="1"/>
    <x v="3"/>
    <x v="2"/>
    <n v="41.666666666666664"/>
    <x v="2"/>
    <x v="0"/>
  </r>
  <r>
    <n v="41"/>
    <x v="0"/>
    <x v="1"/>
    <n v="0"/>
    <n v="2"/>
    <n v="8.4718129260000001"/>
    <n v="71"/>
    <n v="94"/>
    <n v="44"/>
    <x v="1"/>
    <x v="1"/>
    <x v="4"/>
    <x v="0"/>
    <n v="69.666666666666671"/>
    <x v="1"/>
    <x v="1"/>
  </r>
  <r>
    <n v="40"/>
    <x v="1"/>
    <x v="3"/>
    <n v="5"/>
    <n v="1"/>
    <n v="47.496779699999998"/>
    <n v="68"/>
    <n v="40"/>
    <n v="54"/>
    <x v="1"/>
    <x v="1"/>
    <x v="1"/>
    <x v="2"/>
    <n v="54"/>
    <x v="3"/>
    <x v="2"/>
  </r>
  <r>
    <n v="30"/>
    <x v="1"/>
    <x v="1"/>
    <n v="1"/>
    <n v="4"/>
    <n v="23.935255779999999"/>
    <n v="4"/>
    <n v="29"/>
    <n v="50"/>
    <x v="1"/>
    <x v="1"/>
    <x v="0"/>
    <x v="0"/>
    <n v="27.666666666666668"/>
    <x v="2"/>
    <x v="0"/>
  </r>
  <r>
    <n v="47"/>
    <x v="0"/>
    <x v="0"/>
    <n v="3"/>
    <n v="5"/>
    <n v="10.081571090000001"/>
    <n v="98"/>
    <n v="85"/>
    <n v="85"/>
    <x v="1"/>
    <x v="1"/>
    <x v="2"/>
    <x v="2"/>
    <n v="89.333333333333329"/>
    <x v="4"/>
    <x v="4"/>
  </r>
  <r>
    <n v="24"/>
    <x v="1"/>
    <x v="0"/>
    <n v="5"/>
    <n v="5"/>
    <n v="16.11978702"/>
    <n v="18"/>
    <n v="20"/>
    <n v="4"/>
    <x v="1"/>
    <x v="1"/>
    <x v="5"/>
    <x v="2"/>
    <n v="14"/>
    <x v="2"/>
    <x v="4"/>
  </r>
  <r>
    <n v="23"/>
    <x v="1"/>
    <x v="2"/>
    <n v="9"/>
    <n v="3"/>
    <n v="3.5401294839999999"/>
    <n v="22"/>
    <n v="75"/>
    <n v="94"/>
    <x v="2"/>
    <x v="1"/>
    <x v="5"/>
    <x v="1"/>
    <n v="63.666666666666664"/>
    <x v="1"/>
    <x v="1"/>
  </r>
  <r>
    <n v="22"/>
    <x v="0"/>
    <x v="0"/>
    <n v="10"/>
    <n v="1"/>
    <n v="24.415029570000002"/>
    <n v="8"/>
    <n v="10"/>
    <n v="12"/>
    <x v="0"/>
    <x v="1"/>
    <x v="5"/>
    <x v="1"/>
    <n v="10"/>
    <x v="2"/>
    <x v="0"/>
  </r>
  <r>
    <n v="38"/>
    <x v="0"/>
    <x v="3"/>
    <n v="7"/>
    <n v="4"/>
    <n v="43.656408599999999"/>
    <n v="93"/>
    <n v="1"/>
    <n v="27"/>
    <x v="1"/>
    <x v="1"/>
    <x v="1"/>
    <x v="2"/>
    <n v="40.333333333333336"/>
    <x v="2"/>
    <x v="2"/>
  </r>
  <r>
    <n v="39"/>
    <x v="0"/>
    <x v="0"/>
    <n v="11"/>
    <n v="1"/>
    <n v="47.679022799999998"/>
    <n v="49"/>
    <n v="49"/>
    <n v="83"/>
    <x v="1"/>
    <x v="1"/>
    <x v="1"/>
    <x v="1"/>
    <n v="60.333333333333336"/>
    <x v="1"/>
    <x v="2"/>
  </r>
  <r>
    <n v="44"/>
    <x v="1"/>
    <x v="3"/>
    <n v="7"/>
    <n v="5"/>
    <n v="47.630110379999998"/>
    <n v="15"/>
    <n v="40"/>
    <n v="96"/>
    <x v="0"/>
    <x v="0"/>
    <x v="4"/>
    <x v="2"/>
    <n v="50.333333333333336"/>
    <x v="3"/>
    <x v="2"/>
  </r>
  <r>
    <n v="37"/>
    <x v="0"/>
    <x v="3"/>
    <n v="10"/>
    <n v="1"/>
    <n v="7.2615012810000001"/>
    <n v="32"/>
    <n v="65"/>
    <n v="79"/>
    <x v="1"/>
    <x v="0"/>
    <x v="1"/>
    <x v="1"/>
    <n v="58.666666666666664"/>
    <x v="3"/>
    <x v="1"/>
  </r>
  <r>
    <n v="34"/>
    <x v="0"/>
    <x v="2"/>
    <n v="5"/>
    <n v="4"/>
    <n v="20.10269413"/>
    <n v="1"/>
    <n v="97"/>
    <n v="61"/>
    <x v="0"/>
    <x v="0"/>
    <x v="3"/>
    <x v="2"/>
    <n v="53"/>
    <x v="3"/>
    <x v="0"/>
  </r>
  <r>
    <n v="28"/>
    <x v="1"/>
    <x v="0"/>
    <n v="3"/>
    <n v="3"/>
    <n v="2.4114379829999999"/>
    <n v="13"/>
    <n v="2"/>
    <n v="92"/>
    <x v="1"/>
    <x v="1"/>
    <x v="0"/>
    <x v="2"/>
    <n v="35.666666666666664"/>
    <x v="2"/>
    <x v="1"/>
  </r>
  <r>
    <n v="36"/>
    <x v="0"/>
    <x v="0"/>
    <n v="7"/>
    <n v="2"/>
    <n v="43.758267250000003"/>
    <n v="0"/>
    <n v="79"/>
    <n v="86"/>
    <x v="1"/>
    <x v="1"/>
    <x v="1"/>
    <x v="2"/>
    <n v="55"/>
    <x v="3"/>
    <x v="2"/>
  </r>
  <r>
    <n v="33"/>
    <x v="0"/>
    <x v="0"/>
    <n v="12"/>
    <n v="1"/>
    <n v="18.937788099999999"/>
    <n v="89"/>
    <n v="50"/>
    <n v="23"/>
    <x v="1"/>
    <x v="1"/>
    <x v="3"/>
    <x v="1"/>
    <n v="54"/>
    <x v="3"/>
    <x v="4"/>
  </r>
  <r>
    <n v="34"/>
    <x v="0"/>
    <x v="3"/>
    <n v="7"/>
    <n v="2"/>
    <n v="32.555851390000001"/>
    <n v="57"/>
    <n v="67"/>
    <n v="97"/>
    <x v="1"/>
    <x v="0"/>
    <x v="3"/>
    <x v="2"/>
    <n v="73.666666666666671"/>
    <x v="0"/>
    <x v="3"/>
  </r>
  <r>
    <n v="50"/>
    <x v="1"/>
    <x v="0"/>
    <n v="9"/>
    <n v="5"/>
    <n v="36.744921900000001"/>
    <n v="88"/>
    <n v="86"/>
    <n v="6"/>
    <x v="0"/>
    <x v="0"/>
    <x v="2"/>
    <x v="1"/>
    <n v="60"/>
    <x v="1"/>
    <x v="3"/>
  </r>
  <r>
    <n v="20"/>
    <x v="1"/>
    <x v="2"/>
    <n v="13"/>
    <n v="3"/>
    <n v="22.49223349"/>
    <n v="15"/>
    <n v="83"/>
    <n v="37"/>
    <x v="1"/>
    <x v="1"/>
    <x v="5"/>
    <x v="1"/>
    <n v="45"/>
    <x v="2"/>
    <x v="0"/>
  </r>
  <r>
    <n v="40"/>
    <x v="1"/>
    <x v="0"/>
    <n v="0"/>
    <n v="3"/>
    <n v="16.322116829999999"/>
    <n v="78"/>
    <n v="24"/>
    <n v="36"/>
    <x v="0"/>
    <x v="1"/>
    <x v="1"/>
    <x v="0"/>
    <n v="46"/>
    <x v="2"/>
    <x v="4"/>
  </r>
  <r>
    <n v="41"/>
    <x v="1"/>
    <x v="1"/>
    <n v="15"/>
    <n v="1"/>
    <n v="49.110645509999998"/>
    <n v="89"/>
    <n v="29"/>
    <n v="67"/>
    <x v="2"/>
    <x v="0"/>
    <x v="4"/>
    <x v="1"/>
    <n v="61.666666666666664"/>
    <x v="1"/>
    <x v="2"/>
  </r>
  <r>
    <n v="41"/>
    <x v="0"/>
    <x v="2"/>
    <n v="3"/>
    <n v="3"/>
    <n v="49.224411250000003"/>
    <n v="46"/>
    <n v="81"/>
    <n v="97"/>
    <x v="2"/>
    <x v="1"/>
    <x v="4"/>
    <x v="2"/>
    <n v="74.666666666666671"/>
    <x v="0"/>
    <x v="2"/>
  </r>
  <r>
    <n v="22"/>
    <x v="1"/>
    <x v="3"/>
    <n v="3"/>
    <n v="1"/>
    <n v="15.4718184"/>
    <n v="43"/>
    <n v="10"/>
    <n v="41"/>
    <x v="1"/>
    <x v="1"/>
    <x v="5"/>
    <x v="2"/>
    <n v="31.333333333333332"/>
    <x v="2"/>
    <x v="4"/>
  </r>
  <r>
    <n v="35"/>
    <x v="1"/>
    <x v="0"/>
    <n v="6"/>
    <n v="1"/>
    <n v="24.981254839999998"/>
    <n v="79"/>
    <n v="92"/>
    <n v="85"/>
    <x v="2"/>
    <x v="0"/>
    <x v="3"/>
    <x v="2"/>
    <n v="85.333333333333329"/>
    <x v="4"/>
    <x v="0"/>
  </r>
  <r>
    <n v="42"/>
    <x v="0"/>
    <x v="3"/>
    <n v="15"/>
    <n v="2"/>
    <n v="49.642207929999998"/>
    <n v="13"/>
    <n v="16"/>
    <n v="4"/>
    <x v="1"/>
    <x v="1"/>
    <x v="4"/>
    <x v="1"/>
    <n v="11"/>
    <x v="2"/>
    <x v="2"/>
  </r>
  <r>
    <n v="44"/>
    <x v="0"/>
    <x v="3"/>
    <n v="13"/>
    <n v="3"/>
    <n v="1.2434203829999999"/>
    <n v="92"/>
    <n v="25"/>
    <n v="63"/>
    <x v="2"/>
    <x v="0"/>
    <x v="4"/>
    <x v="1"/>
    <n v="60"/>
    <x v="1"/>
    <x v="1"/>
  </r>
  <r>
    <n v="30"/>
    <x v="0"/>
    <x v="0"/>
    <n v="13"/>
    <n v="1"/>
    <n v="21.633912420000001"/>
    <n v="23"/>
    <n v="22"/>
    <n v="49"/>
    <x v="1"/>
    <x v="1"/>
    <x v="0"/>
    <x v="1"/>
    <n v="31.333333333333332"/>
    <x v="2"/>
    <x v="0"/>
  </r>
  <r>
    <n v="31"/>
    <x v="1"/>
    <x v="0"/>
    <n v="10"/>
    <n v="2"/>
    <n v="6.0228774840000003"/>
    <n v="54"/>
    <n v="55"/>
    <n v="86"/>
    <x v="0"/>
    <x v="0"/>
    <x v="3"/>
    <x v="1"/>
    <n v="65"/>
    <x v="1"/>
    <x v="1"/>
  </r>
  <r>
    <n v="29"/>
    <x v="1"/>
    <x v="3"/>
    <n v="6"/>
    <n v="4"/>
    <n v="26.457898279999998"/>
    <n v="14"/>
    <n v="51"/>
    <n v="14"/>
    <x v="2"/>
    <x v="1"/>
    <x v="0"/>
    <x v="2"/>
    <n v="26.333333333333332"/>
    <x v="2"/>
    <x v="0"/>
  </r>
  <r>
    <n v="35"/>
    <x v="1"/>
    <x v="0"/>
    <n v="15"/>
    <n v="2"/>
    <n v="2.233497727"/>
    <n v="82"/>
    <n v="47"/>
    <n v="94"/>
    <x v="0"/>
    <x v="0"/>
    <x v="3"/>
    <x v="1"/>
    <n v="74.333333333333329"/>
    <x v="0"/>
    <x v="1"/>
  </r>
  <r>
    <n v="27"/>
    <x v="0"/>
    <x v="3"/>
    <n v="12"/>
    <n v="2"/>
    <n v="21.34492157"/>
    <n v="71"/>
    <n v="19"/>
    <n v="72"/>
    <x v="0"/>
    <x v="0"/>
    <x v="0"/>
    <x v="1"/>
    <n v="54"/>
    <x v="3"/>
    <x v="0"/>
  </r>
  <r>
    <n v="25"/>
    <x v="0"/>
    <x v="2"/>
    <n v="10"/>
    <n v="1"/>
    <n v="12.034953740000001"/>
    <n v="33"/>
    <n v="1"/>
    <n v="52"/>
    <x v="0"/>
    <x v="1"/>
    <x v="5"/>
    <x v="1"/>
    <n v="28.666666666666668"/>
    <x v="2"/>
    <x v="4"/>
  </r>
  <r>
    <n v="31"/>
    <x v="1"/>
    <x v="3"/>
    <n v="14"/>
    <n v="5"/>
    <n v="27.665418119999998"/>
    <n v="1"/>
    <n v="87"/>
    <n v="24"/>
    <x v="1"/>
    <x v="1"/>
    <x v="3"/>
    <x v="1"/>
    <n v="37.333333333333336"/>
    <x v="2"/>
    <x v="0"/>
  </r>
  <r>
    <n v="43"/>
    <x v="0"/>
    <x v="3"/>
    <n v="7"/>
    <n v="5"/>
    <n v="50.79968246"/>
    <n v="26"/>
    <n v="30"/>
    <n v="88"/>
    <x v="1"/>
    <x v="1"/>
    <x v="4"/>
    <x v="2"/>
    <n v="48"/>
    <x v="2"/>
    <x v="5"/>
  </r>
  <r>
    <n v="47"/>
    <x v="0"/>
    <x v="1"/>
    <n v="15"/>
    <n v="5"/>
    <n v="41.026805260000003"/>
    <n v="73"/>
    <n v="26"/>
    <n v="84"/>
    <x v="1"/>
    <x v="0"/>
    <x v="2"/>
    <x v="1"/>
    <n v="61"/>
    <x v="1"/>
    <x v="2"/>
  </r>
  <r>
    <n v="40"/>
    <x v="0"/>
    <x v="2"/>
    <n v="10"/>
    <n v="2"/>
    <n v="43.282104580000002"/>
    <n v="98"/>
    <n v="1"/>
    <n v="8"/>
    <x v="2"/>
    <x v="1"/>
    <x v="1"/>
    <x v="1"/>
    <n v="35.666666666666664"/>
    <x v="2"/>
    <x v="2"/>
  </r>
  <r>
    <n v="27"/>
    <x v="1"/>
    <x v="0"/>
    <n v="4"/>
    <n v="1"/>
    <n v="32.763249369999997"/>
    <n v="86"/>
    <n v="77"/>
    <n v="37"/>
    <x v="0"/>
    <x v="0"/>
    <x v="0"/>
    <x v="2"/>
    <n v="66.666666666666671"/>
    <x v="1"/>
    <x v="3"/>
  </r>
  <r>
    <n v="45"/>
    <x v="0"/>
    <x v="0"/>
    <n v="6"/>
    <n v="3"/>
    <n v="3.0779924140000001"/>
    <n v="71"/>
    <n v="3"/>
    <n v="21"/>
    <x v="2"/>
    <x v="1"/>
    <x v="4"/>
    <x v="2"/>
    <n v="31.666666666666668"/>
    <x v="2"/>
    <x v="1"/>
  </r>
  <r>
    <n v="47"/>
    <x v="0"/>
    <x v="0"/>
    <n v="7"/>
    <n v="2"/>
    <n v="11.339883800000001"/>
    <n v="91"/>
    <n v="12"/>
    <n v="86"/>
    <x v="2"/>
    <x v="1"/>
    <x v="2"/>
    <x v="2"/>
    <n v="63"/>
    <x v="1"/>
    <x v="4"/>
  </r>
  <r>
    <n v="23"/>
    <x v="1"/>
    <x v="0"/>
    <n v="15"/>
    <n v="2"/>
    <n v="47.253227819999999"/>
    <n v="22"/>
    <n v="99"/>
    <n v="48"/>
    <x v="0"/>
    <x v="0"/>
    <x v="5"/>
    <x v="1"/>
    <n v="56.333333333333336"/>
    <x v="3"/>
    <x v="2"/>
  </r>
  <r>
    <n v="45"/>
    <x v="1"/>
    <x v="2"/>
    <n v="14"/>
    <n v="1"/>
    <n v="19.305655900000001"/>
    <n v="67"/>
    <n v="34"/>
    <n v="67"/>
    <x v="1"/>
    <x v="1"/>
    <x v="4"/>
    <x v="1"/>
    <n v="56"/>
    <x v="3"/>
    <x v="4"/>
  </r>
  <r>
    <n v="27"/>
    <x v="0"/>
    <x v="3"/>
    <n v="8"/>
    <n v="4"/>
    <n v="6.1818363239999998"/>
    <n v="13"/>
    <n v="71"/>
    <n v="92"/>
    <x v="2"/>
    <x v="0"/>
    <x v="0"/>
    <x v="1"/>
    <n v="58.666666666666664"/>
    <x v="3"/>
    <x v="1"/>
  </r>
  <r>
    <n v="45"/>
    <x v="0"/>
    <x v="0"/>
    <n v="2"/>
    <n v="2"/>
    <n v="36.120268289999999"/>
    <n v="62"/>
    <n v="65"/>
    <n v="14"/>
    <x v="1"/>
    <x v="1"/>
    <x v="4"/>
    <x v="0"/>
    <n v="47"/>
    <x v="2"/>
    <x v="3"/>
  </r>
  <r>
    <n v="47"/>
    <x v="1"/>
    <x v="2"/>
    <n v="2"/>
    <n v="4"/>
    <n v="15.9728862"/>
    <n v="92"/>
    <n v="5"/>
    <n v="64"/>
    <x v="1"/>
    <x v="1"/>
    <x v="2"/>
    <x v="0"/>
    <n v="53.666666666666664"/>
    <x v="3"/>
    <x v="4"/>
  </r>
  <r>
    <n v="37"/>
    <x v="1"/>
    <x v="0"/>
    <n v="3"/>
    <n v="4"/>
    <n v="14.442845650000001"/>
    <n v="64"/>
    <n v="30"/>
    <n v="53"/>
    <x v="1"/>
    <x v="1"/>
    <x v="1"/>
    <x v="2"/>
    <n v="49"/>
    <x v="2"/>
    <x v="4"/>
  </r>
  <r>
    <n v="47"/>
    <x v="0"/>
    <x v="0"/>
    <n v="4"/>
    <n v="5"/>
    <n v="50.898872779999998"/>
    <n v="67"/>
    <n v="9"/>
    <n v="29"/>
    <x v="1"/>
    <x v="1"/>
    <x v="2"/>
    <x v="2"/>
    <n v="35"/>
    <x v="2"/>
    <x v="5"/>
  </r>
  <r>
    <n v="47"/>
    <x v="0"/>
    <x v="2"/>
    <n v="9"/>
    <n v="1"/>
    <n v="43.906946249999997"/>
    <n v="62"/>
    <n v="20"/>
    <n v="92"/>
    <x v="0"/>
    <x v="0"/>
    <x v="2"/>
    <x v="1"/>
    <n v="58"/>
    <x v="3"/>
    <x v="2"/>
  </r>
  <r>
    <n v="24"/>
    <x v="0"/>
    <x v="1"/>
    <n v="0"/>
    <n v="4"/>
    <n v="21.396890920000001"/>
    <n v="95"/>
    <n v="73"/>
    <n v="19"/>
    <x v="1"/>
    <x v="1"/>
    <x v="5"/>
    <x v="0"/>
    <n v="62.333333333333336"/>
    <x v="1"/>
    <x v="0"/>
  </r>
  <r>
    <n v="28"/>
    <x v="0"/>
    <x v="1"/>
    <n v="14"/>
    <n v="1"/>
    <n v="50.01306039"/>
    <n v="96"/>
    <n v="22"/>
    <n v="32"/>
    <x v="0"/>
    <x v="0"/>
    <x v="0"/>
    <x v="1"/>
    <n v="50"/>
    <x v="3"/>
    <x v="5"/>
  </r>
  <r>
    <n v="23"/>
    <x v="1"/>
    <x v="0"/>
    <n v="14"/>
    <n v="5"/>
    <n v="33.505661170000003"/>
    <n v="89"/>
    <n v="2"/>
    <n v="99"/>
    <x v="1"/>
    <x v="1"/>
    <x v="5"/>
    <x v="1"/>
    <n v="63.333333333333336"/>
    <x v="1"/>
    <x v="3"/>
  </r>
  <r>
    <n v="46"/>
    <x v="0"/>
    <x v="2"/>
    <n v="6"/>
    <n v="1"/>
    <n v="38.101122590000003"/>
    <n v="80"/>
    <n v="31"/>
    <n v="85"/>
    <x v="2"/>
    <x v="1"/>
    <x v="2"/>
    <x v="2"/>
    <n v="65.333333333333329"/>
    <x v="1"/>
    <x v="3"/>
  </r>
  <r>
    <n v="41"/>
    <x v="0"/>
    <x v="3"/>
    <n v="8"/>
    <n v="2"/>
    <n v="2.5756521540000001"/>
    <n v="86"/>
    <n v="19"/>
    <n v="76"/>
    <x v="1"/>
    <x v="0"/>
    <x v="4"/>
    <x v="1"/>
    <n v="60.333333333333336"/>
    <x v="1"/>
    <x v="1"/>
  </r>
  <r>
    <n v="50"/>
    <x v="1"/>
    <x v="0"/>
    <n v="7"/>
    <n v="4"/>
    <n v="7.0802629670000004"/>
    <n v="63"/>
    <n v="73"/>
    <n v="6"/>
    <x v="2"/>
    <x v="1"/>
    <x v="2"/>
    <x v="2"/>
    <n v="47.333333333333336"/>
    <x v="2"/>
    <x v="1"/>
  </r>
  <r>
    <n v="36"/>
    <x v="0"/>
    <x v="0"/>
    <n v="14"/>
    <n v="1"/>
    <n v="32.654256320000002"/>
    <n v="31"/>
    <n v="28"/>
    <n v="7"/>
    <x v="1"/>
    <x v="1"/>
    <x v="1"/>
    <x v="1"/>
    <n v="22"/>
    <x v="2"/>
    <x v="3"/>
  </r>
  <r>
    <n v="28"/>
    <x v="1"/>
    <x v="0"/>
    <n v="14"/>
    <n v="3"/>
    <n v="45.951199129999999"/>
    <n v="78"/>
    <n v="51"/>
    <n v="27"/>
    <x v="1"/>
    <x v="1"/>
    <x v="0"/>
    <x v="1"/>
    <n v="52"/>
    <x v="3"/>
    <x v="2"/>
  </r>
  <r>
    <n v="20"/>
    <x v="0"/>
    <x v="0"/>
    <n v="4"/>
    <n v="1"/>
    <n v="32.1871863"/>
    <n v="12"/>
    <n v="45"/>
    <n v="44"/>
    <x v="1"/>
    <x v="1"/>
    <x v="5"/>
    <x v="2"/>
    <n v="33.666666666666664"/>
    <x v="2"/>
    <x v="3"/>
  </r>
  <r>
    <n v="40"/>
    <x v="0"/>
    <x v="0"/>
    <n v="13"/>
    <n v="4"/>
    <n v="7.7012447159999997"/>
    <n v="65"/>
    <n v="33"/>
    <n v="72"/>
    <x v="2"/>
    <x v="1"/>
    <x v="1"/>
    <x v="1"/>
    <n v="56.666666666666664"/>
    <x v="3"/>
    <x v="1"/>
  </r>
  <r>
    <n v="39"/>
    <x v="1"/>
    <x v="0"/>
    <n v="13"/>
    <n v="5"/>
    <n v="6.7880023119999997"/>
    <n v="18"/>
    <n v="100"/>
    <n v="88"/>
    <x v="1"/>
    <x v="1"/>
    <x v="1"/>
    <x v="1"/>
    <n v="68.666666666666671"/>
    <x v="1"/>
    <x v="1"/>
  </r>
  <r>
    <n v="32"/>
    <x v="1"/>
    <x v="0"/>
    <n v="3"/>
    <n v="5"/>
    <n v="43.209294790000001"/>
    <n v="23"/>
    <n v="83"/>
    <n v="79"/>
    <x v="0"/>
    <x v="0"/>
    <x v="3"/>
    <x v="2"/>
    <n v="61.666666666666664"/>
    <x v="1"/>
    <x v="2"/>
  </r>
  <r>
    <n v="47"/>
    <x v="0"/>
    <x v="1"/>
    <n v="11"/>
    <n v="4"/>
    <n v="7.9651169350000002"/>
    <n v="87"/>
    <n v="60"/>
    <n v="73"/>
    <x v="2"/>
    <x v="0"/>
    <x v="2"/>
    <x v="1"/>
    <n v="73.333333333333329"/>
    <x v="0"/>
    <x v="1"/>
  </r>
  <r>
    <n v="35"/>
    <x v="0"/>
    <x v="0"/>
    <n v="6"/>
    <n v="2"/>
    <n v="27.011598029999998"/>
    <n v="10"/>
    <n v="71"/>
    <n v="10"/>
    <x v="1"/>
    <x v="1"/>
    <x v="3"/>
    <x v="2"/>
    <n v="30.333333333333332"/>
    <x v="2"/>
    <x v="0"/>
  </r>
  <r>
    <n v="48"/>
    <x v="0"/>
    <x v="3"/>
    <n v="4"/>
    <n v="2"/>
    <n v="2.8556659980000001"/>
    <n v="58"/>
    <n v="70"/>
    <n v="30"/>
    <x v="0"/>
    <x v="0"/>
    <x v="2"/>
    <x v="2"/>
    <n v="52.666666666666664"/>
    <x v="3"/>
    <x v="1"/>
  </r>
  <r>
    <n v="32"/>
    <x v="1"/>
    <x v="3"/>
    <n v="6"/>
    <n v="5"/>
    <n v="5.0334883699999997"/>
    <n v="85"/>
    <n v="69"/>
    <n v="11"/>
    <x v="1"/>
    <x v="0"/>
    <x v="3"/>
    <x v="2"/>
    <n v="55"/>
    <x v="3"/>
    <x v="1"/>
  </r>
  <r>
    <n v="33"/>
    <x v="0"/>
    <x v="0"/>
    <n v="11"/>
    <n v="5"/>
    <n v="34.617413380000002"/>
    <n v="14"/>
    <n v="10"/>
    <n v="94"/>
    <x v="2"/>
    <x v="1"/>
    <x v="3"/>
    <x v="1"/>
    <n v="39.333333333333336"/>
    <x v="2"/>
    <x v="3"/>
  </r>
  <r>
    <n v="22"/>
    <x v="1"/>
    <x v="0"/>
    <n v="0"/>
    <n v="4"/>
    <n v="35.459070519999997"/>
    <n v="9"/>
    <n v="81"/>
    <n v="77"/>
    <x v="1"/>
    <x v="1"/>
    <x v="5"/>
    <x v="0"/>
    <n v="55.666666666666664"/>
    <x v="3"/>
    <x v="3"/>
  </r>
  <r>
    <n v="48"/>
    <x v="1"/>
    <x v="0"/>
    <n v="0"/>
    <n v="2"/>
    <n v="18.073470329999999"/>
    <n v="40"/>
    <n v="92"/>
    <n v="50"/>
    <x v="1"/>
    <x v="1"/>
    <x v="2"/>
    <x v="0"/>
    <n v="60.666666666666664"/>
    <x v="1"/>
    <x v="4"/>
  </r>
  <r>
    <n v="25"/>
    <x v="0"/>
    <x v="0"/>
    <n v="15"/>
    <n v="5"/>
    <n v="11.78048826"/>
    <n v="26"/>
    <n v="88"/>
    <n v="43"/>
    <x v="2"/>
    <x v="1"/>
    <x v="5"/>
    <x v="1"/>
    <n v="52.333333333333336"/>
    <x v="3"/>
    <x v="4"/>
  </r>
  <r>
    <n v="37"/>
    <x v="1"/>
    <x v="3"/>
    <n v="9"/>
    <n v="2"/>
    <n v="41.685513540000002"/>
    <n v="59"/>
    <n v="62"/>
    <n v="95"/>
    <x v="1"/>
    <x v="0"/>
    <x v="1"/>
    <x v="1"/>
    <n v="72"/>
    <x v="0"/>
    <x v="2"/>
  </r>
  <r>
    <n v="38"/>
    <x v="0"/>
    <x v="0"/>
    <n v="13"/>
    <n v="5"/>
    <n v="11.855161470000001"/>
    <n v="72"/>
    <n v="20"/>
    <n v="49"/>
    <x v="1"/>
    <x v="1"/>
    <x v="1"/>
    <x v="1"/>
    <n v="47"/>
    <x v="2"/>
    <x v="4"/>
  </r>
  <r>
    <n v="24"/>
    <x v="0"/>
    <x v="1"/>
    <n v="12"/>
    <n v="1"/>
    <n v="28.10135348"/>
    <n v="51"/>
    <n v="2"/>
    <n v="16"/>
    <x v="0"/>
    <x v="0"/>
    <x v="5"/>
    <x v="1"/>
    <n v="23"/>
    <x v="2"/>
    <x v="0"/>
  </r>
  <r>
    <n v="34"/>
    <x v="0"/>
    <x v="2"/>
    <n v="2"/>
    <n v="3"/>
    <n v="49.41044204"/>
    <n v="27"/>
    <n v="81"/>
    <n v="34"/>
    <x v="0"/>
    <x v="1"/>
    <x v="3"/>
    <x v="0"/>
    <n v="47.333333333333336"/>
    <x v="2"/>
    <x v="2"/>
  </r>
  <r>
    <n v="44"/>
    <x v="0"/>
    <x v="2"/>
    <n v="13"/>
    <n v="1"/>
    <n v="8.3926218929999994"/>
    <n v="64"/>
    <n v="87"/>
    <n v="0"/>
    <x v="1"/>
    <x v="1"/>
    <x v="4"/>
    <x v="1"/>
    <n v="50.333333333333336"/>
    <x v="3"/>
    <x v="1"/>
  </r>
  <r>
    <n v="21"/>
    <x v="0"/>
    <x v="0"/>
    <n v="10"/>
    <n v="5"/>
    <n v="48.043813370000002"/>
    <n v="16"/>
    <n v="9"/>
    <n v="28"/>
    <x v="2"/>
    <x v="1"/>
    <x v="5"/>
    <x v="1"/>
    <n v="17.666666666666668"/>
    <x v="2"/>
    <x v="2"/>
  </r>
  <r>
    <n v="29"/>
    <x v="1"/>
    <x v="0"/>
    <n v="1"/>
    <n v="3"/>
    <n v="10.144652649999999"/>
    <n v="94"/>
    <n v="26"/>
    <n v="50"/>
    <x v="0"/>
    <x v="1"/>
    <x v="0"/>
    <x v="0"/>
    <n v="56.666666666666664"/>
    <x v="3"/>
    <x v="4"/>
  </r>
  <r>
    <n v="43"/>
    <x v="1"/>
    <x v="0"/>
    <n v="1"/>
    <n v="3"/>
    <n v="29.372160399999999"/>
    <n v="43"/>
    <n v="11"/>
    <n v="63"/>
    <x v="1"/>
    <x v="1"/>
    <x v="4"/>
    <x v="0"/>
    <n v="39"/>
    <x v="2"/>
    <x v="0"/>
  </r>
  <r>
    <n v="49"/>
    <x v="0"/>
    <x v="0"/>
    <n v="6"/>
    <n v="5"/>
    <n v="19.850385599999999"/>
    <n v="9"/>
    <n v="6"/>
    <n v="3"/>
    <x v="0"/>
    <x v="1"/>
    <x v="2"/>
    <x v="2"/>
    <n v="6"/>
    <x v="2"/>
    <x v="4"/>
  </r>
  <r>
    <n v="37"/>
    <x v="0"/>
    <x v="0"/>
    <n v="11"/>
    <n v="5"/>
    <n v="49.246430080000003"/>
    <n v="62"/>
    <n v="16"/>
    <n v="86"/>
    <x v="1"/>
    <x v="1"/>
    <x v="1"/>
    <x v="1"/>
    <n v="54.666666666666664"/>
    <x v="3"/>
    <x v="2"/>
  </r>
  <r>
    <n v="46"/>
    <x v="1"/>
    <x v="2"/>
    <n v="9"/>
    <n v="2"/>
    <n v="14.67710145"/>
    <n v="100"/>
    <n v="64"/>
    <n v="27"/>
    <x v="0"/>
    <x v="0"/>
    <x v="2"/>
    <x v="1"/>
    <n v="63.666666666666664"/>
    <x v="1"/>
    <x v="4"/>
  </r>
  <r>
    <n v="32"/>
    <x v="1"/>
    <x v="1"/>
    <n v="1"/>
    <n v="5"/>
    <n v="20.982900099999998"/>
    <n v="92"/>
    <n v="63"/>
    <n v="15"/>
    <x v="0"/>
    <x v="0"/>
    <x v="3"/>
    <x v="0"/>
    <n v="56.666666666666664"/>
    <x v="3"/>
    <x v="0"/>
  </r>
  <r>
    <n v="24"/>
    <x v="1"/>
    <x v="0"/>
    <n v="10"/>
    <n v="4"/>
    <n v="50.143005889999998"/>
    <n v="81"/>
    <n v="25"/>
    <n v="62"/>
    <x v="0"/>
    <x v="0"/>
    <x v="5"/>
    <x v="1"/>
    <n v="56"/>
    <x v="3"/>
    <x v="5"/>
  </r>
  <r>
    <n v="42"/>
    <x v="1"/>
    <x v="3"/>
    <n v="3"/>
    <n v="5"/>
    <n v="27.823519560000001"/>
    <n v="46"/>
    <n v="14"/>
    <n v="75"/>
    <x v="1"/>
    <x v="1"/>
    <x v="4"/>
    <x v="2"/>
    <n v="45"/>
    <x v="2"/>
    <x v="0"/>
  </r>
  <r>
    <n v="43"/>
    <x v="0"/>
    <x v="3"/>
    <n v="1"/>
    <n v="4"/>
    <n v="26.131505780000001"/>
    <n v="37"/>
    <n v="32"/>
    <n v="52"/>
    <x v="1"/>
    <x v="1"/>
    <x v="4"/>
    <x v="0"/>
    <n v="40.333333333333336"/>
    <x v="2"/>
    <x v="0"/>
  </r>
  <r>
    <n v="20"/>
    <x v="0"/>
    <x v="1"/>
    <n v="5"/>
    <n v="5"/>
    <n v="13.88892441"/>
    <n v="69"/>
    <n v="61"/>
    <n v="84"/>
    <x v="0"/>
    <x v="0"/>
    <x v="5"/>
    <x v="2"/>
    <n v="71.333333333333329"/>
    <x v="0"/>
    <x v="4"/>
  </r>
  <r>
    <n v="41"/>
    <x v="1"/>
    <x v="2"/>
    <n v="7"/>
    <n v="2"/>
    <n v="36.068178019999998"/>
    <n v="75"/>
    <n v="100"/>
    <n v="16"/>
    <x v="2"/>
    <x v="1"/>
    <x v="4"/>
    <x v="2"/>
    <n v="63.666666666666664"/>
    <x v="1"/>
    <x v="3"/>
  </r>
  <r>
    <n v="20"/>
    <x v="0"/>
    <x v="3"/>
    <n v="9"/>
    <n v="4"/>
    <n v="1.7186475889999999"/>
    <n v="52"/>
    <n v="46"/>
    <n v="39"/>
    <x v="0"/>
    <x v="0"/>
    <x v="5"/>
    <x v="1"/>
    <n v="45.666666666666664"/>
    <x v="2"/>
    <x v="1"/>
  </r>
  <r>
    <n v="37"/>
    <x v="1"/>
    <x v="0"/>
    <n v="15"/>
    <n v="1"/>
    <n v="3.4756314850000001"/>
    <n v="77"/>
    <n v="94"/>
    <n v="12"/>
    <x v="1"/>
    <x v="1"/>
    <x v="1"/>
    <x v="1"/>
    <n v="61"/>
    <x v="1"/>
    <x v="1"/>
  </r>
  <r>
    <n v="34"/>
    <x v="0"/>
    <x v="0"/>
    <n v="3"/>
    <n v="4"/>
    <n v="30.967929359999999"/>
    <n v="43"/>
    <n v="34"/>
    <n v="51"/>
    <x v="2"/>
    <x v="1"/>
    <x v="3"/>
    <x v="2"/>
    <n v="42.666666666666664"/>
    <x v="2"/>
    <x v="3"/>
  </r>
  <r>
    <n v="36"/>
    <x v="1"/>
    <x v="0"/>
    <n v="14"/>
    <n v="2"/>
    <n v="18.083728690000001"/>
    <n v="73"/>
    <n v="64"/>
    <n v="57"/>
    <x v="1"/>
    <x v="1"/>
    <x v="1"/>
    <x v="1"/>
    <n v="64.666666666666671"/>
    <x v="1"/>
    <x v="4"/>
  </r>
  <r>
    <n v="30"/>
    <x v="0"/>
    <x v="3"/>
    <n v="4"/>
    <n v="4"/>
    <n v="48.665818610000002"/>
    <n v="53"/>
    <n v="71"/>
    <n v="95"/>
    <x v="1"/>
    <x v="1"/>
    <x v="0"/>
    <x v="2"/>
    <n v="73"/>
    <x v="0"/>
    <x v="2"/>
  </r>
  <r>
    <n v="40"/>
    <x v="1"/>
    <x v="0"/>
    <n v="3"/>
    <n v="5"/>
    <n v="46.159534540000003"/>
    <n v="19"/>
    <n v="75"/>
    <n v="36"/>
    <x v="0"/>
    <x v="1"/>
    <x v="1"/>
    <x v="2"/>
    <n v="43.333333333333336"/>
    <x v="2"/>
    <x v="2"/>
  </r>
  <r>
    <n v="45"/>
    <x v="1"/>
    <x v="3"/>
    <n v="2"/>
    <n v="5"/>
    <n v="36.685312930000002"/>
    <n v="78"/>
    <n v="82"/>
    <n v="78"/>
    <x v="1"/>
    <x v="0"/>
    <x v="4"/>
    <x v="0"/>
    <n v="79.333333333333329"/>
    <x v="0"/>
    <x v="3"/>
  </r>
  <r>
    <n v="50"/>
    <x v="0"/>
    <x v="0"/>
    <n v="4"/>
    <n v="2"/>
    <n v="41.90727906"/>
    <n v="30"/>
    <n v="24"/>
    <n v="75"/>
    <x v="1"/>
    <x v="1"/>
    <x v="2"/>
    <x v="2"/>
    <n v="43"/>
    <x v="2"/>
    <x v="2"/>
  </r>
  <r>
    <n v="44"/>
    <x v="1"/>
    <x v="3"/>
    <n v="13"/>
    <n v="3"/>
    <n v="34.366592480000001"/>
    <n v="6"/>
    <n v="56"/>
    <n v="60"/>
    <x v="2"/>
    <x v="1"/>
    <x v="4"/>
    <x v="1"/>
    <n v="40.666666666666664"/>
    <x v="2"/>
    <x v="3"/>
  </r>
  <r>
    <n v="41"/>
    <x v="0"/>
    <x v="1"/>
    <n v="8"/>
    <n v="5"/>
    <n v="7.2791051360000001"/>
    <n v="57"/>
    <n v="31"/>
    <n v="78"/>
    <x v="0"/>
    <x v="0"/>
    <x v="4"/>
    <x v="1"/>
    <n v="55.333333333333336"/>
    <x v="3"/>
    <x v="1"/>
  </r>
  <r>
    <n v="46"/>
    <x v="0"/>
    <x v="0"/>
    <n v="7"/>
    <n v="1"/>
    <n v="39.27716848"/>
    <n v="9"/>
    <n v="62"/>
    <n v="33"/>
    <x v="1"/>
    <x v="1"/>
    <x v="2"/>
    <x v="2"/>
    <n v="34.666666666666664"/>
    <x v="2"/>
    <x v="3"/>
  </r>
  <r>
    <n v="46"/>
    <x v="1"/>
    <x v="1"/>
    <n v="7"/>
    <n v="2"/>
    <n v="11.50959844"/>
    <n v="9"/>
    <n v="11"/>
    <n v="69"/>
    <x v="1"/>
    <x v="1"/>
    <x v="2"/>
    <x v="2"/>
    <n v="29.666666666666668"/>
    <x v="2"/>
    <x v="4"/>
  </r>
  <r>
    <n v="36"/>
    <x v="0"/>
    <x v="2"/>
    <n v="7"/>
    <n v="4"/>
    <n v="17.17214276"/>
    <n v="38"/>
    <n v="62"/>
    <n v="16"/>
    <x v="2"/>
    <x v="1"/>
    <x v="1"/>
    <x v="2"/>
    <n v="38.666666666666664"/>
    <x v="2"/>
    <x v="4"/>
  </r>
  <r>
    <n v="32"/>
    <x v="0"/>
    <x v="2"/>
    <n v="11"/>
    <n v="4"/>
    <n v="41.961710609999997"/>
    <n v="27"/>
    <n v="76"/>
    <n v="19"/>
    <x v="0"/>
    <x v="0"/>
    <x v="3"/>
    <x v="1"/>
    <n v="40.666666666666664"/>
    <x v="2"/>
    <x v="2"/>
  </r>
  <r>
    <n v="20"/>
    <x v="0"/>
    <x v="2"/>
    <n v="7"/>
    <n v="1"/>
    <n v="27.82628042"/>
    <n v="29"/>
    <n v="91"/>
    <n v="72"/>
    <x v="2"/>
    <x v="1"/>
    <x v="5"/>
    <x v="2"/>
    <n v="64"/>
    <x v="1"/>
    <x v="0"/>
  </r>
  <r>
    <n v="21"/>
    <x v="0"/>
    <x v="0"/>
    <n v="6"/>
    <n v="5"/>
    <n v="43.997035709999999"/>
    <n v="36"/>
    <n v="0"/>
    <n v="58"/>
    <x v="1"/>
    <x v="1"/>
    <x v="5"/>
    <x v="2"/>
    <n v="31.333333333333332"/>
    <x v="2"/>
    <x v="2"/>
  </r>
  <r>
    <n v="28"/>
    <x v="0"/>
    <x v="0"/>
    <n v="7"/>
    <n v="2"/>
    <n v="11.651765989999999"/>
    <n v="66"/>
    <n v="50"/>
    <n v="68"/>
    <x v="1"/>
    <x v="1"/>
    <x v="0"/>
    <x v="2"/>
    <n v="61.333333333333336"/>
    <x v="1"/>
    <x v="4"/>
  </r>
  <r>
    <n v="22"/>
    <x v="1"/>
    <x v="2"/>
    <n v="10"/>
    <n v="1"/>
    <n v="31.388921929999999"/>
    <n v="42"/>
    <n v="69"/>
    <n v="86"/>
    <x v="0"/>
    <x v="0"/>
    <x v="5"/>
    <x v="1"/>
    <n v="65.666666666666671"/>
    <x v="1"/>
    <x v="3"/>
  </r>
  <r>
    <n v="50"/>
    <x v="0"/>
    <x v="2"/>
    <n v="13"/>
    <n v="5"/>
    <n v="5.1895486269999997"/>
    <n v="78"/>
    <n v="7"/>
    <n v="32"/>
    <x v="1"/>
    <x v="1"/>
    <x v="2"/>
    <x v="1"/>
    <n v="39"/>
    <x v="2"/>
    <x v="1"/>
  </r>
  <r>
    <n v="20"/>
    <x v="0"/>
    <x v="1"/>
    <n v="15"/>
    <n v="2"/>
    <n v="33.153049680000002"/>
    <n v="84"/>
    <n v="67"/>
    <n v="77"/>
    <x v="1"/>
    <x v="0"/>
    <x v="5"/>
    <x v="1"/>
    <n v="76"/>
    <x v="0"/>
    <x v="3"/>
  </r>
  <r>
    <n v="40"/>
    <x v="0"/>
    <x v="3"/>
    <n v="7"/>
    <n v="4"/>
    <n v="39.12670189"/>
    <n v="51"/>
    <n v="4"/>
    <n v="16"/>
    <x v="1"/>
    <x v="1"/>
    <x v="1"/>
    <x v="2"/>
    <n v="23.666666666666668"/>
    <x v="2"/>
    <x v="3"/>
  </r>
  <r>
    <n v="35"/>
    <x v="0"/>
    <x v="3"/>
    <n v="12"/>
    <n v="2"/>
    <n v="30.246544700000001"/>
    <n v="100"/>
    <n v="88"/>
    <n v="56"/>
    <x v="0"/>
    <x v="0"/>
    <x v="3"/>
    <x v="1"/>
    <n v="81.333333333333329"/>
    <x v="4"/>
    <x v="3"/>
  </r>
  <r>
    <n v="42"/>
    <x v="0"/>
    <x v="3"/>
    <n v="13"/>
    <n v="3"/>
    <n v="14.31157507"/>
    <n v="55"/>
    <n v="85"/>
    <n v="82"/>
    <x v="0"/>
    <x v="0"/>
    <x v="4"/>
    <x v="1"/>
    <n v="74"/>
    <x v="0"/>
    <x v="4"/>
  </r>
  <r>
    <n v="25"/>
    <x v="1"/>
    <x v="3"/>
    <n v="7"/>
    <n v="2"/>
    <n v="2.5671334429999999"/>
    <n v="75"/>
    <n v="91"/>
    <n v="96"/>
    <x v="2"/>
    <x v="0"/>
    <x v="5"/>
    <x v="2"/>
    <n v="87.333333333333329"/>
    <x v="4"/>
    <x v="1"/>
  </r>
  <r>
    <n v="47"/>
    <x v="0"/>
    <x v="2"/>
    <n v="11"/>
    <n v="3"/>
    <n v="6.9724441979999998"/>
    <n v="67"/>
    <n v="38"/>
    <n v="0"/>
    <x v="2"/>
    <x v="1"/>
    <x v="2"/>
    <x v="1"/>
    <n v="35"/>
    <x v="2"/>
    <x v="1"/>
  </r>
  <r>
    <n v="36"/>
    <x v="1"/>
    <x v="0"/>
    <n v="9"/>
    <n v="2"/>
    <n v="32.115148949999998"/>
    <n v="8"/>
    <n v="22"/>
    <n v="12"/>
    <x v="1"/>
    <x v="1"/>
    <x v="1"/>
    <x v="1"/>
    <n v="14"/>
    <x v="2"/>
    <x v="3"/>
  </r>
  <r>
    <n v="24"/>
    <x v="1"/>
    <x v="3"/>
    <n v="6"/>
    <n v="3"/>
    <n v="47.721010839999998"/>
    <n v="91"/>
    <n v="67"/>
    <n v="26"/>
    <x v="0"/>
    <x v="0"/>
    <x v="5"/>
    <x v="2"/>
    <n v="61.333333333333336"/>
    <x v="1"/>
    <x v="2"/>
  </r>
  <r>
    <n v="50"/>
    <x v="1"/>
    <x v="0"/>
    <n v="11"/>
    <n v="4"/>
    <n v="11.3267202"/>
    <n v="22"/>
    <n v="51"/>
    <n v="69"/>
    <x v="1"/>
    <x v="1"/>
    <x v="2"/>
    <x v="1"/>
    <n v="47.333333333333336"/>
    <x v="2"/>
    <x v="4"/>
  </r>
  <r>
    <n v="24"/>
    <x v="1"/>
    <x v="0"/>
    <n v="0"/>
    <n v="5"/>
    <n v="37.75130746"/>
    <n v="62"/>
    <n v="3"/>
    <n v="58"/>
    <x v="1"/>
    <x v="1"/>
    <x v="5"/>
    <x v="0"/>
    <n v="41"/>
    <x v="2"/>
    <x v="3"/>
  </r>
  <r>
    <n v="25"/>
    <x v="0"/>
    <x v="2"/>
    <n v="3"/>
    <n v="3"/>
    <n v="44.322553159999998"/>
    <n v="60"/>
    <n v="46"/>
    <n v="5"/>
    <x v="2"/>
    <x v="1"/>
    <x v="5"/>
    <x v="2"/>
    <n v="37"/>
    <x v="2"/>
    <x v="2"/>
  </r>
  <r>
    <n v="22"/>
    <x v="1"/>
    <x v="0"/>
    <n v="12"/>
    <n v="3"/>
    <n v="27.044108919999999"/>
    <n v="39"/>
    <n v="20"/>
    <n v="96"/>
    <x v="1"/>
    <x v="1"/>
    <x v="5"/>
    <x v="1"/>
    <n v="51.666666666666664"/>
    <x v="3"/>
    <x v="0"/>
  </r>
  <r>
    <n v="40"/>
    <x v="1"/>
    <x v="0"/>
    <n v="12"/>
    <n v="4"/>
    <n v="34.463289789999997"/>
    <n v="43"/>
    <n v="100"/>
    <n v="93"/>
    <x v="2"/>
    <x v="1"/>
    <x v="1"/>
    <x v="1"/>
    <n v="78.666666666666671"/>
    <x v="0"/>
    <x v="3"/>
  </r>
  <r>
    <n v="42"/>
    <x v="0"/>
    <x v="0"/>
    <n v="15"/>
    <n v="3"/>
    <n v="41.750765829999999"/>
    <n v="85"/>
    <n v="55"/>
    <n v="98"/>
    <x v="2"/>
    <x v="0"/>
    <x v="4"/>
    <x v="1"/>
    <n v="79.333333333333329"/>
    <x v="0"/>
    <x v="2"/>
  </r>
  <r>
    <n v="24"/>
    <x v="0"/>
    <x v="0"/>
    <n v="3"/>
    <n v="1"/>
    <n v="14.03375789"/>
    <n v="23"/>
    <n v="65"/>
    <n v="22"/>
    <x v="2"/>
    <x v="1"/>
    <x v="5"/>
    <x v="2"/>
    <n v="36.666666666666664"/>
    <x v="2"/>
    <x v="4"/>
  </r>
  <r>
    <n v="40"/>
    <x v="0"/>
    <x v="0"/>
    <n v="4"/>
    <n v="4"/>
    <n v="15.84478371"/>
    <n v="50"/>
    <n v="58"/>
    <n v="9"/>
    <x v="0"/>
    <x v="1"/>
    <x v="1"/>
    <x v="2"/>
    <n v="39"/>
    <x v="2"/>
    <x v="4"/>
  </r>
  <r>
    <n v="24"/>
    <x v="1"/>
    <x v="2"/>
    <n v="9"/>
    <n v="1"/>
    <n v="1.0313758310000001"/>
    <n v="57"/>
    <n v="6"/>
    <n v="50"/>
    <x v="0"/>
    <x v="1"/>
    <x v="5"/>
    <x v="1"/>
    <n v="37.666666666666664"/>
    <x v="2"/>
    <x v="1"/>
  </r>
  <r>
    <n v="29"/>
    <x v="0"/>
    <x v="2"/>
    <n v="5"/>
    <n v="4"/>
    <n v="49.154706539999999"/>
    <n v="89"/>
    <n v="48"/>
    <n v="18"/>
    <x v="1"/>
    <x v="1"/>
    <x v="0"/>
    <x v="2"/>
    <n v="51.666666666666664"/>
    <x v="3"/>
    <x v="2"/>
  </r>
  <r>
    <n v="29"/>
    <x v="0"/>
    <x v="3"/>
    <n v="3"/>
    <n v="3"/>
    <n v="46.877244730000001"/>
    <n v="93"/>
    <n v="15"/>
    <n v="50"/>
    <x v="1"/>
    <x v="1"/>
    <x v="0"/>
    <x v="2"/>
    <n v="52.666666666666664"/>
    <x v="3"/>
    <x v="2"/>
  </r>
  <r>
    <n v="38"/>
    <x v="1"/>
    <x v="0"/>
    <n v="14"/>
    <n v="1"/>
    <n v="39.228413189999998"/>
    <n v="32"/>
    <n v="16"/>
    <n v="91"/>
    <x v="0"/>
    <x v="0"/>
    <x v="1"/>
    <x v="1"/>
    <n v="46.333333333333336"/>
    <x v="2"/>
    <x v="3"/>
  </r>
  <r>
    <n v="36"/>
    <x v="0"/>
    <x v="2"/>
    <n v="1"/>
    <n v="3"/>
    <n v="4.953801049"/>
    <n v="15"/>
    <n v="83"/>
    <n v="86"/>
    <x v="0"/>
    <x v="0"/>
    <x v="1"/>
    <x v="0"/>
    <n v="61.333333333333336"/>
    <x v="1"/>
    <x v="1"/>
  </r>
  <r>
    <n v="40"/>
    <x v="0"/>
    <x v="3"/>
    <n v="15"/>
    <n v="4"/>
    <n v="23.375144479999999"/>
    <n v="21"/>
    <n v="86"/>
    <n v="67"/>
    <x v="1"/>
    <x v="0"/>
    <x v="1"/>
    <x v="1"/>
    <n v="58"/>
    <x v="3"/>
    <x v="0"/>
  </r>
  <r>
    <n v="33"/>
    <x v="0"/>
    <x v="0"/>
    <n v="5"/>
    <n v="3"/>
    <n v="6.0945876989999999"/>
    <n v="56"/>
    <n v="97"/>
    <n v="83"/>
    <x v="1"/>
    <x v="1"/>
    <x v="3"/>
    <x v="2"/>
    <n v="78.666666666666671"/>
    <x v="0"/>
    <x v="1"/>
  </r>
  <r>
    <n v="28"/>
    <x v="0"/>
    <x v="0"/>
    <n v="14"/>
    <n v="1"/>
    <n v="1.7960133629999999"/>
    <n v="61"/>
    <n v="74"/>
    <n v="82"/>
    <x v="1"/>
    <x v="1"/>
    <x v="0"/>
    <x v="1"/>
    <n v="72.333333333333329"/>
    <x v="0"/>
    <x v="1"/>
  </r>
  <r>
    <n v="33"/>
    <x v="1"/>
    <x v="2"/>
    <n v="7"/>
    <n v="1"/>
    <n v="31.809148260000001"/>
    <n v="81"/>
    <n v="33"/>
    <n v="41"/>
    <x v="1"/>
    <x v="1"/>
    <x v="3"/>
    <x v="2"/>
    <n v="51.666666666666664"/>
    <x v="3"/>
    <x v="3"/>
  </r>
  <r>
    <n v="20"/>
    <x v="0"/>
    <x v="3"/>
    <n v="14"/>
    <n v="3"/>
    <n v="49.041470850000003"/>
    <n v="70"/>
    <n v="32"/>
    <n v="90"/>
    <x v="1"/>
    <x v="1"/>
    <x v="5"/>
    <x v="1"/>
    <n v="64"/>
    <x v="1"/>
    <x v="2"/>
  </r>
  <r>
    <n v="38"/>
    <x v="0"/>
    <x v="0"/>
    <n v="7"/>
    <n v="2"/>
    <n v="46.143401169999997"/>
    <n v="89"/>
    <n v="25"/>
    <n v="56"/>
    <x v="1"/>
    <x v="1"/>
    <x v="1"/>
    <x v="2"/>
    <n v="56.666666666666664"/>
    <x v="3"/>
    <x v="2"/>
  </r>
  <r>
    <n v="32"/>
    <x v="1"/>
    <x v="0"/>
    <n v="6"/>
    <n v="4"/>
    <n v="35.837740750000002"/>
    <n v="71"/>
    <n v="65"/>
    <n v="97"/>
    <x v="0"/>
    <x v="0"/>
    <x v="3"/>
    <x v="2"/>
    <n v="77.666666666666671"/>
    <x v="0"/>
    <x v="3"/>
  </r>
  <r>
    <n v="32"/>
    <x v="0"/>
    <x v="3"/>
    <n v="5"/>
    <n v="4"/>
    <n v="5.8320292079999998"/>
    <n v="69"/>
    <n v="62"/>
    <n v="67"/>
    <x v="1"/>
    <x v="1"/>
    <x v="3"/>
    <x v="2"/>
    <n v="66"/>
    <x v="1"/>
    <x v="1"/>
  </r>
  <r>
    <n v="23"/>
    <x v="1"/>
    <x v="0"/>
    <n v="1"/>
    <n v="3"/>
    <n v="14.708201880000001"/>
    <n v="29"/>
    <n v="86"/>
    <n v="37"/>
    <x v="1"/>
    <x v="1"/>
    <x v="5"/>
    <x v="0"/>
    <n v="50.666666666666664"/>
    <x v="3"/>
    <x v="4"/>
  </r>
  <r>
    <n v="49"/>
    <x v="0"/>
    <x v="0"/>
    <n v="14"/>
    <n v="2"/>
    <n v="17.002836340000002"/>
    <n v="22"/>
    <n v="40"/>
    <n v="61"/>
    <x v="0"/>
    <x v="0"/>
    <x v="2"/>
    <x v="1"/>
    <n v="41"/>
    <x v="2"/>
    <x v="4"/>
  </r>
  <r>
    <n v="20"/>
    <x v="1"/>
    <x v="2"/>
    <n v="6"/>
    <n v="1"/>
    <n v="39.157502890000004"/>
    <n v="31"/>
    <n v="85"/>
    <n v="6"/>
    <x v="1"/>
    <x v="1"/>
    <x v="5"/>
    <x v="2"/>
    <n v="40.666666666666664"/>
    <x v="2"/>
    <x v="3"/>
  </r>
  <r>
    <n v="36"/>
    <x v="1"/>
    <x v="0"/>
    <n v="10"/>
    <n v="5"/>
    <n v="41.112458959999998"/>
    <n v="85"/>
    <n v="57"/>
    <n v="70"/>
    <x v="1"/>
    <x v="0"/>
    <x v="1"/>
    <x v="1"/>
    <n v="70.666666666666671"/>
    <x v="0"/>
    <x v="2"/>
  </r>
  <r>
    <n v="27"/>
    <x v="1"/>
    <x v="2"/>
    <n v="11"/>
    <n v="5"/>
    <n v="20.255306149999999"/>
    <n v="56"/>
    <n v="97"/>
    <n v="49"/>
    <x v="1"/>
    <x v="1"/>
    <x v="0"/>
    <x v="1"/>
    <n v="67.333333333333329"/>
    <x v="1"/>
    <x v="0"/>
  </r>
  <r>
    <n v="21"/>
    <x v="1"/>
    <x v="0"/>
    <n v="13"/>
    <n v="3"/>
    <n v="21.894199830000002"/>
    <n v="8"/>
    <n v="78"/>
    <n v="51"/>
    <x v="1"/>
    <x v="1"/>
    <x v="5"/>
    <x v="1"/>
    <n v="45.666666666666664"/>
    <x v="2"/>
    <x v="0"/>
  </r>
  <r>
    <n v="47"/>
    <x v="0"/>
    <x v="3"/>
    <n v="15"/>
    <n v="2"/>
    <n v="3.2254519639999999"/>
    <n v="30"/>
    <n v="9"/>
    <n v="25"/>
    <x v="1"/>
    <x v="1"/>
    <x v="2"/>
    <x v="1"/>
    <n v="21.333333333333332"/>
    <x v="2"/>
    <x v="1"/>
  </r>
  <r>
    <n v="50"/>
    <x v="1"/>
    <x v="0"/>
    <n v="13"/>
    <n v="2"/>
    <n v="15.45683592"/>
    <n v="70"/>
    <n v="14"/>
    <n v="25"/>
    <x v="1"/>
    <x v="1"/>
    <x v="2"/>
    <x v="1"/>
    <n v="36.333333333333336"/>
    <x v="2"/>
    <x v="4"/>
  </r>
  <r>
    <n v="27"/>
    <x v="0"/>
    <x v="0"/>
    <n v="4"/>
    <n v="4"/>
    <n v="23.564258859999999"/>
    <n v="8"/>
    <n v="41"/>
    <n v="18"/>
    <x v="2"/>
    <x v="1"/>
    <x v="0"/>
    <x v="2"/>
    <n v="22.333333333333332"/>
    <x v="2"/>
    <x v="0"/>
  </r>
  <r>
    <n v="26"/>
    <x v="1"/>
    <x v="2"/>
    <n v="15"/>
    <n v="1"/>
    <n v="6.8491523189999999"/>
    <n v="12"/>
    <n v="92"/>
    <n v="8"/>
    <x v="0"/>
    <x v="0"/>
    <x v="0"/>
    <x v="1"/>
    <n v="37.333333333333336"/>
    <x v="2"/>
    <x v="1"/>
  </r>
  <r>
    <n v="45"/>
    <x v="1"/>
    <x v="0"/>
    <n v="5"/>
    <n v="2"/>
    <n v="23.66337304"/>
    <n v="57"/>
    <n v="56"/>
    <n v="60"/>
    <x v="2"/>
    <x v="1"/>
    <x v="4"/>
    <x v="2"/>
    <n v="57.666666666666664"/>
    <x v="3"/>
    <x v="0"/>
  </r>
  <r>
    <n v="45"/>
    <x v="1"/>
    <x v="0"/>
    <n v="9"/>
    <n v="5"/>
    <n v="43.658790609999997"/>
    <n v="2"/>
    <n v="86"/>
    <n v="19"/>
    <x v="1"/>
    <x v="1"/>
    <x v="4"/>
    <x v="1"/>
    <n v="35.666666666666664"/>
    <x v="2"/>
    <x v="2"/>
  </r>
  <r>
    <n v="21"/>
    <x v="0"/>
    <x v="3"/>
    <n v="7"/>
    <n v="1"/>
    <n v="30.066050990000001"/>
    <n v="34"/>
    <n v="16"/>
    <n v="49"/>
    <x v="0"/>
    <x v="0"/>
    <x v="5"/>
    <x v="2"/>
    <n v="33"/>
    <x v="2"/>
    <x v="3"/>
  </r>
  <r>
    <n v="41"/>
    <x v="1"/>
    <x v="2"/>
    <n v="15"/>
    <n v="1"/>
    <n v="4.9464927520000002"/>
    <n v="96"/>
    <n v="59"/>
    <n v="79"/>
    <x v="0"/>
    <x v="0"/>
    <x v="4"/>
    <x v="1"/>
    <n v="78"/>
    <x v="0"/>
    <x v="1"/>
  </r>
  <r>
    <n v="41"/>
    <x v="0"/>
    <x v="3"/>
    <n v="13"/>
    <n v="3"/>
    <n v="10.58356594"/>
    <n v="20"/>
    <n v="8"/>
    <n v="80"/>
    <x v="1"/>
    <x v="1"/>
    <x v="4"/>
    <x v="1"/>
    <n v="36"/>
    <x v="2"/>
    <x v="4"/>
  </r>
  <r>
    <n v="22"/>
    <x v="0"/>
    <x v="3"/>
    <n v="7"/>
    <n v="2"/>
    <n v="24.727217509999999"/>
    <n v="63"/>
    <n v="35"/>
    <n v="21"/>
    <x v="1"/>
    <x v="1"/>
    <x v="5"/>
    <x v="2"/>
    <n v="39.666666666666664"/>
    <x v="2"/>
    <x v="0"/>
  </r>
  <r>
    <n v="46"/>
    <x v="0"/>
    <x v="0"/>
    <n v="2"/>
    <n v="3"/>
    <n v="19.074357490000001"/>
    <n v="94"/>
    <n v="72"/>
    <n v="12"/>
    <x v="0"/>
    <x v="0"/>
    <x v="2"/>
    <x v="0"/>
    <n v="59.333333333333336"/>
    <x v="3"/>
    <x v="4"/>
  </r>
  <r>
    <n v="37"/>
    <x v="0"/>
    <x v="3"/>
    <n v="11"/>
    <n v="2"/>
    <n v="18.93635098"/>
    <n v="51"/>
    <n v="79"/>
    <n v="11"/>
    <x v="0"/>
    <x v="0"/>
    <x v="1"/>
    <x v="1"/>
    <n v="47"/>
    <x v="2"/>
    <x v="4"/>
  </r>
  <r>
    <n v="31"/>
    <x v="0"/>
    <x v="0"/>
    <n v="15"/>
    <n v="4"/>
    <n v="27.463372410000002"/>
    <n v="33"/>
    <n v="35"/>
    <n v="9"/>
    <x v="1"/>
    <x v="1"/>
    <x v="3"/>
    <x v="1"/>
    <n v="25.666666666666668"/>
    <x v="2"/>
    <x v="0"/>
  </r>
  <r>
    <n v="20"/>
    <x v="0"/>
    <x v="0"/>
    <n v="11"/>
    <n v="3"/>
    <n v="30.219796079999998"/>
    <n v="95"/>
    <n v="47"/>
    <n v="64"/>
    <x v="0"/>
    <x v="0"/>
    <x v="5"/>
    <x v="1"/>
    <n v="68.666666666666671"/>
    <x v="1"/>
    <x v="3"/>
  </r>
  <r>
    <n v="41"/>
    <x v="0"/>
    <x v="0"/>
    <n v="13"/>
    <n v="3"/>
    <n v="40.843078509999998"/>
    <n v="34"/>
    <n v="50"/>
    <n v="95"/>
    <x v="2"/>
    <x v="1"/>
    <x v="4"/>
    <x v="1"/>
    <n v="59.666666666666664"/>
    <x v="3"/>
    <x v="2"/>
  </r>
  <r>
    <n v="31"/>
    <x v="0"/>
    <x v="0"/>
    <n v="6"/>
    <n v="5"/>
    <n v="18.048328170000001"/>
    <n v="14"/>
    <n v="96"/>
    <n v="29"/>
    <x v="1"/>
    <x v="1"/>
    <x v="3"/>
    <x v="2"/>
    <n v="46.333333333333336"/>
    <x v="2"/>
    <x v="4"/>
  </r>
  <r>
    <n v="24"/>
    <x v="0"/>
    <x v="0"/>
    <n v="0"/>
    <n v="3"/>
    <n v="41.273314149999997"/>
    <n v="95"/>
    <n v="94"/>
    <n v="7"/>
    <x v="1"/>
    <x v="1"/>
    <x v="5"/>
    <x v="0"/>
    <n v="65.333333333333329"/>
    <x v="1"/>
    <x v="2"/>
  </r>
  <r>
    <n v="49"/>
    <x v="1"/>
    <x v="0"/>
    <n v="0"/>
    <n v="2"/>
    <n v="17.93056146"/>
    <n v="5"/>
    <n v="69"/>
    <n v="20"/>
    <x v="1"/>
    <x v="1"/>
    <x v="2"/>
    <x v="0"/>
    <n v="31.333333333333332"/>
    <x v="2"/>
    <x v="4"/>
  </r>
  <r>
    <n v="49"/>
    <x v="1"/>
    <x v="0"/>
    <n v="6"/>
    <n v="5"/>
    <n v="3.7716494470000002"/>
    <n v="84"/>
    <n v="73"/>
    <n v="21"/>
    <x v="0"/>
    <x v="0"/>
    <x v="2"/>
    <x v="2"/>
    <n v="59.333333333333336"/>
    <x v="3"/>
    <x v="1"/>
  </r>
  <r>
    <n v="46"/>
    <x v="1"/>
    <x v="0"/>
    <n v="14"/>
    <n v="3"/>
    <n v="28.709382550000001"/>
    <n v="96"/>
    <n v="79"/>
    <n v="17"/>
    <x v="2"/>
    <x v="1"/>
    <x v="2"/>
    <x v="1"/>
    <n v="64"/>
    <x v="1"/>
    <x v="0"/>
  </r>
  <r>
    <n v="44"/>
    <x v="1"/>
    <x v="2"/>
    <n v="14"/>
    <n v="3"/>
    <n v="30.39511624"/>
    <n v="31"/>
    <n v="67"/>
    <n v="65"/>
    <x v="0"/>
    <x v="0"/>
    <x v="4"/>
    <x v="1"/>
    <n v="54.333333333333336"/>
    <x v="3"/>
    <x v="3"/>
  </r>
  <r>
    <n v="36"/>
    <x v="1"/>
    <x v="1"/>
    <n v="9"/>
    <n v="4"/>
    <n v="47.727012279999997"/>
    <n v="51"/>
    <n v="21"/>
    <n v="47"/>
    <x v="1"/>
    <x v="1"/>
    <x v="1"/>
    <x v="1"/>
    <n v="39.666666666666664"/>
    <x v="2"/>
    <x v="2"/>
  </r>
  <r>
    <n v="35"/>
    <x v="0"/>
    <x v="3"/>
    <n v="8"/>
    <n v="3"/>
    <n v="37.303066299999998"/>
    <n v="82"/>
    <n v="76"/>
    <n v="43"/>
    <x v="1"/>
    <x v="0"/>
    <x v="3"/>
    <x v="1"/>
    <n v="67"/>
    <x v="1"/>
    <x v="3"/>
  </r>
  <r>
    <n v="50"/>
    <x v="0"/>
    <x v="0"/>
    <n v="6"/>
    <n v="1"/>
    <n v="46.888632620000003"/>
    <n v="96"/>
    <n v="79"/>
    <n v="8"/>
    <x v="0"/>
    <x v="0"/>
    <x v="2"/>
    <x v="2"/>
    <n v="61"/>
    <x v="1"/>
    <x v="2"/>
  </r>
  <r>
    <n v="34"/>
    <x v="0"/>
    <x v="2"/>
    <n v="9"/>
    <n v="5"/>
    <n v="46.417360510000002"/>
    <n v="27"/>
    <n v="92"/>
    <n v="66"/>
    <x v="1"/>
    <x v="1"/>
    <x v="3"/>
    <x v="1"/>
    <n v="61.666666666666664"/>
    <x v="1"/>
    <x v="2"/>
  </r>
  <r>
    <n v="42"/>
    <x v="0"/>
    <x v="3"/>
    <n v="4"/>
    <n v="1"/>
    <n v="31.228705510000001"/>
    <n v="94"/>
    <n v="5"/>
    <n v="53"/>
    <x v="2"/>
    <x v="1"/>
    <x v="4"/>
    <x v="2"/>
    <n v="50.666666666666664"/>
    <x v="3"/>
    <x v="3"/>
  </r>
  <r>
    <n v="34"/>
    <x v="0"/>
    <x v="3"/>
    <n v="7"/>
    <n v="5"/>
    <n v="27.388103269999998"/>
    <n v="84"/>
    <n v="25"/>
    <n v="25"/>
    <x v="1"/>
    <x v="1"/>
    <x v="3"/>
    <x v="2"/>
    <n v="44.666666666666664"/>
    <x v="2"/>
    <x v="0"/>
  </r>
  <r>
    <n v="24"/>
    <x v="0"/>
    <x v="3"/>
    <n v="1"/>
    <n v="4"/>
    <n v="28.872048360000001"/>
    <n v="97"/>
    <n v="74"/>
    <n v="84"/>
    <x v="2"/>
    <x v="0"/>
    <x v="5"/>
    <x v="0"/>
    <n v="85"/>
    <x v="4"/>
    <x v="0"/>
  </r>
  <r>
    <n v="40"/>
    <x v="0"/>
    <x v="0"/>
    <n v="8"/>
    <n v="3"/>
    <n v="49.916540380000001"/>
    <n v="63"/>
    <n v="87"/>
    <n v="93"/>
    <x v="2"/>
    <x v="1"/>
    <x v="1"/>
    <x v="1"/>
    <n v="81"/>
    <x v="4"/>
    <x v="2"/>
  </r>
  <r>
    <n v="33"/>
    <x v="1"/>
    <x v="0"/>
    <n v="5"/>
    <n v="3"/>
    <n v="39.658384589999997"/>
    <n v="78"/>
    <n v="92"/>
    <n v="91"/>
    <x v="1"/>
    <x v="1"/>
    <x v="3"/>
    <x v="2"/>
    <n v="87"/>
    <x v="4"/>
    <x v="3"/>
  </r>
  <r>
    <n v="21"/>
    <x v="1"/>
    <x v="2"/>
    <n v="12"/>
    <n v="3"/>
    <n v="6.3132952400000004"/>
    <n v="77"/>
    <n v="2"/>
    <n v="99"/>
    <x v="1"/>
    <x v="1"/>
    <x v="5"/>
    <x v="1"/>
    <n v="59.333333333333336"/>
    <x v="3"/>
    <x v="1"/>
  </r>
  <r>
    <n v="30"/>
    <x v="1"/>
    <x v="2"/>
    <n v="8"/>
    <n v="5"/>
    <n v="39.921420339999997"/>
    <n v="18"/>
    <n v="51"/>
    <n v="25"/>
    <x v="1"/>
    <x v="1"/>
    <x v="0"/>
    <x v="1"/>
    <n v="31.333333333333332"/>
    <x v="2"/>
    <x v="3"/>
  </r>
  <r>
    <n v="38"/>
    <x v="1"/>
    <x v="3"/>
    <n v="15"/>
    <n v="3"/>
    <n v="9.5269024449999993"/>
    <n v="14"/>
    <n v="73"/>
    <n v="33"/>
    <x v="1"/>
    <x v="1"/>
    <x v="1"/>
    <x v="1"/>
    <n v="40"/>
    <x v="2"/>
    <x v="1"/>
  </r>
  <r>
    <n v="26"/>
    <x v="0"/>
    <x v="3"/>
    <n v="1"/>
    <n v="1"/>
    <n v="23.367527450000001"/>
    <n v="5"/>
    <n v="59"/>
    <n v="7"/>
    <x v="0"/>
    <x v="0"/>
    <x v="0"/>
    <x v="0"/>
    <n v="23.666666666666668"/>
    <x v="2"/>
    <x v="0"/>
  </r>
  <r>
    <n v="25"/>
    <x v="0"/>
    <x v="0"/>
    <n v="2"/>
    <n v="3"/>
    <n v="11.522983610000001"/>
    <n v="72"/>
    <n v="62"/>
    <n v="9"/>
    <x v="2"/>
    <x v="1"/>
    <x v="5"/>
    <x v="0"/>
    <n v="47.666666666666664"/>
    <x v="2"/>
    <x v="4"/>
  </r>
  <r>
    <n v="47"/>
    <x v="0"/>
    <x v="3"/>
    <n v="11"/>
    <n v="4"/>
    <n v="35.479153279999998"/>
    <n v="100"/>
    <n v="64"/>
    <n v="47"/>
    <x v="1"/>
    <x v="0"/>
    <x v="2"/>
    <x v="1"/>
    <n v="70.333333333333329"/>
    <x v="0"/>
    <x v="3"/>
  </r>
  <r>
    <n v="21"/>
    <x v="1"/>
    <x v="0"/>
    <n v="7"/>
    <n v="1"/>
    <n v="44.86548681"/>
    <n v="83"/>
    <n v="51"/>
    <n v="54"/>
    <x v="1"/>
    <x v="1"/>
    <x v="5"/>
    <x v="2"/>
    <n v="62.666666666666664"/>
    <x v="1"/>
    <x v="2"/>
  </r>
  <r>
    <n v="25"/>
    <x v="0"/>
    <x v="0"/>
    <n v="0"/>
    <n v="3"/>
    <n v="15.518094270000001"/>
    <n v="97"/>
    <n v="89"/>
    <n v="53"/>
    <x v="1"/>
    <x v="1"/>
    <x v="5"/>
    <x v="0"/>
    <n v="79.666666666666671"/>
    <x v="0"/>
    <x v="4"/>
  </r>
  <r>
    <n v="37"/>
    <x v="0"/>
    <x v="0"/>
    <n v="14"/>
    <n v="3"/>
    <n v="5.1005370599999997"/>
    <n v="37"/>
    <n v="75"/>
    <n v="77"/>
    <x v="1"/>
    <x v="1"/>
    <x v="1"/>
    <x v="1"/>
    <n v="63"/>
    <x v="1"/>
    <x v="1"/>
  </r>
  <r>
    <n v="21"/>
    <x v="0"/>
    <x v="1"/>
    <n v="9"/>
    <n v="2"/>
    <n v="15.9246549"/>
    <n v="25"/>
    <n v="13"/>
    <n v="39"/>
    <x v="2"/>
    <x v="1"/>
    <x v="5"/>
    <x v="1"/>
    <n v="25.666666666666668"/>
    <x v="2"/>
    <x v="4"/>
  </r>
  <r>
    <n v="37"/>
    <x v="1"/>
    <x v="2"/>
    <n v="14"/>
    <n v="5"/>
    <n v="34.618092900000001"/>
    <n v="81"/>
    <n v="88"/>
    <n v="14"/>
    <x v="1"/>
    <x v="1"/>
    <x v="1"/>
    <x v="1"/>
    <n v="61"/>
    <x v="1"/>
    <x v="3"/>
  </r>
  <r>
    <n v="49"/>
    <x v="0"/>
    <x v="1"/>
    <n v="14"/>
    <n v="1"/>
    <n v="17.438006380000001"/>
    <n v="91"/>
    <n v="71"/>
    <n v="80"/>
    <x v="0"/>
    <x v="0"/>
    <x v="2"/>
    <x v="1"/>
    <n v="80.666666666666671"/>
    <x v="4"/>
    <x v="4"/>
  </r>
  <r>
    <n v="34"/>
    <x v="1"/>
    <x v="3"/>
    <n v="14"/>
    <n v="2"/>
    <n v="14.90560838"/>
    <n v="50"/>
    <n v="67"/>
    <n v="17"/>
    <x v="0"/>
    <x v="0"/>
    <x v="3"/>
    <x v="1"/>
    <n v="44.666666666666664"/>
    <x v="2"/>
    <x v="4"/>
  </r>
  <r>
    <n v="46"/>
    <x v="1"/>
    <x v="2"/>
    <n v="6"/>
    <n v="4"/>
    <n v="10.22175953"/>
    <n v="72"/>
    <n v="27"/>
    <n v="95"/>
    <x v="2"/>
    <x v="1"/>
    <x v="2"/>
    <x v="2"/>
    <n v="64.666666666666671"/>
    <x v="1"/>
    <x v="4"/>
  </r>
  <r>
    <n v="38"/>
    <x v="1"/>
    <x v="0"/>
    <n v="6"/>
    <n v="5"/>
    <n v="25.875821340000002"/>
    <n v="95"/>
    <n v="70"/>
    <n v="22"/>
    <x v="1"/>
    <x v="1"/>
    <x v="1"/>
    <x v="2"/>
    <n v="62.333333333333336"/>
    <x v="1"/>
    <x v="0"/>
  </r>
  <r>
    <n v="50"/>
    <x v="1"/>
    <x v="3"/>
    <n v="12"/>
    <n v="1"/>
    <n v="14.797441409999999"/>
    <n v="52"/>
    <n v="9"/>
    <n v="61"/>
    <x v="2"/>
    <x v="1"/>
    <x v="2"/>
    <x v="1"/>
    <n v="40.666666666666664"/>
    <x v="2"/>
    <x v="4"/>
  </r>
  <r>
    <n v="21"/>
    <x v="0"/>
    <x v="0"/>
    <n v="0"/>
    <n v="3"/>
    <n v="37.550517460000002"/>
    <n v="55"/>
    <n v="56"/>
    <n v="45"/>
    <x v="0"/>
    <x v="1"/>
    <x v="5"/>
    <x v="0"/>
    <n v="52"/>
    <x v="3"/>
    <x v="3"/>
  </r>
  <r>
    <n v="39"/>
    <x v="1"/>
    <x v="1"/>
    <n v="15"/>
    <n v="1"/>
    <n v="4.8311200999999997"/>
    <n v="58"/>
    <n v="99"/>
    <n v="86"/>
    <x v="0"/>
    <x v="0"/>
    <x v="1"/>
    <x v="1"/>
    <n v="81"/>
    <x v="4"/>
    <x v="1"/>
  </r>
  <r>
    <n v="44"/>
    <x v="1"/>
    <x v="1"/>
    <n v="8"/>
    <n v="3"/>
    <n v="34.201651660000003"/>
    <n v="69"/>
    <n v="65"/>
    <n v="98"/>
    <x v="0"/>
    <x v="0"/>
    <x v="4"/>
    <x v="1"/>
    <n v="77.333333333333329"/>
    <x v="0"/>
    <x v="3"/>
  </r>
  <r>
    <n v="25"/>
    <x v="0"/>
    <x v="0"/>
    <n v="7"/>
    <n v="5"/>
    <n v="12.87800073"/>
    <n v="77"/>
    <n v="89"/>
    <n v="38"/>
    <x v="1"/>
    <x v="1"/>
    <x v="5"/>
    <x v="2"/>
    <n v="68"/>
    <x v="1"/>
    <x v="4"/>
  </r>
  <r>
    <n v="20"/>
    <x v="0"/>
    <x v="0"/>
    <n v="3"/>
    <n v="3"/>
    <n v="25.46396305"/>
    <n v="91"/>
    <n v="49"/>
    <n v="14"/>
    <x v="1"/>
    <x v="1"/>
    <x v="5"/>
    <x v="2"/>
    <n v="51.333333333333336"/>
    <x v="3"/>
    <x v="0"/>
  </r>
  <r>
    <n v="43"/>
    <x v="1"/>
    <x v="1"/>
    <n v="9"/>
    <n v="4"/>
    <n v="15.3044961"/>
    <n v="57"/>
    <n v="13"/>
    <n v="52"/>
    <x v="0"/>
    <x v="0"/>
    <x v="4"/>
    <x v="1"/>
    <n v="40.666666666666664"/>
    <x v="2"/>
    <x v="4"/>
  </r>
  <r>
    <n v="34"/>
    <x v="0"/>
    <x v="0"/>
    <n v="10"/>
    <n v="3"/>
    <n v="37.138433800000001"/>
    <n v="87"/>
    <n v="15"/>
    <n v="87"/>
    <x v="1"/>
    <x v="1"/>
    <x v="3"/>
    <x v="1"/>
    <n v="63"/>
    <x v="1"/>
    <x v="3"/>
  </r>
  <r>
    <n v="47"/>
    <x v="1"/>
    <x v="2"/>
    <n v="4"/>
    <n v="4"/>
    <n v="48.265352010000001"/>
    <n v="12"/>
    <n v="53"/>
    <n v="63"/>
    <x v="1"/>
    <x v="1"/>
    <x v="2"/>
    <x v="2"/>
    <n v="42.666666666666664"/>
    <x v="2"/>
    <x v="2"/>
  </r>
  <r>
    <n v="49"/>
    <x v="1"/>
    <x v="2"/>
    <n v="1"/>
    <n v="5"/>
    <n v="46.853838969999998"/>
    <n v="42"/>
    <n v="42"/>
    <n v="62"/>
    <x v="0"/>
    <x v="1"/>
    <x v="2"/>
    <x v="0"/>
    <n v="48.666666666666664"/>
    <x v="2"/>
    <x v="2"/>
  </r>
  <r>
    <n v="42"/>
    <x v="1"/>
    <x v="0"/>
    <n v="12"/>
    <n v="5"/>
    <n v="30.171310760000001"/>
    <n v="75"/>
    <n v="41"/>
    <n v="91"/>
    <x v="1"/>
    <x v="1"/>
    <x v="4"/>
    <x v="1"/>
    <n v="69"/>
    <x v="1"/>
    <x v="3"/>
  </r>
  <r>
    <n v="29"/>
    <x v="1"/>
    <x v="1"/>
    <n v="15"/>
    <n v="1"/>
    <n v="24.130515160000002"/>
    <n v="50"/>
    <n v="80"/>
    <n v="79"/>
    <x v="1"/>
    <x v="0"/>
    <x v="0"/>
    <x v="1"/>
    <n v="69.666666666666671"/>
    <x v="1"/>
    <x v="0"/>
  </r>
  <r>
    <n v="38"/>
    <x v="0"/>
    <x v="3"/>
    <n v="8"/>
    <n v="4"/>
    <n v="41.915025470000003"/>
    <n v="18"/>
    <n v="21"/>
    <n v="15"/>
    <x v="0"/>
    <x v="0"/>
    <x v="1"/>
    <x v="1"/>
    <n v="18"/>
    <x v="2"/>
    <x v="2"/>
  </r>
  <r>
    <n v="36"/>
    <x v="1"/>
    <x v="0"/>
    <n v="14"/>
    <n v="4"/>
    <n v="35.166318130000001"/>
    <n v="20"/>
    <n v="67"/>
    <n v="69"/>
    <x v="0"/>
    <x v="0"/>
    <x v="1"/>
    <x v="1"/>
    <n v="52"/>
    <x v="3"/>
    <x v="3"/>
  </r>
  <r>
    <n v="24"/>
    <x v="0"/>
    <x v="2"/>
    <n v="11"/>
    <n v="2"/>
    <n v="10.17820571"/>
    <n v="90"/>
    <n v="18"/>
    <n v="65"/>
    <x v="1"/>
    <x v="1"/>
    <x v="5"/>
    <x v="1"/>
    <n v="57.666666666666664"/>
    <x v="3"/>
    <x v="4"/>
  </r>
  <r>
    <n v="48"/>
    <x v="0"/>
    <x v="0"/>
    <n v="11"/>
    <n v="2"/>
    <n v="42.04596068"/>
    <n v="82"/>
    <n v="65"/>
    <n v="12"/>
    <x v="1"/>
    <x v="1"/>
    <x v="2"/>
    <x v="1"/>
    <n v="53"/>
    <x v="3"/>
    <x v="2"/>
  </r>
  <r>
    <n v="23"/>
    <x v="0"/>
    <x v="3"/>
    <n v="5"/>
    <n v="2"/>
    <n v="22.44421947"/>
    <n v="23"/>
    <n v="38"/>
    <n v="46"/>
    <x v="2"/>
    <x v="1"/>
    <x v="5"/>
    <x v="2"/>
    <n v="35.666666666666664"/>
    <x v="2"/>
    <x v="0"/>
  </r>
  <r>
    <n v="29"/>
    <x v="0"/>
    <x v="2"/>
    <n v="2"/>
    <n v="3"/>
    <n v="10.449282999999999"/>
    <n v="25"/>
    <n v="72"/>
    <n v="8"/>
    <x v="1"/>
    <x v="1"/>
    <x v="0"/>
    <x v="0"/>
    <n v="35"/>
    <x v="2"/>
    <x v="4"/>
  </r>
  <r>
    <n v="43"/>
    <x v="1"/>
    <x v="0"/>
    <n v="11"/>
    <n v="2"/>
    <n v="15.08986752"/>
    <n v="44"/>
    <n v="18"/>
    <n v="62"/>
    <x v="0"/>
    <x v="0"/>
    <x v="4"/>
    <x v="1"/>
    <n v="41.333333333333336"/>
    <x v="2"/>
    <x v="4"/>
  </r>
  <r>
    <n v="36"/>
    <x v="0"/>
    <x v="2"/>
    <n v="6"/>
    <n v="4"/>
    <n v="14.376351509999999"/>
    <n v="27"/>
    <n v="15"/>
    <n v="33"/>
    <x v="2"/>
    <x v="1"/>
    <x v="1"/>
    <x v="2"/>
    <n v="25"/>
    <x v="2"/>
    <x v="4"/>
  </r>
  <r>
    <n v="29"/>
    <x v="1"/>
    <x v="0"/>
    <n v="8"/>
    <n v="3"/>
    <n v="26.96034873"/>
    <n v="81"/>
    <n v="53"/>
    <n v="80"/>
    <x v="2"/>
    <x v="0"/>
    <x v="0"/>
    <x v="1"/>
    <n v="71.333333333333329"/>
    <x v="0"/>
    <x v="0"/>
  </r>
  <r>
    <n v="36"/>
    <x v="0"/>
    <x v="1"/>
    <n v="2"/>
    <n v="5"/>
    <n v="12.718504530000001"/>
    <n v="99"/>
    <n v="24"/>
    <n v="90"/>
    <x v="1"/>
    <x v="1"/>
    <x v="1"/>
    <x v="0"/>
    <n v="71"/>
    <x v="0"/>
    <x v="4"/>
  </r>
  <r>
    <n v="47"/>
    <x v="0"/>
    <x v="0"/>
    <n v="15"/>
    <n v="1"/>
    <n v="7.1783243700000003"/>
    <n v="28"/>
    <n v="17"/>
    <n v="28"/>
    <x v="2"/>
    <x v="1"/>
    <x v="2"/>
    <x v="1"/>
    <n v="24.333333333333332"/>
    <x v="2"/>
    <x v="1"/>
  </r>
  <r>
    <n v="39"/>
    <x v="1"/>
    <x v="0"/>
    <n v="1"/>
    <n v="2"/>
    <n v="7.184542531"/>
    <n v="16"/>
    <n v="22"/>
    <n v="36"/>
    <x v="1"/>
    <x v="1"/>
    <x v="1"/>
    <x v="0"/>
    <n v="24.666666666666668"/>
    <x v="2"/>
    <x v="1"/>
  </r>
  <r>
    <n v="43"/>
    <x v="1"/>
    <x v="0"/>
    <n v="15"/>
    <n v="5"/>
    <n v="30.163809860000001"/>
    <n v="67"/>
    <n v="84"/>
    <n v="42"/>
    <x v="1"/>
    <x v="1"/>
    <x v="4"/>
    <x v="1"/>
    <n v="64.333333333333329"/>
    <x v="1"/>
    <x v="3"/>
  </r>
  <r>
    <n v="24"/>
    <x v="1"/>
    <x v="1"/>
    <n v="6"/>
    <n v="4"/>
    <n v="37.737964439999999"/>
    <n v="43"/>
    <n v="10"/>
    <n v="85"/>
    <x v="1"/>
    <x v="1"/>
    <x v="5"/>
    <x v="2"/>
    <n v="46"/>
    <x v="2"/>
    <x v="3"/>
  </r>
  <r>
    <n v="21"/>
    <x v="0"/>
    <x v="2"/>
    <n v="6"/>
    <n v="1"/>
    <n v="17.076650440000002"/>
    <n v="60"/>
    <n v="38"/>
    <n v="63"/>
    <x v="1"/>
    <x v="1"/>
    <x v="5"/>
    <x v="2"/>
    <n v="53.666666666666664"/>
    <x v="3"/>
    <x v="4"/>
  </r>
  <r>
    <n v="25"/>
    <x v="0"/>
    <x v="0"/>
    <n v="3"/>
    <n v="5"/>
    <n v="2.7325354910000001"/>
    <n v="92"/>
    <n v="67"/>
    <n v="23"/>
    <x v="0"/>
    <x v="0"/>
    <x v="5"/>
    <x v="2"/>
    <n v="60.666666666666664"/>
    <x v="1"/>
    <x v="1"/>
  </r>
  <r>
    <n v="40"/>
    <x v="1"/>
    <x v="0"/>
    <n v="10"/>
    <n v="1"/>
    <n v="7.3612443470000004"/>
    <n v="67"/>
    <n v="24"/>
    <n v="70"/>
    <x v="2"/>
    <x v="1"/>
    <x v="1"/>
    <x v="1"/>
    <n v="53.666666666666664"/>
    <x v="3"/>
    <x v="1"/>
  </r>
  <r>
    <n v="21"/>
    <x v="1"/>
    <x v="3"/>
    <n v="8"/>
    <n v="2"/>
    <n v="46.734728019999999"/>
    <n v="73"/>
    <n v="62"/>
    <n v="33"/>
    <x v="2"/>
    <x v="0"/>
    <x v="5"/>
    <x v="1"/>
    <n v="56"/>
    <x v="3"/>
    <x v="2"/>
  </r>
  <r>
    <n v="32"/>
    <x v="1"/>
    <x v="0"/>
    <n v="15"/>
    <n v="4"/>
    <n v="25.677182980000001"/>
    <n v="24"/>
    <n v="95"/>
    <n v="47"/>
    <x v="1"/>
    <x v="1"/>
    <x v="3"/>
    <x v="1"/>
    <n v="55.333333333333336"/>
    <x v="3"/>
    <x v="0"/>
  </r>
  <r>
    <n v="49"/>
    <x v="1"/>
    <x v="2"/>
    <n v="13"/>
    <n v="1"/>
    <n v="23.678640479999999"/>
    <n v="94"/>
    <n v="29"/>
    <n v="11"/>
    <x v="1"/>
    <x v="1"/>
    <x v="2"/>
    <x v="1"/>
    <n v="44.666666666666664"/>
    <x v="2"/>
    <x v="0"/>
  </r>
  <r>
    <n v="30"/>
    <x v="0"/>
    <x v="0"/>
    <n v="7"/>
    <n v="5"/>
    <n v="2.9024589160000001"/>
    <n v="66"/>
    <n v="44"/>
    <n v="22"/>
    <x v="0"/>
    <x v="1"/>
    <x v="0"/>
    <x v="2"/>
    <n v="44"/>
    <x v="2"/>
    <x v="1"/>
  </r>
  <r>
    <n v="30"/>
    <x v="1"/>
    <x v="3"/>
    <n v="12"/>
    <n v="2"/>
    <n v="37.431851119999997"/>
    <n v="1"/>
    <n v="89"/>
    <n v="78"/>
    <x v="0"/>
    <x v="0"/>
    <x v="0"/>
    <x v="1"/>
    <n v="56"/>
    <x v="3"/>
    <x v="3"/>
  </r>
  <r>
    <n v="35"/>
    <x v="1"/>
    <x v="2"/>
    <n v="12"/>
    <n v="2"/>
    <n v="27.403404049999999"/>
    <n v="88"/>
    <n v="60"/>
    <n v="96"/>
    <x v="0"/>
    <x v="0"/>
    <x v="3"/>
    <x v="1"/>
    <n v="81.333333333333329"/>
    <x v="4"/>
    <x v="0"/>
  </r>
  <r>
    <n v="30"/>
    <x v="1"/>
    <x v="3"/>
    <n v="0"/>
    <n v="5"/>
    <n v="11.104046800000001"/>
    <n v="48"/>
    <n v="99"/>
    <n v="12"/>
    <x v="1"/>
    <x v="1"/>
    <x v="0"/>
    <x v="0"/>
    <n v="53"/>
    <x v="3"/>
    <x v="4"/>
  </r>
  <r>
    <n v="38"/>
    <x v="1"/>
    <x v="2"/>
    <n v="0"/>
    <n v="5"/>
    <n v="6.5036880090000002"/>
    <n v="69"/>
    <n v="50"/>
    <n v="86"/>
    <x v="2"/>
    <x v="1"/>
    <x v="1"/>
    <x v="0"/>
    <n v="68.333333333333329"/>
    <x v="1"/>
    <x v="1"/>
  </r>
  <r>
    <n v="34"/>
    <x v="0"/>
    <x v="0"/>
    <n v="4"/>
    <n v="1"/>
    <n v="20.16939318"/>
    <n v="25"/>
    <n v="97"/>
    <n v="95"/>
    <x v="0"/>
    <x v="0"/>
    <x v="3"/>
    <x v="2"/>
    <n v="72.333333333333329"/>
    <x v="0"/>
    <x v="0"/>
  </r>
  <r>
    <n v="44"/>
    <x v="1"/>
    <x v="0"/>
    <n v="5"/>
    <n v="3"/>
    <n v="42.858098210000001"/>
    <n v="71"/>
    <n v="8"/>
    <n v="44"/>
    <x v="0"/>
    <x v="1"/>
    <x v="4"/>
    <x v="2"/>
    <n v="41"/>
    <x v="2"/>
    <x v="2"/>
  </r>
  <r>
    <n v="42"/>
    <x v="0"/>
    <x v="3"/>
    <n v="2"/>
    <n v="2"/>
    <n v="44.264727960000002"/>
    <n v="98"/>
    <n v="75"/>
    <n v="98"/>
    <x v="1"/>
    <x v="0"/>
    <x v="4"/>
    <x v="0"/>
    <n v="90.333333333333329"/>
    <x v="5"/>
    <x v="2"/>
  </r>
  <r>
    <n v="42"/>
    <x v="1"/>
    <x v="0"/>
    <n v="12"/>
    <n v="1"/>
    <n v="31.142319019999999"/>
    <n v="26"/>
    <n v="1"/>
    <n v="64"/>
    <x v="0"/>
    <x v="0"/>
    <x v="4"/>
    <x v="1"/>
    <n v="30.333333333333332"/>
    <x v="2"/>
    <x v="3"/>
  </r>
  <r>
    <n v="35"/>
    <x v="1"/>
    <x v="3"/>
    <n v="8"/>
    <n v="5"/>
    <n v="37.376821360000001"/>
    <n v="88"/>
    <n v="4"/>
    <n v="46"/>
    <x v="2"/>
    <x v="1"/>
    <x v="3"/>
    <x v="1"/>
    <n v="46"/>
    <x v="2"/>
    <x v="3"/>
  </r>
  <r>
    <n v="50"/>
    <x v="0"/>
    <x v="3"/>
    <n v="11"/>
    <n v="1"/>
    <n v="6.7577893700000002"/>
    <n v="17"/>
    <n v="61"/>
    <n v="57"/>
    <x v="1"/>
    <x v="1"/>
    <x v="2"/>
    <x v="1"/>
    <n v="45"/>
    <x v="2"/>
    <x v="1"/>
  </r>
  <r>
    <n v="30"/>
    <x v="1"/>
    <x v="0"/>
    <n v="9"/>
    <n v="5"/>
    <n v="30.406303269999999"/>
    <n v="53"/>
    <n v="68"/>
    <n v="4"/>
    <x v="0"/>
    <x v="0"/>
    <x v="0"/>
    <x v="1"/>
    <n v="41.666666666666664"/>
    <x v="2"/>
    <x v="3"/>
  </r>
  <r>
    <n v="41"/>
    <x v="0"/>
    <x v="3"/>
    <n v="13"/>
    <n v="4"/>
    <n v="34.348285169999997"/>
    <n v="0"/>
    <n v="51"/>
    <n v="76"/>
    <x v="0"/>
    <x v="0"/>
    <x v="4"/>
    <x v="1"/>
    <n v="42.333333333333336"/>
    <x v="2"/>
    <x v="3"/>
  </r>
  <r>
    <n v="35"/>
    <x v="0"/>
    <x v="3"/>
    <n v="14"/>
    <n v="5"/>
    <n v="11.035642149999999"/>
    <n v="60"/>
    <n v="85"/>
    <n v="4"/>
    <x v="0"/>
    <x v="0"/>
    <x v="3"/>
    <x v="1"/>
    <n v="49.666666666666664"/>
    <x v="2"/>
    <x v="4"/>
  </r>
  <r>
    <n v="27"/>
    <x v="1"/>
    <x v="2"/>
    <n v="5"/>
    <n v="5"/>
    <n v="45.007736649999998"/>
    <n v="2"/>
    <n v="4"/>
    <n v="59"/>
    <x v="1"/>
    <x v="1"/>
    <x v="0"/>
    <x v="2"/>
    <n v="21.666666666666668"/>
    <x v="2"/>
    <x v="2"/>
  </r>
  <r>
    <n v="23"/>
    <x v="0"/>
    <x v="0"/>
    <n v="3"/>
    <n v="5"/>
    <n v="10.74983688"/>
    <n v="67"/>
    <n v="58"/>
    <n v="95"/>
    <x v="0"/>
    <x v="0"/>
    <x v="5"/>
    <x v="2"/>
    <n v="73.333333333333329"/>
    <x v="0"/>
    <x v="4"/>
  </r>
  <r>
    <n v="27"/>
    <x v="0"/>
    <x v="1"/>
    <n v="11"/>
    <n v="3"/>
    <n v="16.673867990000002"/>
    <n v="40"/>
    <n v="67"/>
    <n v="20"/>
    <x v="1"/>
    <x v="1"/>
    <x v="0"/>
    <x v="1"/>
    <n v="42.333333333333336"/>
    <x v="2"/>
    <x v="4"/>
  </r>
  <r>
    <n v="23"/>
    <x v="0"/>
    <x v="2"/>
    <n v="6"/>
    <n v="5"/>
    <n v="32.02784235"/>
    <n v="36"/>
    <n v="8"/>
    <n v="23"/>
    <x v="1"/>
    <x v="1"/>
    <x v="5"/>
    <x v="2"/>
    <n v="22.333333333333332"/>
    <x v="2"/>
    <x v="3"/>
  </r>
  <r>
    <n v="43"/>
    <x v="0"/>
    <x v="3"/>
    <n v="7"/>
    <n v="2"/>
    <n v="32.917503259999997"/>
    <n v="50"/>
    <n v="92"/>
    <n v="17"/>
    <x v="0"/>
    <x v="0"/>
    <x v="4"/>
    <x v="2"/>
    <n v="53"/>
    <x v="3"/>
    <x v="3"/>
  </r>
  <r>
    <n v="44"/>
    <x v="0"/>
    <x v="1"/>
    <n v="8"/>
    <n v="2"/>
    <n v="35.969237049999997"/>
    <n v="14"/>
    <n v="21"/>
    <n v="20"/>
    <x v="0"/>
    <x v="0"/>
    <x v="4"/>
    <x v="1"/>
    <n v="18.333333333333332"/>
    <x v="2"/>
    <x v="3"/>
  </r>
  <r>
    <n v="22"/>
    <x v="0"/>
    <x v="2"/>
    <n v="12"/>
    <n v="1"/>
    <n v="6.6005856530000004"/>
    <n v="7"/>
    <n v="26"/>
    <n v="53"/>
    <x v="1"/>
    <x v="1"/>
    <x v="5"/>
    <x v="1"/>
    <n v="28.666666666666668"/>
    <x v="2"/>
    <x v="1"/>
  </r>
  <r>
    <n v="22"/>
    <x v="0"/>
    <x v="0"/>
    <n v="15"/>
    <n v="3"/>
    <n v="43.473221500000001"/>
    <n v="37"/>
    <n v="9"/>
    <n v="9"/>
    <x v="1"/>
    <x v="1"/>
    <x v="5"/>
    <x v="1"/>
    <n v="18.333333333333332"/>
    <x v="2"/>
    <x v="2"/>
  </r>
  <r>
    <n v="46"/>
    <x v="0"/>
    <x v="0"/>
    <n v="10"/>
    <n v="1"/>
    <n v="27.64235661"/>
    <n v="82"/>
    <n v="79"/>
    <n v="23"/>
    <x v="2"/>
    <x v="1"/>
    <x v="2"/>
    <x v="1"/>
    <n v="61.333333333333336"/>
    <x v="1"/>
    <x v="0"/>
  </r>
  <r>
    <n v="48"/>
    <x v="1"/>
    <x v="0"/>
    <n v="5"/>
    <n v="2"/>
    <n v="24.56608971"/>
    <n v="55"/>
    <n v="60"/>
    <n v="84"/>
    <x v="0"/>
    <x v="0"/>
    <x v="2"/>
    <x v="2"/>
    <n v="66.333333333333329"/>
    <x v="1"/>
    <x v="0"/>
  </r>
  <r>
    <n v="37"/>
    <x v="1"/>
    <x v="2"/>
    <n v="14"/>
    <n v="2"/>
    <n v="50.054881229999999"/>
    <n v="46"/>
    <n v="50"/>
    <n v="88"/>
    <x v="0"/>
    <x v="0"/>
    <x v="1"/>
    <x v="1"/>
    <n v="61.333333333333336"/>
    <x v="1"/>
    <x v="5"/>
  </r>
  <r>
    <n v="48"/>
    <x v="0"/>
    <x v="2"/>
    <n v="5"/>
    <n v="4"/>
    <n v="38.018914850000002"/>
    <n v="89"/>
    <n v="9"/>
    <n v="59"/>
    <x v="0"/>
    <x v="1"/>
    <x v="2"/>
    <x v="2"/>
    <n v="52.333333333333336"/>
    <x v="3"/>
    <x v="3"/>
  </r>
  <r>
    <n v="45"/>
    <x v="1"/>
    <x v="0"/>
    <n v="7"/>
    <n v="5"/>
    <n v="6.9003013309999996"/>
    <n v="9"/>
    <n v="5"/>
    <n v="56"/>
    <x v="1"/>
    <x v="1"/>
    <x v="4"/>
    <x v="2"/>
    <n v="23.333333333333332"/>
    <x v="2"/>
    <x v="1"/>
  </r>
  <r>
    <n v="38"/>
    <x v="0"/>
    <x v="3"/>
    <n v="11"/>
    <n v="2"/>
    <n v="38.826958359999999"/>
    <n v="77"/>
    <n v="61"/>
    <n v="22"/>
    <x v="1"/>
    <x v="0"/>
    <x v="1"/>
    <x v="1"/>
    <n v="53.333333333333336"/>
    <x v="3"/>
    <x v="3"/>
  </r>
  <r>
    <n v="38"/>
    <x v="0"/>
    <x v="3"/>
    <n v="4"/>
    <n v="1"/>
    <n v="5.7624466989999998"/>
    <n v="48"/>
    <n v="4"/>
    <n v="21"/>
    <x v="2"/>
    <x v="1"/>
    <x v="1"/>
    <x v="2"/>
    <n v="24.333333333333332"/>
    <x v="2"/>
    <x v="1"/>
  </r>
  <r>
    <n v="40"/>
    <x v="1"/>
    <x v="0"/>
    <n v="13"/>
    <n v="1"/>
    <n v="2.3735281260000001"/>
    <n v="40"/>
    <n v="69"/>
    <n v="67"/>
    <x v="1"/>
    <x v="1"/>
    <x v="1"/>
    <x v="1"/>
    <n v="58.666666666666664"/>
    <x v="3"/>
    <x v="1"/>
  </r>
  <r>
    <n v="24"/>
    <x v="0"/>
    <x v="2"/>
    <n v="2"/>
    <n v="5"/>
    <n v="21.18129476"/>
    <n v="82"/>
    <n v="62"/>
    <n v="33"/>
    <x v="0"/>
    <x v="0"/>
    <x v="5"/>
    <x v="0"/>
    <n v="59"/>
    <x v="3"/>
    <x v="0"/>
  </r>
  <r>
    <n v="37"/>
    <x v="0"/>
    <x v="0"/>
    <n v="11"/>
    <n v="5"/>
    <n v="50.678908640000003"/>
    <n v="29"/>
    <n v="55"/>
    <n v="69"/>
    <x v="1"/>
    <x v="1"/>
    <x v="1"/>
    <x v="1"/>
    <n v="51"/>
    <x v="3"/>
    <x v="5"/>
  </r>
  <r>
    <n v="47"/>
    <x v="0"/>
    <x v="0"/>
    <n v="2"/>
    <n v="4"/>
    <n v="9.74419681"/>
    <n v="4"/>
    <n v="58"/>
    <n v="27"/>
    <x v="2"/>
    <x v="1"/>
    <x v="2"/>
    <x v="0"/>
    <n v="29.666666666666668"/>
    <x v="2"/>
    <x v="1"/>
  </r>
  <r>
    <n v="29"/>
    <x v="0"/>
    <x v="1"/>
    <n v="12"/>
    <n v="3"/>
    <n v="34.632217179999998"/>
    <n v="94"/>
    <n v="62"/>
    <n v="94"/>
    <x v="1"/>
    <x v="0"/>
    <x v="0"/>
    <x v="1"/>
    <n v="83.333333333333329"/>
    <x v="4"/>
    <x v="3"/>
  </r>
  <r>
    <n v="48"/>
    <x v="1"/>
    <x v="3"/>
    <n v="5"/>
    <n v="1"/>
    <n v="9.6698033100000007"/>
    <n v="70"/>
    <n v="88"/>
    <n v="98"/>
    <x v="1"/>
    <x v="1"/>
    <x v="2"/>
    <x v="2"/>
    <n v="85.333333333333329"/>
    <x v="4"/>
    <x v="1"/>
  </r>
  <r>
    <n v="41"/>
    <x v="0"/>
    <x v="3"/>
    <n v="1"/>
    <n v="5"/>
    <n v="37.239348749999998"/>
    <n v="82"/>
    <n v="58"/>
    <n v="38"/>
    <x v="2"/>
    <x v="1"/>
    <x v="4"/>
    <x v="0"/>
    <n v="59.333333333333336"/>
    <x v="3"/>
    <x v="3"/>
  </r>
  <r>
    <n v="40"/>
    <x v="0"/>
    <x v="1"/>
    <n v="15"/>
    <n v="1"/>
    <n v="26.26768341"/>
    <n v="30"/>
    <n v="50"/>
    <n v="41"/>
    <x v="1"/>
    <x v="1"/>
    <x v="1"/>
    <x v="1"/>
    <n v="40.333333333333336"/>
    <x v="2"/>
    <x v="0"/>
  </r>
  <r>
    <n v="25"/>
    <x v="0"/>
    <x v="2"/>
    <n v="5"/>
    <n v="5"/>
    <n v="34.998585499999997"/>
    <n v="51"/>
    <n v="49"/>
    <n v="22"/>
    <x v="1"/>
    <x v="1"/>
    <x v="5"/>
    <x v="2"/>
    <n v="40.666666666666664"/>
    <x v="2"/>
    <x v="3"/>
  </r>
  <r>
    <n v="20"/>
    <x v="1"/>
    <x v="3"/>
    <n v="15"/>
    <n v="2"/>
    <n v="11.143658800000001"/>
    <n v="87"/>
    <n v="3"/>
    <n v="69"/>
    <x v="0"/>
    <x v="0"/>
    <x v="5"/>
    <x v="1"/>
    <n v="53"/>
    <x v="3"/>
    <x v="4"/>
  </r>
  <r>
    <n v="24"/>
    <x v="0"/>
    <x v="0"/>
    <n v="12"/>
    <n v="1"/>
    <n v="38.281416630000002"/>
    <n v="97"/>
    <n v="47"/>
    <n v="79"/>
    <x v="1"/>
    <x v="1"/>
    <x v="5"/>
    <x v="1"/>
    <n v="74.333333333333329"/>
    <x v="0"/>
    <x v="3"/>
  </r>
  <r>
    <n v="28"/>
    <x v="1"/>
    <x v="1"/>
    <n v="5"/>
    <n v="2"/>
    <n v="50.780952980000002"/>
    <n v="22"/>
    <n v="31"/>
    <n v="1"/>
    <x v="0"/>
    <x v="1"/>
    <x v="0"/>
    <x v="2"/>
    <n v="18"/>
    <x v="2"/>
    <x v="5"/>
  </r>
  <r>
    <n v="31"/>
    <x v="1"/>
    <x v="0"/>
    <n v="7"/>
    <n v="1"/>
    <n v="34.282525030000002"/>
    <n v="47"/>
    <n v="50"/>
    <n v="23"/>
    <x v="1"/>
    <x v="1"/>
    <x v="3"/>
    <x v="2"/>
    <n v="40"/>
    <x v="2"/>
    <x v="3"/>
  </r>
  <r>
    <n v="45"/>
    <x v="0"/>
    <x v="3"/>
    <n v="6"/>
    <n v="3"/>
    <n v="25.673999899999998"/>
    <n v="39"/>
    <n v="51"/>
    <n v="16"/>
    <x v="0"/>
    <x v="0"/>
    <x v="4"/>
    <x v="2"/>
    <n v="35.333333333333336"/>
    <x v="2"/>
    <x v="0"/>
  </r>
  <r>
    <n v="33"/>
    <x v="0"/>
    <x v="3"/>
    <n v="7"/>
    <n v="4"/>
    <n v="47.158699429999999"/>
    <n v="5"/>
    <n v="98"/>
    <n v="64"/>
    <x v="2"/>
    <x v="0"/>
    <x v="3"/>
    <x v="2"/>
    <n v="55.666666666666664"/>
    <x v="3"/>
    <x v="2"/>
  </r>
  <r>
    <n v="21"/>
    <x v="1"/>
    <x v="2"/>
    <n v="13"/>
    <n v="2"/>
    <n v="1.7925921119999999"/>
    <n v="37"/>
    <n v="73"/>
    <n v="69"/>
    <x v="2"/>
    <x v="1"/>
    <x v="5"/>
    <x v="1"/>
    <n v="59.666666666666664"/>
    <x v="3"/>
    <x v="1"/>
  </r>
  <r>
    <n v="36"/>
    <x v="0"/>
    <x v="0"/>
    <n v="8"/>
    <n v="5"/>
    <n v="37.496175960000002"/>
    <n v="40"/>
    <n v="33"/>
    <n v="68"/>
    <x v="1"/>
    <x v="1"/>
    <x v="1"/>
    <x v="1"/>
    <n v="47"/>
    <x v="2"/>
    <x v="3"/>
  </r>
  <r>
    <n v="33"/>
    <x v="1"/>
    <x v="3"/>
    <n v="5"/>
    <n v="3"/>
    <n v="45.43732584"/>
    <n v="99"/>
    <n v="35"/>
    <n v="59"/>
    <x v="0"/>
    <x v="0"/>
    <x v="3"/>
    <x v="2"/>
    <n v="64.333333333333329"/>
    <x v="1"/>
    <x v="2"/>
  </r>
  <r>
    <n v="45"/>
    <x v="1"/>
    <x v="0"/>
    <n v="13"/>
    <n v="1"/>
    <n v="4.0837291809999998"/>
    <n v="26"/>
    <n v="69"/>
    <n v="49"/>
    <x v="0"/>
    <x v="0"/>
    <x v="4"/>
    <x v="1"/>
    <n v="48"/>
    <x v="2"/>
    <x v="1"/>
  </r>
  <r>
    <n v="32"/>
    <x v="0"/>
    <x v="0"/>
    <n v="15"/>
    <n v="2"/>
    <n v="23.503208520000001"/>
    <n v="74"/>
    <n v="42"/>
    <n v="92"/>
    <x v="1"/>
    <x v="1"/>
    <x v="3"/>
    <x v="1"/>
    <n v="69.333333333333329"/>
    <x v="1"/>
    <x v="0"/>
  </r>
  <r>
    <n v="46"/>
    <x v="0"/>
    <x v="0"/>
    <n v="2"/>
    <n v="1"/>
    <n v="11.2359727"/>
    <n v="68"/>
    <n v="15"/>
    <n v="11"/>
    <x v="1"/>
    <x v="1"/>
    <x v="2"/>
    <x v="0"/>
    <n v="31.333333333333332"/>
    <x v="2"/>
    <x v="4"/>
  </r>
  <r>
    <n v="28"/>
    <x v="1"/>
    <x v="2"/>
    <n v="9"/>
    <n v="1"/>
    <n v="29.32590828"/>
    <n v="56"/>
    <n v="58"/>
    <n v="46"/>
    <x v="1"/>
    <x v="1"/>
    <x v="0"/>
    <x v="1"/>
    <n v="53.333333333333336"/>
    <x v="3"/>
    <x v="0"/>
  </r>
  <r>
    <n v="45"/>
    <x v="1"/>
    <x v="3"/>
    <n v="2"/>
    <n v="1"/>
    <n v="33.477147930000001"/>
    <n v="16"/>
    <n v="52"/>
    <n v="66"/>
    <x v="1"/>
    <x v="1"/>
    <x v="4"/>
    <x v="0"/>
    <n v="44.666666666666664"/>
    <x v="2"/>
    <x v="3"/>
  </r>
  <r>
    <n v="44"/>
    <x v="1"/>
    <x v="0"/>
    <n v="15"/>
    <n v="4"/>
    <n v="16.131159149999998"/>
    <n v="70"/>
    <n v="18"/>
    <n v="64"/>
    <x v="1"/>
    <x v="1"/>
    <x v="4"/>
    <x v="1"/>
    <n v="50.666666666666664"/>
    <x v="3"/>
    <x v="4"/>
  </r>
  <r>
    <n v="34"/>
    <x v="1"/>
    <x v="2"/>
    <n v="10"/>
    <n v="4"/>
    <n v="23.999083479999999"/>
    <n v="90"/>
    <n v="97"/>
    <n v="26"/>
    <x v="1"/>
    <x v="1"/>
    <x v="3"/>
    <x v="1"/>
    <n v="71"/>
    <x v="0"/>
    <x v="0"/>
  </r>
  <r>
    <n v="44"/>
    <x v="0"/>
    <x v="0"/>
    <n v="11"/>
    <n v="5"/>
    <n v="14.966974260000001"/>
    <n v="46"/>
    <n v="88"/>
    <n v="47"/>
    <x v="1"/>
    <x v="1"/>
    <x v="4"/>
    <x v="1"/>
    <n v="60.333333333333336"/>
    <x v="1"/>
    <x v="4"/>
  </r>
  <r>
    <n v="41"/>
    <x v="0"/>
    <x v="0"/>
    <n v="0"/>
    <n v="2"/>
    <n v="19.46955822"/>
    <n v="78"/>
    <n v="94"/>
    <n v="87"/>
    <x v="1"/>
    <x v="1"/>
    <x v="4"/>
    <x v="0"/>
    <n v="86.333333333333329"/>
    <x v="4"/>
    <x v="4"/>
  </r>
  <r>
    <n v="34"/>
    <x v="0"/>
    <x v="2"/>
    <n v="10"/>
    <n v="3"/>
    <n v="8.9769978340000005"/>
    <n v="12"/>
    <n v="40"/>
    <n v="61"/>
    <x v="1"/>
    <x v="1"/>
    <x v="3"/>
    <x v="1"/>
    <n v="37.666666666666664"/>
    <x v="2"/>
    <x v="1"/>
  </r>
  <r>
    <n v="43"/>
    <x v="0"/>
    <x v="0"/>
    <n v="14"/>
    <n v="3"/>
    <n v="45.277972179999999"/>
    <n v="10"/>
    <n v="80"/>
    <n v="43"/>
    <x v="0"/>
    <x v="0"/>
    <x v="4"/>
    <x v="1"/>
    <n v="44.333333333333336"/>
    <x v="2"/>
    <x v="2"/>
  </r>
  <r>
    <n v="49"/>
    <x v="0"/>
    <x v="0"/>
    <n v="12"/>
    <n v="3"/>
    <n v="1.500520528"/>
    <n v="89"/>
    <n v="46"/>
    <n v="18"/>
    <x v="0"/>
    <x v="0"/>
    <x v="2"/>
    <x v="1"/>
    <n v="51"/>
    <x v="3"/>
    <x v="1"/>
  </r>
  <r>
    <n v="30"/>
    <x v="1"/>
    <x v="0"/>
    <n v="14"/>
    <n v="1"/>
    <n v="45.120459320000002"/>
    <n v="85"/>
    <n v="93"/>
    <n v="58"/>
    <x v="1"/>
    <x v="1"/>
    <x v="0"/>
    <x v="1"/>
    <n v="78.666666666666671"/>
    <x v="0"/>
    <x v="2"/>
  </r>
  <r>
    <n v="50"/>
    <x v="0"/>
    <x v="3"/>
    <n v="4"/>
    <n v="4"/>
    <n v="29.583943919999999"/>
    <n v="91"/>
    <n v="53"/>
    <n v="7"/>
    <x v="0"/>
    <x v="0"/>
    <x v="2"/>
    <x v="2"/>
    <n v="50.333333333333336"/>
    <x v="3"/>
    <x v="0"/>
  </r>
  <r>
    <n v="35"/>
    <x v="0"/>
    <x v="0"/>
    <n v="13"/>
    <n v="2"/>
    <n v="17.582892210000001"/>
    <n v="23"/>
    <n v="54"/>
    <n v="54"/>
    <x v="1"/>
    <x v="1"/>
    <x v="3"/>
    <x v="1"/>
    <n v="43.666666666666664"/>
    <x v="2"/>
    <x v="4"/>
  </r>
  <r>
    <n v="48"/>
    <x v="0"/>
    <x v="0"/>
    <n v="3"/>
    <n v="1"/>
    <n v="37.152856270000001"/>
    <n v="92"/>
    <n v="94"/>
    <n v="46"/>
    <x v="1"/>
    <x v="1"/>
    <x v="2"/>
    <x v="2"/>
    <n v="77.333333333333329"/>
    <x v="0"/>
    <x v="3"/>
  </r>
  <r>
    <n v="36"/>
    <x v="0"/>
    <x v="0"/>
    <n v="8"/>
    <n v="4"/>
    <n v="26.387607589999998"/>
    <n v="72"/>
    <n v="18"/>
    <n v="1"/>
    <x v="2"/>
    <x v="1"/>
    <x v="1"/>
    <x v="1"/>
    <n v="30.333333333333332"/>
    <x v="2"/>
    <x v="0"/>
  </r>
  <r>
    <n v="45"/>
    <x v="0"/>
    <x v="0"/>
    <n v="14"/>
    <n v="4"/>
    <n v="25.955432909999999"/>
    <n v="3"/>
    <n v="61"/>
    <n v="93"/>
    <x v="1"/>
    <x v="1"/>
    <x v="4"/>
    <x v="1"/>
    <n v="52.333333333333336"/>
    <x v="3"/>
    <x v="0"/>
  </r>
  <r>
    <n v="23"/>
    <x v="1"/>
    <x v="0"/>
    <n v="8"/>
    <n v="2"/>
    <n v="6.5071141460000002"/>
    <n v="45"/>
    <n v="98"/>
    <n v="93"/>
    <x v="0"/>
    <x v="0"/>
    <x v="5"/>
    <x v="1"/>
    <n v="78.666666666666671"/>
    <x v="0"/>
    <x v="1"/>
  </r>
  <r>
    <n v="20"/>
    <x v="1"/>
    <x v="0"/>
    <n v="14"/>
    <n v="2"/>
    <n v="20.475801300000001"/>
    <n v="17"/>
    <n v="92"/>
    <n v="38"/>
    <x v="0"/>
    <x v="0"/>
    <x v="5"/>
    <x v="1"/>
    <n v="49"/>
    <x v="2"/>
    <x v="0"/>
  </r>
  <r>
    <n v="27"/>
    <x v="1"/>
    <x v="3"/>
    <n v="13"/>
    <n v="2"/>
    <n v="13.053217289999999"/>
    <n v="42"/>
    <n v="58"/>
    <n v="44"/>
    <x v="2"/>
    <x v="1"/>
    <x v="0"/>
    <x v="1"/>
    <n v="48"/>
    <x v="2"/>
    <x v="4"/>
  </r>
  <r>
    <n v="36"/>
    <x v="0"/>
    <x v="0"/>
    <n v="4"/>
    <n v="1"/>
    <n v="1.78479528"/>
    <n v="79"/>
    <n v="64"/>
    <n v="31"/>
    <x v="0"/>
    <x v="0"/>
    <x v="1"/>
    <x v="2"/>
    <n v="58"/>
    <x v="3"/>
    <x v="1"/>
  </r>
  <r>
    <n v="22"/>
    <x v="1"/>
    <x v="0"/>
    <n v="9"/>
    <n v="5"/>
    <n v="19.004981539999999"/>
    <n v="32"/>
    <n v="67"/>
    <n v="64"/>
    <x v="1"/>
    <x v="1"/>
    <x v="5"/>
    <x v="1"/>
    <n v="54.333333333333336"/>
    <x v="3"/>
    <x v="4"/>
  </r>
  <r>
    <n v="48"/>
    <x v="1"/>
    <x v="3"/>
    <n v="3"/>
    <n v="2"/>
    <n v="5.4911064710000002"/>
    <n v="92"/>
    <n v="27"/>
    <n v="37"/>
    <x v="1"/>
    <x v="1"/>
    <x v="2"/>
    <x v="2"/>
    <n v="52"/>
    <x v="3"/>
    <x v="1"/>
  </r>
  <r>
    <n v="39"/>
    <x v="0"/>
    <x v="0"/>
    <n v="6"/>
    <n v="5"/>
    <n v="13.84150189"/>
    <n v="9"/>
    <n v="17"/>
    <n v="76"/>
    <x v="1"/>
    <x v="1"/>
    <x v="1"/>
    <x v="2"/>
    <n v="34"/>
    <x v="2"/>
    <x v="4"/>
  </r>
  <r>
    <n v="34"/>
    <x v="0"/>
    <x v="0"/>
    <n v="14"/>
    <n v="1"/>
    <n v="5.6258310590000002"/>
    <n v="72"/>
    <n v="25"/>
    <n v="10"/>
    <x v="1"/>
    <x v="1"/>
    <x v="3"/>
    <x v="1"/>
    <n v="35.666666666666664"/>
    <x v="2"/>
    <x v="1"/>
  </r>
  <r>
    <n v="34"/>
    <x v="0"/>
    <x v="0"/>
    <n v="5"/>
    <n v="5"/>
    <n v="6.0470812780000003"/>
    <n v="58"/>
    <n v="18"/>
    <n v="9"/>
    <x v="1"/>
    <x v="1"/>
    <x v="3"/>
    <x v="2"/>
    <n v="28.333333333333332"/>
    <x v="2"/>
    <x v="1"/>
  </r>
  <r>
    <n v="50"/>
    <x v="1"/>
    <x v="2"/>
    <n v="3"/>
    <n v="3"/>
    <n v="10.950564719999999"/>
    <n v="30"/>
    <n v="54"/>
    <n v="58"/>
    <x v="2"/>
    <x v="1"/>
    <x v="2"/>
    <x v="2"/>
    <n v="47.333333333333336"/>
    <x v="2"/>
    <x v="4"/>
  </r>
  <r>
    <n v="43"/>
    <x v="1"/>
    <x v="3"/>
    <n v="12"/>
    <n v="5"/>
    <n v="50.99246222"/>
    <n v="27"/>
    <n v="56"/>
    <n v="89"/>
    <x v="0"/>
    <x v="0"/>
    <x v="4"/>
    <x v="1"/>
    <n v="57.333333333333336"/>
    <x v="3"/>
    <x v="5"/>
  </r>
  <r>
    <n v="41"/>
    <x v="0"/>
    <x v="3"/>
    <n v="12"/>
    <n v="2"/>
    <n v="1.1092071429999999"/>
    <n v="59"/>
    <n v="5"/>
    <n v="54"/>
    <x v="2"/>
    <x v="1"/>
    <x v="4"/>
    <x v="1"/>
    <n v="39.333333333333336"/>
    <x v="2"/>
    <x v="1"/>
  </r>
  <r>
    <n v="33"/>
    <x v="0"/>
    <x v="1"/>
    <n v="14"/>
    <n v="1"/>
    <n v="32.933631810000001"/>
    <n v="2"/>
    <n v="0"/>
    <n v="19"/>
    <x v="1"/>
    <x v="1"/>
    <x v="3"/>
    <x v="1"/>
    <n v="7"/>
    <x v="2"/>
    <x v="3"/>
  </r>
  <r>
    <n v="45"/>
    <x v="1"/>
    <x v="0"/>
    <n v="9"/>
    <n v="2"/>
    <n v="8.0621849010000002"/>
    <n v="54"/>
    <n v="7"/>
    <n v="80"/>
    <x v="2"/>
    <x v="1"/>
    <x v="4"/>
    <x v="1"/>
    <n v="47"/>
    <x v="2"/>
    <x v="1"/>
  </r>
  <r>
    <n v="47"/>
    <x v="1"/>
    <x v="0"/>
    <n v="1"/>
    <n v="3"/>
    <n v="47.031406840000002"/>
    <n v="13"/>
    <n v="96"/>
    <n v="16"/>
    <x v="0"/>
    <x v="1"/>
    <x v="2"/>
    <x v="0"/>
    <n v="41.666666666666664"/>
    <x v="2"/>
    <x v="2"/>
  </r>
  <r>
    <n v="42"/>
    <x v="0"/>
    <x v="2"/>
    <n v="0"/>
    <n v="2"/>
    <n v="5.6816446669999996"/>
    <n v="57"/>
    <n v="50"/>
    <n v="67"/>
    <x v="0"/>
    <x v="1"/>
    <x v="4"/>
    <x v="0"/>
    <n v="58"/>
    <x v="3"/>
    <x v="1"/>
  </r>
  <r>
    <n v="33"/>
    <x v="0"/>
    <x v="0"/>
    <n v="3"/>
    <n v="2"/>
    <n v="48.753159359999998"/>
    <n v="88"/>
    <n v="84"/>
    <n v="4"/>
    <x v="2"/>
    <x v="1"/>
    <x v="3"/>
    <x v="2"/>
    <n v="58.666666666666664"/>
    <x v="3"/>
    <x v="2"/>
  </r>
  <r>
    <n v="43"/>
    <x v="1"/>
    <x v="0"/>
    <n v="3"/>
    <n v="2"/>
    <n v="31.546319369999999"/>
    <n v="14"/>
    <n v="87"/>
    <n v="59"/>
    <x v="2"/>
    <x v="1"/>
    <x v="4"/>
    <x v="2"/>
    <n v="53.333333333333336"/>
    <x v="3"/>
    <x v="3"/>
  </r>
  <r>
    <n v="21"/>
    <x v="0"/>
    <x v="1"/>
    <n v="12"/>
    <n v="4"/>
    <n v="1.0634038459999999"/>
    <n v="1"/>
    <n v="24"/>
    <n v="22"/>
    <x v="1"/>
    <x v="1"/>
    <x v="5"/>
    <x v="1"/>
    <n v="15.666666666666666"/>
    <x v="2"/>
    <x v="1"/>
  </r>
  <r>
    <n v="32"/>
    <x v="1"/>
    <x v="0"/>
    <n v="0"/>
    <n v="3"/>
    <n v="45.700359900000002"/>
    <n v="23"/>
    <n v="46"/>
    <n v="45"/>
    <x v="1"/>
    <x v="1"/>
    <x v="3"/>
    <x v="0"/>
    <n v="38"/>
    <x v="2"/>
    <x v="2"/>
  </r>
  <r>
    <n v="45"/>
    <x v="1"/>
    <x v="0"/>
    <n v="5"/>
    <n v="2"/>
    <n v="27.085590069999999"/>
    <n v="77"/>
    <n v="54"/>
    <n v="51"/>
    <x v="2"/>
    <x v="1"/>
    <x v="4"/>
    <x v="2"/>
    <n v="60.666666666666664"/>
    <x v="1"/>
    <x v="0"/>
  </r>
  <r>
    <n v="33"/>
    <x v="1"/>
    <x v="0"/>
    <n v="3"/>
    <n v="2"/>
    <n v="14.133486769999999"/>
    <n v="63"/>
    <n v="63"/>
    <n v="9"/>
    <x v="0"/>
    <x v="1"/>
    <x v="3"/>
    <x v="2"/>
    <n v="45"/>
    <x v="2"/>
    <x v="4"/>
  </r>
  <r>
    <n v="46"/>
    <x v="1"/>
    <x v="0"/>
    <n v="0"/>
    <n v="2"/>
    <n v="39.363958879999998"/>
    <n v="70"/>
    <n v="82"/>
    <n v="45"/>
    <x v="1"/>
    <x v="1"/>
    <x v="2"/>
    <x v="0"/>
    <n v="65.666666666666671"/>
    <x v="1"/>
    <x v="3"/>
  </r>
  <r>
    <n v="43"/>
    <x v="0"/>
    <x v="0"/>
    <n v="0"/>
    <n v="1"/>
    <n v="47.333277690000003"/>
    <n v="99"/>
    <n v="92"/>
    <n v="27"/>
    <x v="2"/>
    <x v="1"/>
    <x v="4"/>
    <x v="0"/>
    <n v="72.666666666666671"/>
    <x v="0"/>
    <x v="2"/>
  </r>
  <r>
    <n v="38"/>
    <x v="0"/>
    <x v="3"/>
    <n v="14"/>
    <n v="4"/>
    <n v="25.184541159999998"/>
    <n v="23"/>
    <n v="9"/>
    <n v="96"/>
    <x v="1"/>
    <x v="1"/>
    <x v="1"/>
    <x v="1"/>
    <n v="42.666666666666664"/>
    <x v="2"/>
    <x v="0"/>
  </r>
  <r>
    <n v="26"/>
    <x v="1"/>
    <x v="0"/>
    <n v="12"/>
    <n v="1"/>
    <n v="16.777673719999999"/>
    <n v="26"/>
    <n v="55"/>
    <n v="42"/>
    <x v="1"/>
    <x v="1"/>
    <x v="0"/>
    <x v="1"/>
    <n v="41"/>
    <x v="2"/>
    <x v="4"/>
  </r>
  <r>
    <n v="22"/>
    <x v="1"/>
    <x v="3"/>
    <n v="0"/>
    <n v="4"/>
    <n v="40.447256199999998"/>
    <n v="36"/>
    <n v="11"/>
    <n v="25"/>
    <x v="1"/>
    <x v="1"/>
    <x v="5"/>
    <x v="0"/>
    <n v="24"/>
    <x v="2"/>
    <x v="2"/>
  </r>
  <r>
    <n v="34"/>
    <x v="1"/>
    <x v="0"/>
    <n v="7"/>
    <n v="2"/>
    <n v="35.089274889999999"/>
    <n v="93"/>
    <n v="32"/>
    <n v="54"/>
    <x v="1"/>
    <x v="1"/>
    <x v="3"/>
    <x v="2"/>
    <n v="59.666666666666664"/>
    <x v="3"/>
    <x v="3"/>
  </r>
  <r>
    <n v="42"/>
    <x v="1"/>
    <x v="3"/>
    <n v="9"/>
    <n v="3"/>
    <n v="45.437624190000001"/>
    <n v="90"/>
    <n v="70"/>
    <n v="47"/>
    <x v="0"/>
    <x v="0"/>
    <x v="4"/>
    <x v="1"/>
    <n v="69"/>
    <x v="1"/>
    <x v="2"/>
  </r>
  <r>
    <n v="33"/>
    <x v="1"/>
    <x v="3"/>
    <n v="7"/>
    <n v="5"/>
    <n v="35.625700639999998"/>
    <n v="38"/>
    <n v="16"/>
    <n v="28"/>
    <x v="2"/>
    <x v="1"/>
    <x v="3"/>
    <x v="2"/>
    <n v="27.333333333333332"/>
    <x v="2"/>
    <x v="3"/>
  </r>
  <r>
    <n v="30"/>
    <x v="0"/>
    <x v="0"/>
    <n v="1"/>
    <n v="5"/>
    <n v="13.176416939999999"/>
    <n v="62"/>
    <n v="60"/>
    <n v="26"/>
    <x v="1"/>
    <x v="1"/>
    <x v="0"/>
    <x v="0"/>
    <n v="49.333333333333336"/>
    <x v="2"/>
    <x v="4"/>
  </r>
  <r>
    <n v="34"/>
    <x v="0"/>
    <x v="0"/>
    <n v="10"/>
    <n v="2"/>
    <n v="47.58296249"/>
    <n v="78"/>
    <n v="9"/>
    <n v="17"/>
    <x v="2"/>
    <x v="1"/>
    <x v="3"/>
    <x v="1"/>
    <n v="34.666666666666664"/>
    <x v="2"/>
    <x v="2"/>
  </r>
  <r>
    <n v="47"/>
    <x v="0"/>
    <x v="1"/>
    <n v="12"/>
    <n v="1"/>
    <n v="6.24178736"/>
    <n v="25"/>
    <n v="30"/>
    <n v="59"/>
    <x v="2"/>
    <x v="1"/>
    <x v="2"/>
    <x v="1"/>
    <n v="38"/>
    <x v="2"/>
    <x v="1"/>
  </r>
  <r>
    <n v="32"/>
    <x v="0"/>
    <x v="0"/>
    <n v="6"/>
    <n v="3"/>
    <n v="14.39713751"/>
    <n v="64"/>
    <n v="59"/>
    <n v="73"/>
    <x v="0"/>
    <x v="0"/>
    <x v="3"/>
    <x v="2"/>
    <n v="65.333333333333329"/>
    <x v="1"/>
    <x v="4"/>
  </r>
  <r>
    <n v="37"/>
    <x v="1"/>
    <x v="1"/>
    <n v="13"/>
    <n v="4"/>
    <n v="27.009730390000001"/>
    <n v="3"/>
    <n v="69"/>
    <n v="68"/>
    <x v="0"/>
    <x v="0"/>
    <x v="1"/>
    <x v="1"/>
    <n v="46.666666666666664"/>
    <x v="2"/>
    <x v="0"/>
  </r>
  <r>
    <n v="45"/>
    <x v="1"/>
    <x v="2"/>
    <n v="7"/>
    <n v="2"/>
    <n v="29.2871013"/>
    <n v="28"/>
    <n v="16"/>
    <n v="73"/>
    <x v="1"/>
    <x v="1"/>
    <x v="4"/>
    <x v="2"/>
    <n v="39"/>
    <x v="2"/>
    <x v="0"/>
  </r>
  <r>
    <n v="25"/>
    <x v="1"/>
    <x v="0"/>
    <n v="7"/>
    <n v="3"/>
    <n v="1.765529331"/>
    <n v="0"/>
    <n v="49"/>
    <n v="20"/>
    <x v="1"/>
    <x v="1"/>
    <x v="5"/>
    <x v="2"/>
    <n v="23"/>
    <x v="2"/>
    <x v="1"/>
  </r>
  <r>
    <n v="22"/>
    <x v="1"/>
    <x v="3"/>
    <n v="10"/>
    <n v="3"/>
    <n v="40.028636290000001"/>
    <n v="49"/>
    <n v="36"/>
    <n v="23"/>
    <x v="1"/>
    <x v="1"/>
    <x v="5"/>
    <x v="1"/>
    <n v="36"/>
    <x v="2"/>
    <x v="2"/>
  </r>
  <r>
    <n v="38"/>
    <x v="1"/>
    <x v="1"/>
    <n v="9"/>
    <n v="4"/>
    <n v="19.080365919999998"/>
    <n v="85"/>
    <n v="81"/>
    <n v="2"/>
    <x v="1"/>
    <x v="0"/>
    <x v="1"/>
    <x v="1"/>
    <n v="56"/>
    <x v="3"/>
    <x v="4"/>
  </r>
  <r>
    <n v="34"/>
    <x v="0"/>
    <x v="0"/>
    <n v="14"/>
    <n v="3"/>
    <n v="21.320927050000002"/>
    <n v="10"/>
    <n v="61"/>
    <n v="94"/>
    <x v="1"/>
    <x v="1"/>
    <x v="3"/>
    <x v="1"/>
    <n v="55"/>
    <x v="3"/>
    <x v="0"/>
  </r>
  <r>
    <n v="44"/>
    <x v="1"/>
    <x v="3"/>
    <n v="10"/>
    <n v="1"/>
    <n v="41.468477219999997"/>
    <n v="73"/>
    <n v="89"/>
    <n v="61"/>
    <x v="0"/>
    <x v="0"/>
    <x v="4"/>
    <x v="1"/>
    <n v="74.333333333333329"/>
    <x v="0"/>
    <x v="2"/>
  </r>
  <r>
    <n v="42"/>
    <x v="0"/>
    <x v="0"/>
    <n v="12"/>
    <n v="1"/>
    <n v="19.964169590000001"/>
    <n v="58"/>
    <n v="79"/>
    <n v="100"/>
    <x v="1"/>
    <x v="1"/>
    <x v="4"/>
    <x v="1"/>
    <n v="79"/>
    <x v="0"/>
    <x v="4"/>
  </r>
  <r>
    <n v="24"/>
    <x v="0"/>
    <x v="2"/>
    <n v="6"/>
    <n v="1"/>
    <n v="3.3612438249999999"/>
    <n v="61"/>
    <n v="71"/>
    <n v="1"/>
    <x v="1"/>
    <x v="1"/>
    <x v="5"/>
    <x v="2"/>
    <n v="44.333333333333336"/>
    <x v="2"/>
    <x v="1"/>
  </r>
  <r>
    <n v="47"/>
    <x v="0"/>
    <x v="0"/>
    <n v="4"/>
    <n v="3"/>
    <n v="9.821988524"/>
    <n v="80"/>
    <n v="87"/>
    <n v="65"/>
    <x v="1"/>
    <x v="1"/>
    <x v="2"/>
    <x v="2"/>
    <n v="77.333333333333329"/>
    <x v="0"/>
    <x v="1"/>
  </r>
  <r>
    <n v="29"/>
    <x v="0"/>
    <x v="0"/>
    <n v="0"/>
    <n v="1"/>
    <n v="48.795158620000002"/>
    <n v="35"/>
    <n v="76"/>
    <n v="41"/>
    <x v="0"/>
    <x v="1"/>
    <x v="0"/>
    <x v="0"/>
    <n v="50.666666666666664"/>
    <x v="3"/>
    <x v="2"/>
  </r>
  <r>
    <n v="26"/>
    <x v="1"/>
    <x v="1"/>
    <n v="11"/>
    <n v="4"/>
    <n v="4.5202681199999999"/>
    <n v="55"/>
    <n v="28"/>
    <n v="33"/>
    <x v="1"/>
    <x v="1"/>
    <x v="0"/>
    <x v="1"/>
    <n v="38.666666666666664"/>
    <x v="2"/>
    <x v="1"/>
  </r>
  <r>
    <n v="44"/>
    <x v="0"/>
    <x v="0"/>
    <n v="8"/>
    <n v="3"/>
    <n v="18.746560049999999"/>
    <n v="89"/>
    <n v="31"/>
    <n v="41"/>
    <x v="0"/>
    <x v="0"/>
    <x v="4"/>
    <x v="1"/>
    <n v="53.666666666666664"/>
    <x v="3"/>
    <x v="4"/>
  </r>
  <r>
    <n v="36"/>
    <x v="0"/>
    <x v="0"/>
    <n v="12"/>
    <n v="5"/>
    <n v="26.158958349999999"/>
    <n v="20"/>
    <n v="87"/>
    <n v="19"/>
    <x v="1"/>
    <x v="1"/>
    <x v="1"/>
    <x v="1"/>
    <n v="42"/>
    <x v="2"/>
    <x v="0"/>
  </r>
  <r>
    <n v="26"/>
    <x v="0"/>
    <x v="2"/>
    <n v="15"/>
    <n v="3"/>
    <n v="25.66404137"/>
    <n v="12"/>
    <n v="79"/>
    <n v="96"/>
    <x v="1"/>
    <x v="1"/>
    <x v="0"/>
    <x v="1"/>
    <n v="62.333333333333336"/>
    <x v="1"/>
    <x v="0"/>
  </r>
  <r>
    <n v="41"/>
    <x v="1"/>
    <x v="0"/>
    <n v="6"/>
    <n v="4"/>
    <n v="1.197997151"/>
    <n v="8"/>
    <n v="10"/>
    <n v="67"/>
    <x v="0"/>
    <x v="0"/>
    <x v="4"/>
    <x v="2"/>
    <n v="28.333333333333332"/>
    <x v="2"/>
    <x v="1"/>
  </r>
  <r>
    <n v="45"/>
    <x v="1"/>
    <x v="0"/>
    <n v="1"/>
    <n v="5"/>
    <n v="26.058136569999998"/>
    <n v="10"/>
    <n v="95"/>
    <n v="44"/>
    <x v="1"/>
    <x v="1"/>
    <x v="4"/>
    <x v="0"/>
    <n v="49.666666666666664"/>
    <x v="2"/>
    <x v="0"/>
  </r>
  <r>
    <n v="49"/>
    <x v="1"/>
    <x v="3"/>
    <n v="5"/>
    <n v="3"/>
    <n v="20.188622899999999"/>
    <n v="74"/>
    <n v="5"/>
    <n v="74"/>
    <x v="1"/>
    <x v="1"/>
    <x v="2"/>
    <x v="2"/>
    <n v="51"/>
    <x v="3"/>
    <x v="0"/>
  </r>
  <r>
    <n v="31"/>
    <x v="0"/>
    <x v="0"/>
    <n v="1"/>
    <n v="1"/>
    <n v="49.60396677"/>
    <n v="69"/>
    <n v="34"/>
    <n v="41"/>
    <x v="0"/>
    <x v="1"/>
    <x v="3"/>
    <x v="0"/>
    <n v="48"/>
    <x v="2"/>
    <x v="2"/>
  </r>
  <r>
    <n v="44"/>
    <x v="0"/>
    <x v="1"/>
    <n v="14"/>
    <n v="2"/>
    <n v="8.9579541999999996"/>
    <n v="0"/>
    <n v="32"/>
    <n v="46"/>
    <x v="0"/>
    <x v="0"/>
    <x v="4"/>
    <x v="1"/>
    <n v="26"/>
    <x v="2"/>
    <x v="1"/>
  </r>
  <r>
    <n v="36"/>
    <x v="1"/>
    <x v="1"/>
    <n v="0"/>
    <n v="2"/>
    <n v="18.70770984"/>
    <n v="69"/>
    <n v="17"/>
    <n v="4"/>
    <x v="2"/>
    <x v="1"/>
    <x v="1"/>
    <x v="0"/>
    <n v="30"/>
    <x v="2"/>
    <x v="4"/>
  </r>
  <r>
    <n v="32"/>
    <x v="0"/>
    <x v="0"/>
    <n v="13"/>
    <n v="1"/>
    <n v="21.974074250000001"/>
    <n v="76"/>
    <n v="36"/>
    <n v="88"/>
    <x v="1"/>
    <x v="1"/>
    <x v="3"/>
    <x v="1"/>
    <n v="66.666666666666671"/>
    <x v="1"/>
    <x v="0"/>
  </r>
  <r>
    <n v="39"/>
    <x v="1"/>
    <x v="1"/>
    <n v="6"/>
    <n v="2"/>
    <n v="20.534676860000001"/>
    <n v="85"/>
    <n v="12"/>
    <n v="48"/>
    <x v="2"/>
    <x v="1"/>
    <x v="1"/>
    <x v="2"/>
    <n v="48.333333333333336"/>
    <x v="2"/>
    <x v="0"/>
  </r>
  <r>
    <n v="44"/>
    <x v="1"/>
    <x v="3"/>
    <n v="12"/>
    <n v="2"/>
    <n v="34.291541379999998"/>
    <n v="55"/>
    <n v="73"/>
    <n v="36"/>
    <x v="1"/>
    <x v="1"/>
    <x v="4"/>
    <x v="1"/>
    <n v="54.666666666666664"/>
    <x v="3"/>
    <x v="3"/>
  </r>
  <r>
    <n v="23"/>
    <x v="0"/>
    <x v="0"/>
    <n v="15"/>
    <n v="1"/>
    <n v="11.775642879999999"/>
    <n v="30"/>
    <n v="100"/>
    <n v="33"/>
    <x v="1"/>
    <x v="1"/>
    <x v="5"/>
    <x v="1"/>
    <n v="54.333333333333336"/>
    <x v="3"/>
    <x v="4"/>
  </r>
  <r>
    <n v="29"/>
    <x v="0"/>
    <x v="2"/>
    <n v="1"/>
    <n v="1"/>
    <n v="12.05357764"/>
    <n v="85"/>
    <n v="89"/>
    <n v="72"/>
    <x v="1"/>
    <x v="1"/>
    <x v="0"/>
    <x v="0"/>
    <n v="82"/>
    <x v="4"/>
    <x v="4"/>
  </r>
  <r>
    <n v="22"/>
    <x v="0"/>
    <x v="0"/>
    <n v="12"/>
    <n v="3"/>
    <n v="37.460547429999998"/>
    <n v="36"/>
    <n v="80"/>
    <n v="69"/>
    <x v="1"/>
    <x v="1"/>
    <x v="5"/>
    <x v="1"/>
    <n v="61.666666666666664"/>
    <x v="1"/>
    <x v="3"/>
  </r>
  <r>
    <n v="28"/>
    <x v="0"/>
    <x v="0"/>
    <n v="13"/>
    <n v="3"/>
    <n v="26.014525930000001"/>
    <n v="46"/>
    <n v="63"/>
    <n v="17"/>
    <x v="0"/>
    <x v="0"/>
    <x v="0"/>
    <x v="1"/>
    <n v="42"/>
    <x v="2"/>
    <x v="0"/>
  </r>
  <r>
    <n v="32"/>
    <x v="1"/>
    <x v="3"/>
    <n v="13"/>
    <n v="1"/>
    <n v="21.757783799999999"/>
    <n v="90"/>
    <n v="0"/>
    <n v="77"/>
    <x v="1"/>
    <x v="0"/>
    <x v="3"/>
    <x v="1"/>
    <n v="55.666666666666664"/>
    <x v="3"/>
    <x v="0"/>
  </r>
  <r>
    <n v="37"/>
    <x v="1"/>
    <x v="0"/>
    <n v="1"/>
    <n v="4"/>
    <n v="9.4601525839999994"/>
    <n v="77"/>
    <n v="62"/>
    <n v="18"/>
    <x v="1"/>
    <x v="1"/>
    <x v="1"/>
    <x v="0"/>
    <n v="52.333333333333336"/>
    <x v="3"/>
    <x v="1"/>
  </r>
  <r>
    <n v="34"/>
    <x v="1"/>
    <x v="3"/>
    <n v="12"/>
    <n v="2"/>
    <n v="10.376361149999999"/>
    <n v="46"/>
    <n v="88"/>
    <n v="77"/>
    <x v="0"/>
    <x v="0"/>
    <x v="3"/>
    <x v="1"/>
    <n v="70.333333333333329"/>
    <x v="0"/>
    <x v="4"/>
  </r>
  <r>
    <n v="23"/>
    <x v="1"/>
    <x v="0"/>
    <n v="10"/>
    <n v="3"/>
    <n v="1.5275818409999999"/>
    <n v="68"/>
    <n v="33"/>
    <n v="39"/>
    <x v="0"/>
    <x v="1"/>
    <x v="5"/>
    <x v="1"/>
    <n v="46.666666666666664"/>
    <x v="2"/>
    <x v="1"/>
  </r>
  <r>
    <n v="34"/>
    <x v="1"/>
    <x v="2"/>
    <n v="4"/>
    <n v="2"/>
    <n v="5.5713134430000002"/>
    <n v="57"/>
    <n v="9"/>
    <n v="16"/>
    <x v="0"/>
    <x v="1"/>
    <x v="3"/>
    <x v="2"/>
    <n v="27.333333333333332"/>
    <x v="2"/>
    <x v="1"/>
  </r>
  <r>
    <n v="41"/>
    <x v="0"/>
    <x v="1"/>
    <n v="13"/>
    <n v="5"/>
    <n v="28.841934729999998"/>
    <n v="35"/>
    <n v="83"/>
    <n v="59"/>
    <x v="1"/>
    <x v="1"/>
    <x v="4"/>
    <x v="1"/>
    <n v="59"/>
    <x v="3"/>
    <x v="0"/>
  </r>
  <r>
    <n v="21"/>
    <x v="1"/>
    <x v="0"/>
    <n v="4"/>
    <n v="1"/>
    <n v="45.593656500000002"/>
    <n v="31"/>
    <n v="6"/>
    <n v="98"/>
    <x v="1"/>
    <x v="1"/>
    <x v="5"/>
    <x v="2"/>
    <n v="45"/>
    <x v="2"/>
    <x v="2"/>
  </r>
  <r>
    <n v="34"/>
    <x v="1"/>
    <x v="0"/>
    <n v="15"/>
    <n v="4"/>
    <n v="15.35823826"/>
    <n v="97"/>
    <n v="55"/>
    <n v="92"/>
    <x v="2"/>
    <x v="0"/>
    <x v="3"/>
    <x v="1"/>
    <n v="81.333333333333329"/>
    <x v="4"/>
    <x v="4"/>
  </r>
  <r>
    <n v="27"/>
    <x v="1"/>
    <x v="0"/>
    <n v="6"/>
    <n v="5"/>
    <n v="17.387361290000001"/>
    <n v="63"/>
    <n v="79"/>
    <n v="41"/>
    <x v="0"/>
    <x v="0"/>
    <x v="0"/>
    <x v="2"/>
    <n v="61"/>
    <x v="1"/>
    <x v="4"/>
  </r>
  <r>
    <n v="27"/>
    <x v="0"/>
    <x v="2"/>
    <n v="0"/>
    <n v="5"/>
    <n v="6.7802805309999998"/>
    <n v="70"/>
    <n v="36"/>
    <n v="80"/>
    <x v="0"/>
    <x v="1"/>
    <x v="0"/>
    <x v="0"/>
    <n v="62"/>
    <x v="1"/>
    <x v="1"/>
  </r>
  <r>
    <n v="36"/>
    <x v="0"/>
    <x v="0"/>
    <n v="7"/>
    <n v="5"/>
    <n v="20.43154728"/>
    <n v="41"/>
    <n v="28"/>
    <n v="71"/>
    <x v="1"/>
    <x v="1"/>
    <x v="1"/>
    <x v="2"/>
    <n v="46.666666666666664"/>
    <x v="2"/>
    <x v="0"/>
  </r>
  <r>
    <n v="31"/>
    <x v="0"/>
    <x v="0"/>
    <n v="2"/>
    <n v="1"/>
    <n v="2.8610852279999999"/>
    <n v="47"/>
    <n v="11"/>
    <n v="64"/>
    <x v="2"/>
    <x v="1"/>
    <x v="3"/>
    <x v="0"/>
    <n v="40.666666666666664"/>
    <x v="2"/>
    <x v="1"/>
  </r>
  <r>
    <n v="38"/>
    <x v="0"/>
    <x v="0"/>
    <n v="3"/>
    <n v="3"/>
    <n v="46.880034809999998"/>
    <n v="73"/>
    <n v="16"/>
    <n v="52"/>
    <x v="0"/>
    <x v="1"/>
    <x v="1"/>
    <x v="2"/>
    <n v="47"/>
    <x v="2"/>
    <x v="2"/>
  </r>
  <r>
    <n v="29"/>
    <x v="1"/>
    <x v="1"/>
    <n v="14"/>
    <n v="1"/>
    <n v="34.655567410000003"/>
    <n v="80"/>
    <n v="47"/>
    <n v="99"/>
    <x v="1"/>
    <x v="0"/>
    <x v="0"/>
    <x v="1"/>
    <n v="75.333333333333329"/>
    <x v="0"/>
    <x v="3"/>
  </r>
  <r>
    <n v="28"/>
    <x v="1"/>
    <x v="0"/>
    <n v="8"/>
    <n v="3"/>
    <n v="50.53744047"/>
    <n v="29"/>
    <n v="83"/>
    <n v="6"/>
    <x v="1"/>
    <x v="1"/>
    <x v="0"/>
    <x v="1"/>
    <n v="39.333333333333336"/>
    <x v="2"/>
    <x v="5"/>
  </r>
  <r>
    <n v="24"/>
    <x v="0"/>
    <x v="0"/>
    <n v="3"/>
    <n v="5"/>
    <n v="45.141158130000001"/>
    <n v="20"/>
    <n v="25"/>
    <n v="4"/>
    <x v="0"/>
    <x v="1"/>
    <x v="5"/>
    <x v="2"/>
    <n v="16.333333333333332"/>
    <x v="2"/>
    <x v="2"/>
  </r>
  <r>
    <n v="25"/>
    <x v="0"/>
    <x v="0"/>
    <n v="9"/>
    <n v="5"/>
    <n v="24.649529680000001"/>
    <n v="59"/>
    <n v="82"/>
    <n v="23"/>
    <x v="1"/>
    <x v="1"/>
    <x v="5"/>
    <x v="1"/>
    <n v="54.666666666666664"/>
    <x v="3"/>
    <x v="0"/>
  </r>
  <r>
    <n v="39"/>
    <x v="1"/>
    <x v="1"/>
    <n v="11"/>
    <n v="4"/>
    <n v="26.984251560000001"/>
    <n v="12"/>
    <n v="11"/>
    <n v="27"/>
    <x v="0"/>
    <x v="0"/>
    <x v="1"/>
    <x v="1"/>
    <n v="16.666666666666668"/>
    <x v="2"/>
    <x v="0"/>
  </r>
  <r>
    <n v="45"/>
    <x v="1"/>
    <x v="2"/>
    <n v="14"/>
    <n v="3"/>
    <n v="10.52880233"/>
    <n v="0"/>
    <n v="20"/>
    <n v="61"/>
    <x v="2"/>
    <x v="1"/>
    <x v="4"/>
    <x v="1"/>
    <n v="27"/>
    <x v="2"/>
    <x v="4"/>
  </r>
  <r>
    <n v="21"/>
    <x v="0"/>
    <x v="0"/>
    <n v="4"/>
    <n v="5"/>
    <n v="24.101967139999999"/>
    <n v="64"/>
    <n v="41"/>
    <n v="16"/>
    <x v="1"/>
    <x v="1"/>
    <x v="5"/>
    <x v="2"/>
    <n v="40.333333333333336"/>
    <x v="2"/>
    <x v="0"/>
  </r>
  <r>
    <n v="46"/>
    <x v="0"/>
    <x v="2"/>
    <n v="6"/>
    <n v="2"/>
    <n v="46.151393669999997"/>
    <n v="32"/>
    <n v="60"/>
    <n v="100"/>
    <x v="1"/>
    <x v="1"/>
    <x v="2"/>
    <x v="2"/>
    <n v="64"/>
    <x v="1"/>
    <x v="2"/>
  </r>
  <r>
    <n v="43"/>
    <x v="0"/>
    <x v="2"/>
    <n v="15"/>
    <n v="4"/>
    <n v="3.5426711819999999"/>
    <n v="37"/>
    <n v="57"/>
    <n v="19"/>
    <x v="1"/>
    <x v="1"/>
    <x v="4"/>
    <x v="1"/>
    <n v="37.666666666666664"/>
    <x v="2"/>
    <x v="1"/>
  </r>
  <r>
    <n v="46"/>
    <x v="0"/>
    <x v="3"/>
    <n v="3"/>
    <n v="1"/>
    <n v="44.177840150000002"/>
    <n v="24"/>
    <n v="53"/>
    <n v="2"/>
    <x v="1"/>
    <x v="1"/>
    <x v="2"/>
    <x v="2"/>
    <n v="26.333333333333332"/>
    <x v="2"/>
    <x v="2"/>
  </r>
  <r>
    <n v="32"/>
    <x v="1"/>
    <x v="3"/>
    <n v="13"/>
    <n v="4"/>
    <n v="18.04739008"/>
    <n v="25"/>
    <n v="33"/>
    <n v="36"/>
    <x v="1"/>
    <x v="1"/>
    <x v="3"/>
    <x v="1"/>
    <n v="31.333333333333332"/>
    <x v="2"/>
    <x v="4"/>
  </r>
  <r>
    <n v="25"/>
    <x v="1"/>
    <x v="0"/>
    <n v="0"/>
    <n v="2"/>
    <n v="45.975638250000003"/>
    <n v="76"/>
    <n v="6"/>
    <n v="89"/>
    <x v="0"/>
    <x v="0"/>
    <x v="5"/>
    <x v="0"/>
    <n v="57"/>
    <x v="3"/>
    <x v="2"/>
  </r>
  <r>
    <n v="24"/>
    <x v="1"/>
    <x v="0"/>
    <n v="8"/>
    <n v="3"/>
    <n v="48.043995320000001"/>
    <n v="58"/>
    <n v="34"/>
    <n v="14"/>
    <x v="1"/>
    <x v="1"/>
    <x v="5"/>
    <x v="1"/>
    <n v="35.333333333333336"/>
    <x v="2"/>
    <x v="2"/>
  </r>
  <r>
    <n v="44"/>
    <x v="0"/>
    <x v="0"/>
    <n v="3"/>
    <n v="1"/>
    <n v="34.543244350000002"/>
    <n v="91"/>
    <n v="14"/>
    <n v="50"/>
    <x v="0"/>
    <x v="1"/>
    <x v="4"/>
    <x v="2"/>
    <n v="51.666666666666664"/>
    <x v="3"/>
    <x v="3"/>
  </r>
  <r>
    <n v="20"/>
    <x v="0"/>
    <x v="1"/>
    <n v="8"/>
    <n v="1"/>
    <n v="34.221189330000001"/>
    <n v="32"/>
    <n v="64"/>
    <n v="47"/>
    <x v="1"/>
    <x v="1"/>
    <x v="5"/>
    <x v="1"/>
    <n v="47.666666666666664"/>
    <x v="2"/>
    <x v="3"/>
  </r>
  <r>
    <n v="40"/>
    <x v="1"/>
    <x v="1"/>
    <n v="5"/>
    <n v="3"/>
    <n v="23.63771689"/>
    <n v="100"/>
    <n v="89"/>
    <n v="7"/>
    <x v="0"/>
    <x v="0"/>
    <x v="1"/>
    <x v="2"/>
    <n v="65.333333333333329"/>
    <x v="1"/>
    <x v="0"/>
  </r>
  <r>
    <n v="41"/>
    <x v="1"/>
    <x v="0"/>
    <n v="14"/>
    <n v="4"/>
    <n v="42.777011229999999"/>
    <n v="40"/>
    <n v="98"/>
    <n v="12"/>
    <x v="1"/>
    <x v="1"/>
    <x v="4"/>
    <x v="1"/>
    <n v="50"/>
    <x v="3"/>
    <x v="2"/>
  </r>
  <r>
    <n v="40"/>
    <x v="1"/>
    <x v="3"/>
    <n v="0"/>
    <n v="5"/>
    <n v="49.080637920000001"/>
    <n v="29"/>
    <n v="24"/>
    <n v="47"/>
    <x v="0"/>
    <x v="1"/>
    <x v="1"/>
    <x v="0"/>
    <n v="33.333333333333336"/>
    <x v="2"/>
    <x v="2"/>
  </r>
  <r>
    <n v="25"/>
    <x v="1"/>
    <x v="3"/>
    <n v="11"/>
    <n v="4"/>
    <n v="39.75409002"/>
    <n v="56"/>
    <n v="58"/>
    <n v="2"/>
    <x v="2"/>
    <x v="1"/>
    <x v="5"/>
    <x v="1"/>
    <n v="38.666666666666664"/>
    <x v="2"/>
    <x v="3"/>
  </r>
  <r>
    <n v="25"/>
    <x v="0"/>
    <x v="0"/>
    <n v="2"/>
    <n v="2"/>
    <n v="32.096836690000004"/>
    <n v="48"/>
    <n v="78"/>
    <n v="64"/>
    <x v="1"/>
    <x v="1"/>
    <x v="5"/>
    <x v="0"/>
    <n v="63.333333333333336"/>
    <x v="1"/>
    <x v="3"/>
  </r>
  <r>
    <n v="42"/>
    <x v="1"/>
    <x v="0"/>
    <n v="10"/>
    <n v="5"/>
    <n v="31.339644790000001"/>
    <n v="47"/>
    <n v="85"/>
    <n v="72"/>
    <x v="1"/>
    <x v="1"/>
    <x v="4"/>
    <x v="1"/>
    <n v="68"/>
    <x v="1"/>
    <x v="3"/>
  </r>
  <r>
    <n v="35"/>
    <x v="1"/>
    <x v="0"/>
    <n v="1"/>
    <n v="4"/>
    <n v="43.473495079999999"/>
    <n v="71"/>
    <n v="5"/>
    <n v="30"/>
    <x v="2"/>
    <x v="1"/>
    <x v="3"/>
    <x v="0"/>
    <n v="35.333333333333336"/>
    <x v="2"/>
    <x v="2"/>
  </r>
  <r>
    <n v="23"/>
    <x v="1"/>
    <x v="3"/>
    <n v="15"/>
    <n v="3"/>
    <n v="28.060188289999999"/>
    <n v="48"/>
    <n v="51"/>
    <n v="25"/>
    <x v="1"/>
    <x v="1"/>
    <x v="5"/>
    <x v="1"/>
    <n v="41.333333333333336"/>
    <x v="2"/>
    <x v="0"/>
  </r>
  <r>
    <n v="49"/>
    <x v="1"/>
    <x v="1"/>
    <n v="8"/>
    <n v="2"/>
    <n v="41.192994310000003"/>
    <n v="46"/>
    <n v="78"/>
    <n v="80"/>
    <x v="2"/>
    <x v="0"/>
    <x v="2"/>
    <x v="1"/>
    <n v="68"/>
    <x v="1"/>
    <x v="2"/>
  </r>
  <r>
    <n v="30"/>
    <x v="1"/>
    <x v="3"/>
    <n v="15"/>
    <n v="2"/>
    <n v="26.444262760000001"/>
    <n v="55"/>
    <n v="87"/>
    <n v="55"/>
    <x v="0"/>
    <x v="0"/>
    <x v="0"/>
    <x v="1"/>
    <n v="65.666666666666671"/>
    <x v="1"/>
    <x v="0"/>
  </r>
  <r>
    <n v="49"/>
    <x v="1"/>
    <x v="3"/>
    <n v="14"/>
    <n v="2"/>
    <n v="4.1222137490000001"/>
    <n v="64"/>
    <n v="20"/>
    <n v="33"/>
    <x v="1"/>
    <x v="1"/>
    <x v="2"/>
    <x v="1"/>
    <n v="39"/>
    <x v="2"/>
    <x v="1"/>
  </r>
  <r>
    <n v="49"/>
    <x v="1"/>
    <x v="0"/>
    <n v="11"/>
    <n v="5"/>
    <n v="20.197350449999998"/>
    <n v="11"/>
    <n v="70"/>
    <n v="8"/>
    <x v="1"/>
    <x v="1"/>
    <x v="2"/>
    <x v="1"/>
    <n v="29.666666666666668"/>
    <x v="2"/>
    <x v="0"/>
  </r>
  <r>
    <n v="49"/>
    <x v="0"/>
    <x v="3"/>
    <n v="0"/>
    <n v="1"/>
    <n v="23.222047880000002"/>
    <n v="68"/>
    <n v="92"/>
    <n v="61"/>
    <x v="2"/>
    <x v="1"/>
    <x v="2"/>
    <x v="0"/>
    <n v="73.666666666666671"/>
    <x v="0"/>
    <x v="0"/>
  </r>
  <r>
    <n v="50"/>
    <x v="0"/>
    <x v="3"/>
    <n v="12"/>
    <n v="5"/>
    <n v="8.0808622490000008"/>
    <n v="87"/>
    <n v="95"/>
    <n v="12"/>
    <x v="0"/>
    <x v="0"/>
    <x v="2"/>
    <x v="1"/>
    <n v="64.666666666666671"/>
    <x v="1"/>
    <x v="1"/>
  </r>
  <r>
    <n v="43"/>
    <x v="0"/>
    <x v="0"/>
    <n v="13"/>
    <n v="4"/>
    <n v="6.1248164589999998"/>
    <n v="5"/>
    <n v="31"/>
    <n v="68"/>
    <x v="2"/>
    <x v="1"/>
    <x v="4"/>
    <x v="1"/>
    <n v="34.666666666666664"/>
    <x v="2"/>
    <x v="1"/>
  </r>
  <r>
    <n v="42"/>
    <x v="0"/>
    <x v="0"/>
    <n v="8"/>
    <n v="1"/>
    <n v="27.773247479999998"/>
    <n v="88"/>
    <n v="52"/>
    <n v="40"/>
    <x v="1"/>
    <x v="1"/>
    <x v="4"/>
    <x v="1"/>
    <n v="60"/>
    <x v="1"/>
    <x v="0"/>
  </r>
  <r>
    <n v="28"/>
    <x v="1"/>
    <x v="3"/>
    <n v="8"/>
    <n v="4"/>
    <n v="5.2571818280000002"/>
    <n v="64"/>
    <n v="58"/>
    <n v="76"/>
    <x v="2"/>
    <x v="0"/>
    <x v="0"/>
    <x v="1"/>
    <n v="66"/>
    <x v="1"/>
    <x v="1"/>
  </r>
  <r>
    <n v="42"/>
    <x v="0"/>
    <x v="2"/>
    <n v="7"/>
    <n v="1"/>
    <n v="16.147258390000001"/>
    <n v="24"/>
    <n v="68"/>
    <n v="0"/>
    <x v="1"/>
    <x v="1"/>
    <x v="4"/>
    <x v="2"/>
    <n v="30.666666666666668"/>
    <x v="2"/>
    <x v="4"/>
  </r>
  <r>
    <n v="22"/>
    <x v="0"/>
    <x v="3"/>
    <n v="7"/>
    <n v="5"/>
    <n v="38.229848799999999"/>
    <n v="0"/>
    <n v="61"/>
    <n v="88"/>
    <x v="0"/>
    <x v="0"/>
    <x v="5"/>
    <x v="2"/>
    <n v="49.666666666666664"/>
    <x v="2"/>
    <x v="3"/>
  </r>
  <r>
    <n v="38"/>
    <x v="1"/>
    <x v="2"/>
    <n v="10"/>
    <n v="2"/>
    <n v="49.221608979999999"/>
    <n v="31"/>
    <n v="3"/>
    <n v="46"/>
    <x v="2"/>
    <x v="1"/>
    <x v="1"/>
    <x v="1"/>
    <n v="26.666666666666668"/>
    <x v="2"/>
    <x v="2"/>
  </r>
  <r>
    <n v="50"/>
    <x v="1"/>
    <x v="0"/>
    <n v="13"/>
    <n v="3"/>
    <n v="36.893529030000003"/>
    <n v="2"/>
    <n v="85"/>
    <n v="3"/>
    <x v="2"/>
    <x v="1"/>
    <x v="2"/>
    <x v="1"/>
    <n v="30"/>
    <x v="2"/>
    <x v="3"/>
  </r>
  <r>
    <n v="27"/>
    <x v="0"/>
    <x v="3"/>
    <n v="11"/>
    <n v="2"/>
    <n v="50.631277420000004"/>
    <n v="48"/>
    <n v="17"/>
    <n v="99"/>
    <x v="1"/>
    <x v="1"/>
    <x v="0"/>
    <x v="1"/>
    <n v="54.666666666666664"/>
    <x v="3"/>
    <x v="5"/>
  </r>
  <r>
    <n v="24"/>
    <x v="0"/>
    <x v="0"/>
    <n v="0"/>
    <n v="5"/>
    <n v="35.91689856"/>
    <n v="18"/>
    <n v="98"/>
    <n v="62"/>
    <x v="0"/>
    <x v="0"/>
    <x v="5"/>
    <x v="0"/>
    <n v="59.333333333333336"/>
    <x v="3"/>
    <x v="3"/>
  </r>
  <r>
    <n v="23"/>
    <x v="1"/>
    <x v="0"/>
    <n v="10"/>
    <n v="1"/>
    <n v="15.68972353"/>
    <n v="59"/>
    <n v="80"/>
    <n v="51"/>
    <x v="0"/>
    <x v="0"/>
    <x v="5"/>
    <x v="1"/>
    <n v="63.333333333333336"/>
    <x v="1"/>
    <x v="4"/>
  </r>
  <r>
    <n v="43"/>
    <x v="0"/>
    <x v="0"/>
    <n v="7"/>
    <n v="2"/>
    <n v="34.602627030000001"/>
    <n v="28"/>
    <n v="55"/>
    <n v="9"/>
    <x v="1"/>
    <x v="1"/>
    <x v="4"/>
    <x v="2"/>
    <n v="30.666666666666668"/>
    <x v="2"/>
    <x v="3"/>
  </r>
  <r>
    <n v="50"/>
    <x v="1"/>
    <x v="3"/>
    <n v="9"/>
    <n v="5"/>
    <n v="36.107838260000001"/>
    <n v="49"/>
    <n v="23"/>
    <n v="27"/>
    <x v="0"/>
    <x v="0"/>
    <x v="2"/>
    <x v="1"/>
    <n v="33"/>
    <x v="2"/>
    <x v="3"/>
  </r>
  <r>
    <n v="25"/>
    <x v="1"/>
    <x v="2"/>
    <n v="13"/>
    <n v="4"/>
    <n v="19.58634923"/>
    <n v="1"/>
    <n v="65"/>
    <n v="5"/>
    <x v="1"/>
    <x v="1"/>
    <x v="5"/>
    <x v="1"/>
    <n v="23.666666666666668"/>
    <x v="2"/>
    <x v="4"/>
  </r>
  <r>
    <n v="21"/>
    <x v="1"/>
    <x v="1"/>
    <n v="2"/>
    <n v="3"/>
    <n v="1.88569253"/>
    <n v="72"/>
    <n v="12"/>
    <n v="26"/>
    <x v="1"/>
    <x v="1"/>
    <x v="5"/>
    <x v="0"/>
    <n v="36.666666666666664"/>
    <x v="2"/>
    <x v="1"/>
  </r>
  <r>
    <n v="39"/>
    <x v="1"/>
    <x v="2"/>
    <n v="10"/>
    <n v="2"/>
    <n v="36.159989240000002"/>
    <n v="55"/>
    <n v="61"/>
    <n v="11"/>
    <x v="1"/>
    <x v="1"/>
    <x v="1"/>
    <x v="1"/>
    <n v="42.333333333333336"/>
    <x v="2"/>
    <x v="3"/>
  </r>
  <r>
    <n v="47"/>
    <x v="0"/>
    <x v="1"/>
    <n v="6"/>
    <n v="1"/>
    <n v="2.0850047639999998"/>
    <n v="16"/>
    <n v="53"/>
    <n v="61"/>
    <x v="0"/>
    <x v="0"/>
    <x v="2"/>
    <x v="2"/>
    <n v="43.333333333333336"/>
    <x v="2"/>
    <x v="1"/>
  </r>
  <r>
    <n v="30"/>
    <x v="1"/>
    <x v="1"/>
    <n v="10"/>
    <n v="4"/>
    <n v="32.5594039"/>
    <n v="59"/>
    <n v="14"/>
    <n v="51"/>
    <x v="1"/>
    <x v="1"/>
    <x v="0"/>
    <x v="1"/>
    <n v="41.333333333333336"/>
    <x v="2"/>
    <x v="3"/>
  </r>
  <r>
    <n v="23"/>
    <x v="1"/>
    <x v="0"/>
    <n v="14"/>
    <n v="5"/>
    <n v="9.1808244370000001"/>
    <n v="35"/>
    <n v="68"/>
    <n v="47"/>
    <x v="1"/>
    <x v="1"/>
    <x v="5"/>
    <x v="1"/>
    <n v="50"/>
    <x v="3"/>
    <x v="1"/>
  </r>
  <r>
    <n v="34"/>
    <x v="0"/>
    <x v="0"/>
    <n v="0"/>
    <n v="3"/>
    <n v="29.280176390000001"/>
    <n v="60"/>
    <n v="2"/>
    <n v="66"/>
    <x v="1"/>
    <x v="1"/>
    <x v="3"/>
    <x v="0"/>
    <n v="42.666666666666664"/>
    <x v="2"/>
    <x v="0"/>
  </r>
  <r>
    <n v="25"/>
    <x v="1"/>
    <x v="0"/>
    <n v="0"/>
    <n v="1"/>
    <n v="26.195651269999999"/>
    <n v="16"/>
    <n v="36"/>
    <n v="45"/>
    <x v="1"/>
    <x v="1"/>
    <x v="5"/>
    <x v="0"/>
    <n v="32.333333333333336"/>
    <x v="2"/>
    <x v="0"/>
  </r>
  <r>
    <n v="41"/>
    <x v="0"/>
    <x v="0"/>
    <n v="15"/>
    <n v="5"/>
    <n v="1.6756821150000001"/>
    <n v="48"/>
    <n v="36"/>
    <n v="96"/>
    <x v="1"/>
    <x v="1"/>
    <x v="4"/>
    <x v="1"/>
    <n v="60"/>
    <x v="1"/>
    <x v="1"/>
  </r>
  <r>
    <n v="36"/>
    <x v="0"/>
    <x v="2"/>
    <n v="9"/>
    <n v="5"/>
    <n v="19.14329085"/>
    <n v="75"/>
    <n v="100"/>
    <n v="73"/>
    <x v="1"/>
    <x v="0"/>
    <x v="1"/>
    <x v="1"/>
    <n v="82.666666666666671"/>
    <x v="4"/>
    <x v="4"/>
  </r>
  <r>
    <n v="49"/>
    <x v="0"/>
    <x v="2"/>
    <n v="12"/>
    <n v="2"/>
    <n v="31.054558369999999"/>
    <n v="59"/>
    <n v="2"/>
    <n v="94"/>
    <x v="2"/>
    <x v="1"/>
    <x v="2"/>
    <x v="1"/>
    <n v="51.666666666666664"/>
    <x v="3"/>
    <x v="3"/>
  </r>
  <r>
    <n v="43"/>
    <x v="1"/>
    <x v="2"/>
    <n v="4"/>
    <n v="2"/>
    <n v="43.430327589999997"/>
    <n v="19"/>
    <n v="62"/>
    <n v="14"/>
    <x v="1"/>
    <x v="1"/>
    <x v="4"/>
    <x v="2"/>
    <n v="31.666666666666668"/>
    <x v="2"/>
    <x v="2"/>
  </r>
  <r>
    <n v="25"/>
    <x v="0"/>
    <x v="0"/>
    <n v="4"/>
    <n v="1"/>
    <n v="45.43210569"/>
    <n v="49"/>
    <n v="34"/>
    <n v="70"/>
    <x v="2"/>
    <x v="1"/>
    <x v="5"/>
    <x v="2"/>
    <n v="51"/>
    <x v="3"/>
    <x v="2"/>
  </r>
  <r>
    <n v="38"/>
    <x v="0"/>
    <x v="0"/>
    <n v="7"/>
    <n v="5"/>
    <n v="25.192498499999999"/>
    <n v="2"/>
    <n v="51"/>
    <n v="35"/>
    <x v="1"/>
    <x v="1"/>
    <x v="1"/>
    <x v="2"/>
    <n v="29.333333333333332"/>
    <x v="2"/>
    <x v="0"/>
  </r>
  <r>
    <n v="49"/>
    <x v="1"/>
    <x v="0"/>
    <n v="6"/>
    <n v="2"/>
    <n v="37.42112436"/>
    <n v="42"/>
    <n v="86"/>
    <n v="13"/>
    <x v="1"/>
    <x v="1"/>
    <x v="2"/>
    <x v="2"/>
    <n v="47"/>
    <x v="2"/>
    <x v="3"/>
  </r>
  <r>
    <n v="44"/>
    <x v="0"/>
    <x v="1"/>
    <n v="7"/>
    <n v="3"/>
    <n v="16.822728829999999"/>
    <n v="56"/>
    <n v="27"/>
    <n v="77"/>
    <x v="0"/>
    <x v="0"/>
    <x v="4"/>
    <x v="2"/>
    <n v="53.333333333333336"/>
    <x v="3"/>
    <x v="4"/>
  </r>
  <r>
    <n v="21"/>
    <x v="0"/>
    <x v="0"/>
    <n v="5"/>
    <n v="3"/>
    <n v="18.109320289999999"/>
    <n v="49"/>
    <n v="93"/>
    <n v="2"/>
    <x v="1"/>
    <x v="1"/>
    <x v="5"/>
    <x v="2"/>
    <n v="48"/>
    <x v="2"/>
    <x v="4"/>
  </r>
  <r>
    <n v="34"/>
    <x v="0"/>
    <x v="0"/>
    <n v="5"/>
    <n v="5"/>
    <n v="10.723175960000001"/>
    <n v="67"/>
    <n v="17"/>
    <n v="66"/>
    <x v="1"/>
    <x v="1"/>
    <x v="3"/>
    <x v="2"/>
    <n v="50"/>
    <x v="3"/>
    <x v="4"/>
  </r>
  <r>
    <n v="30"/>
    <x v="0"/>
    <x v="0"/>
    <n v="1"/>
    <n v="2"/>
    <n v="29.097405500000001"/>
    <n v="80"/>
    <n v="35"/>
    <n v="85"/>
    <x v="0"/>
    <x v="0"/>
    <x v="0"/>
    <x v="0"/>
    <n v="66.666666666666671"/>
    <x v="1"/>
    <x v="0"/>
  </r>
  <r>
    <n v="27"/>
    <x v="0"/>
    <x v="3"/>
    <n v="5"/>
    <n v="1"/>
    <n v="16.72820755"/>
    <n v="49"/>
    <n v="32"/>
    <n v="18"/>
    <x v="1"/>
    <x v="1"/>
    <x v="0"/>
    <x v="2"/>
    <n v="33"/>
    <x v="2"/>
    <x v="4"/>
  </r>
  <r>
    <n v="45"/>
    <x v="1"/>
    <x v="1"/>
    <n v="4"/>
    <n v="1"/>
    <n v="5.2185448220000001"/>
    <n v="36"/>
    <n v="63"/>
    <n v="98"/>
    <x v="0"/>
    <x v="0"/>
    <x v="4"/>
    <x v="2"/>
    <n v="65.666666666666671"/>
    <x v="1"/>
    <x v="1"/>
  </r>
  <r>
    <n v="38"/>
    <x v="0"/>
    <x v="3"/>
    <n v="12"/>
    <n v="1"/>
    <n v="35.250304329999999"/>
    <n v="45"/>
    <n v="25"/>
    <n v="75"/>
    <x v="1"/>
    <x v="1"/>
    <x v="1"/>
    <x v="1"/>
    <n v="48.333333333333336"/>
    <x v="2"/>
    <x v="3"/>
  </r>
  <r>
    <n v="32"/>
    <x v="0"/>
    <x v="1"/>
    <n v="15"/>
    <n v="3"/>
    <n v="36.38766038"/>
    <n v="41"/>
    <n v="47"/>
    <n v="53"/>
    <x v="1"/>
    <x v="1"/>
    <x v="3"/>
    <x v="1"/>
    <n v="47"/>
    <x v="2"/>
    <x v="3"/>
  </r>
  <r>
    <n v="31"/>
    <x v="1"/>
    <x v="2"/>
    <n v="2"/>
    <n v="2"/>
    <n v="18.99962094"/>
    <n v="14"/>
    <n v="39"/>
    <n v="68"/>
    <x v="1"/>
    <x v="1"/>
    <x v="3"/>
    <x v="0"/>
    <n v="40.333333333333336"/>
    <x v="2"/>
    <x v="4"/>
  </r>
  <r>
    <n v="24"/>
    <x v="1"/>
    <x v="3"/>
    <n v="5"/>
    <n v="2"/>
    <n v="4.8361699729999996"/>
    <n v="32"/>
    <n v="16"/>
    <n v="9"/>
    <x v="2"/>
    <x v="1"/>
    <x v="5"/>
    <x v="2"/>
    <n v="19"/>
    <x v="2"/>
    <x v="1"/>
  </r>
  <r>
    <n v="25"/>
    <x v="1"/>
    <x v="3"/>
    <n v="7"/>
    <n v="3"/>
    <n v="22.314885870000001"/>
    <n v="79"/>
    <n v="39"/>
    <n v="32"/>
    <x v="1"/>
    <x v="1"/>
    <x v="5"/>
    <x v="2"/>
    <n v="50"/>
    <x v="3"/>
    <x v="0"/>
  </r>
  <r>
    <n v="45"/>
    <x v="0"/>
    <x v="0"/>
    <n v="8"/>
    <n v="1"/>
    <n v="23.116772900000001"/>
    <n v="10"/>
    <n v="6"/>
    <n v="12"/>
    <x v="1"/>
    <x v="1"/>
    <x v="4"/>
    <x v="1"/>
    <n v="9.3333333333333339"/>
    <x v="2"/>
    <x v="0"/>
  </r>
  <r>
    <n v="41"/>
    <x v="1"/>
    <x v="1"/>
    <n v="0"/>
    <n v="1"/>
    <n v="34.433544240000003"/>
    <n v="19"/>
    <n v="56"/>
    <n v="98"/>
    <x v="1"/>
    <x v="1"/>
    <x v="4"/>
    <x v="0"/>
    <n v="57.666666666666664"/>
    <x v="3"/>
    <x v="3"/>
  </r>
  <r>
    <n v="23"/>
    <x v="0"/>
    <x v="2"/>
    <n v="2"/>
    <n v="5"/>
    <n v="16.77081956"/>
    <n v="23"/>
    <n v="7"/>
    <n v="50"/>
    <x v="2"/>
    <x v="1"/>
    <x v="5"/>
    <x v="0"/>
    <n v="26.666666666666668"/>
    <x v="2"/>
    <x v="4"/>
  </r>
  <r>
    <n v="38"/>
    <x v="0"/>
    <x v="0"/>
    <n v="2"/>
    <n v="4"/>
    <n v="35.12996399"/>
    <n v="63"/>
    <n v="55"/>
    <n v="31"/>
    <x v="1"/>
    <x v="1"/>
    <x v="1"/>
    <x v="0"/>
    <n v="49.666666666666664"/>
    <x v="2"/>
    <x v="3"/>
  </r>
  <r>
    <n v="39"/>
    <x v="1"/>
    <x v="0"/>
    <n v="10"/>
    <n v="2"/>
    <n v="44.57442709"/>
    <n v="79"/>
    <n v="30"/>
    <n v="74"/>
    <x v="1"/>
    <x v="1"/>
    <x v="1"/>
    <x v="1"/>
    <n v="61"/>
    <x v="1"/>
    <x v="2"/>
  </r>
  <r>
    <n v="20"/>
    <x v="1"/>
    <x v="0"/>
    <n v="7"/>
    <n v="2"/>
    <n v="12.874302119999999"/>
    <n v="93"/>
    <n v="58"/>
    <n v="23"/>
    <x v="0"/>
    <x v="0"/>
    <x v="5"/>
    <x v="2"/>
    <n v="58"/>
    <x v="3"/>
    <x v="4"/>
  </r>
  <r>
    <n v="39"/>
    <x v="0"/>
    <x v="3"/>
    <n v="0"/>
    <n v="2"/>
    <n v="49.945977810000002"/>
    <n v="97"/>
    <n v="57"/>
    <n v="34"/>
    <x v="1"/>
    <x v="1"/>
    <x v="1"/>
    <x v="0"/>
    <n v="62.666666666666664"/>
    <x v="1"/>
    <x v="2"/>
  </r>
  <r>
    <n v="36"/>
    <x v="1"/>
    <x v="0"/>
    <n v="4"/>
    <n v="4"/>
    <n v="20.31840686"/>
    <n v="64"/>
    <n v="11"/>
    <n v="82"/>
    <x v="0"/>
    <x v="1"/>
    <x v="1"/>
    <x v="2"/>
    <n v="52.333333333333336"/>
    <x v="3"/>
    <x v="0"/>
  </r>
  <r>
    <n v="31"/>
    <x v="0"/>
    <x v="0"/>
    <n v="2"/>
    <n v="5"/>
    <n v="14.362934259999999"/>
    <n v="87"/>
    <n v="47"/>
    <n v="69"/>
    <x v="1"/>
    <x v="1"/>
    <x v="3"/>
    <x v="0"/>
    <n v="67.666666666666671"/>
    <x v="1"/>
    <x v="4"/>
  </r>
  <r>
    <n v="34"/>
    <x v="1"/>
    <x v="0"/>
    <n v="1"/>
    <n v="4"/>
    <n v="22.075559129999998"/>
    <n v="87"/>
    <n v="30"/>
    <n v="39"/>
    <x v="2"/>
    <x v="1"/>
    <x v="3"/>
    <x v="0"/>
    <n v="52"/>
    <x v="3"/>
    <x v="0"/>
  </r>
  <r>
    <n v="20"/>
    <x v="1"/>
    <x v="3"/>
    <n v="14"/>
    <n v="1"/>
    <n v="5.7198737949999998"/>
    <n v="72"/>
    <n v="82"/>
    <n v="53"/>
    <x v="1"/>
    <x v="0"/>
    <x v="5"/>
    <x v="1"/>
    <n v="69"/>
    <x v="1"/>
    <x v="1"/>
  </r>
  <r>
    <n v="45"/>
    <x v="1"/>
    <x v="2"/>
    <n v="7"/>
    <n v="1"/>
    <n v="7.285295326"/>
    <n v="85"/>
    <n v="62"/>
    <n v="43"/>
    <x v="1"/>
    <x v="1"/>
    <x v="4"/>
    <x v="2"/>
    <n v="63.333333333333336"/>
    <x v="1"/>
    <x v="1"/>
  </r>
  <r>
    <n v="33"/>
    <x v="0"/>
    <x v="0"/>
    <n v="2"/>
    <n v="2"/>
    <n v="21.721702350000001"/>
    <n v="75"/>
    <n v="73"/>
    <n v="61"/>
    <x v="1"/>
    <x v="1"/>
    <x v="3"/>
    <x v="0"/>
    <n v="69.666666666666671"/>
    <x v="1"/>
    <x v="0"/>
  </r>
  <r>
    <n v="25"/>
    <x v="1"/>
    <x v="1"/>
    <n v="6"/>
    <n v="3"/>
    <n v="39.122226099999999"/>
    <n v="16"/>
    <n v="38"/>
    <n v="98"/>
    <x v="1"/>
    <x v="1"/>
    <x v="5"/>
    <x v="2"/>
    <n v="50.666666666666664"/>
    <x v="3"/>
    <x v="3"/>
  </r>
  <r>
    <n v="24"/>
    <x v="0"/>
    <x v="3"/>
    <n v="11"/>
    <n v="2"/>
    <n v="46.015611980000003"/>
    <n v="88"/>
    <n v="75"/>
    <n v="67"/>
    <x v="1"/>
    <x v="0"/>
    <x v="5"/>
    <x v="1"/>
    <n v="76.666666666666671"/>
    <x v="0"/>
    <x v="2"/>
  </r>
  <r>
    <n v="49"/>
    <x v="0"/>
    <x v="0"/>
    <n v="10"/>
    <n v="3"/>
    <n v="34.240899540000001"/>
    <n v="91"/>
    <n v="19"/>
    <n v="32"/>
    <x v="1"/>
    <x v="1"/>
    <x v="2"/>
    <x v="1"/>
    <n v="47.333333333333336"/>
    <x v="2"/>
    <x v="3"/>
  </r>
  <r>
    <n v="30"/>
    <x v="0"/>
    <x v="3"/>
    <n v="0"/>
    <n v="4"/>
    <n v="6.2609777619999996"/>
    <n v="60"/>
    <n v="100"/>
    <n v="76"/>
    <x v="0"/>
    <x v="0"/>
    <x v="0"/>
    <x v="0"/>
    <n v="78.666666666666671"/>
    <x v="0"/>
    <x v="1"/>
  </r>
  <r>
    <n v="50"/>
    <x v="0"/>
    <x v="3"/>
    <n v="5"/>
    <n v="1"/>
    <n v="34.600988110000003"/>
    <n v="14"/>
    <n v="47"/>
    <n v="55"/>
    <x v="0"/>
    <x v="1"/>
    <x v="2"/>
    <x v="2"/>
    <n v="38.666666666666664"/>
    <x v="2"/>
    <x v="3"/>
  </r>
  <r>
    <n v="23"/>
    <x v="1"/>
    <x v="3"/>
    <n v="2"/>
    <n v="3"/>
    <n v="32.771396039999999"/>
    <n v="93"/>
    <n v="70"/>
    <n v="35"/>
    <x v="1"/>
    <x v="1"/>
    <x v="5"/>
    <x v="0"/>
    <n v="66"/>
    <x v="1"/>
    <x v="3"/>
  </r>
  <r>
    <n v="32"/>
    <x v="0"/>
    <x v="0"/>
    <n v="7"/>
    <n v="4"/>
    <n v="41.288195909999999"/>
    <n v="50"/>
    <n v="53"/>
    <n v="53"/>
    <x v="1"/>
    <x v="1"/>
    <x v="3"/>
    <x v="2"/>
    <n v="52"/>
    <x v="3"/>
    <x v="2"/>
  </r>
  <r>
    <n v="30"/>
    <x v="0"/>
    <x v="0"/>
    <n v="5"/>
    <n v="1"/>
    <n v="42.26243333"/>
    <n v="26"/>
    <n v="77"/>
    <n v="18"/>
    <x v="0"/>
    <x v="1"/>
    <x v="0"/>
    <x v="2"/>
    <n v="40.333333333333336"/>
    <x v="2"/>
    <x v="2"/>
  </r>
  <r>
    <n v="22"/>
    <x v="1"/>
    <x v="0"/>
    <n v="11"/>
    <n v="3"/>
    <n v="44.410153790000003"/>
    <n v="85"/>
    <n v="74"/>
    <n v="42"/>
    <x v="1"/>
    <x v="1"/>
    <x v="5"/>
    <x v="1"/>
    <n v="67"/>
    <x v="1"/>
    <x v="2"/>
  </r>
  <r>
    <n v="20"/>
    <x v="0"/>
    <x v="0"/>
    <n v="1"/>
    <n v="2"/>
    <n v="21.706575730000001"/>
    <n v="73"/>
    <n v="70"/>
    <n v="11"/>
    <x v="0"/>
    <x v="0"/>
    <x v="5"/>
    <x v="0"/>
    <n v="51.333333333333336"/>
    <x v="3"/>
    <x v="0"/>
  </r>
  <r>
    <n v="25"/>
    <x v="1"/>
    <x v="0"/>
    <n v="5"/>
    <n v="2"/>
    <n v="35.893219770000002"/>
    <n v="60"/>
    <n v="28"/>
    <n v="10"/>
    <x v="0"/>
    <x v="1"/>
    <x v="5"/>
    <x v="2"/>
    <n v="32.666666666666664"/>
    <x v="2"/>
    <x v="3"/>
  </r>
  <r>
    <n v="37"/>
    <x v="0"/>
    <x v="2"/>
    <n v="6"/>
    <n v="2"/>
    <n v="14.41251795"/>
    <n v="57"/>
    <n v="73"/>
    <n v="69"/>
    <x v="1"/>
    <x v="1"/>
    <x v="1"/>
    <x v="2"/>
    <n v="66.333333333333329"/>
    <x v="1"/>
    <x v="4"/>
  </r>
  <r>
    <n v="43"/>
    <x v="1"/>
    <x v="0"/>
    <n v="4"/>
    <n v="4"/>
    <n v="50.966813999999999"/>
    <n v="30"/>
    <n v="92"/>
    <n v="11"/>
    <x v="1"/>
    <x v="1"/>
    <x v="4"/>
    <x v="2"/>
    <n v="44.333333333333336"/>
    <x v="2"/>
    <x v="5"/>
  </r>
  <r>
    <n v="29"/>
    <x v="0"/>
    <x v="0"/>
    <n v="2"/>
    <n v="2"/>
    <n v="9.7667120690000004"/>
    <n v="90"/>
    <n v="72"/>
    <n v="90"/>
    <x v="1"/>
    <x v="1"/>
    <x v="0"/>
    <x v="0"/>
    <n v="84"/>
    <x v="4"/>
    <x v="1"/>
  </r>
  <r>
    <n v="24"/>
    <x v="1"/>
    <x v="0"/>
    <n v="3"/>
    <n v="5"/>
    <n v="1.5057215829999999"/>
    <n v="11"/>
    <n v="99"/>
    <n v="40"/>
    <x v="1"/>
    <x v="1"/>
    <x v="5"/>
    <x v="2"/>
    <n v="50"/>
    <x v="3"/>
    <x v="1"/>
  </r>
  <r>
    <n v="42"/>
    <x v="0"/>
    <x v="3"/>
    <n v="3"/>
    <n v="1"/>
    <n v="8.4404357260000005"/>
    <n v="45"/>
    <n v="47"/>
    <n v="24"/>
    <x v="2"/>
    <x v="1"/>
    <x v="4"/>
    <x v="2"/>
    <n v="38.666666666666664"/>
    <x v="2"/>
    <x v="1"/>
  </r>
  <r>
    <n v="29"/>
    <x v="0"/>
    <x v="0"/>
    <n v="5"/>
    <n v="4"/>
    <n v="39.793614480000002"/>
    <n v="30"/>
    <n v="73"/>
    <n v="2"/>
    <x v="1"/>
    <x v="1"/>
    <x v="0"/>
    <x v="2"/>
    <n v="35"/>
    <x v="2"/>
    <x v="3"/>
  </r>
  <r>
    <n v="31"/>
    <x v="1"/>
    <x v="2"/>
    <n v="9"/>
    <n v="2"/>
    <n v="23.33918383"/>
    <n v="31"/>
    <n v="82"/>
    <n v="2"/>
    <x v="0"/>
    <x v="0"/>
    <x v="3"/>
    <x v="1"/>
    <n v="38.333333333333336"/>
    <x v="2"/>
    <x v="0"/>
  </r>
  <r>
    <n v="21"/>
    <x v="1"/>
    <x v="3"/>
    <n v="0"/>
    <n v="1"/>
    <n v="23.375012389999998"/>
    <n v="31"/>
    <n v="55"/>
    <n v="83"/>
    <x v="1"/>
    <x v="1"/>
    <x v="5"/>
    <x v="0"/>
    <n v="56.333333333333336"/>
    <x v="3"/>
    <x v="0"/>
  </r>
  <r>
    <n v="32"/>
    <x v="1"/>
    <x v="2"/>
    <n v="10"/>
    <n v="3"/>
    <n v="48.751145979999997"/>
    <n v="98"/>
    <n v="94"/>
    <n v="27"/>
    <x v="0"/>
    <x v="0"/>
    <x v="3"/>
    <x v="1"/>
    <n v="73"/>
    <x v="0"/>
    <x v="2"/>
  </r>
  <r>
    <n v="27"/>
    <x v="1"/>
    <x v="3"/>
    <n v="3"/>
    <n v="2"/>
    <n v="46.981745400000001"/>
    <n v="52"/>
    <n v="16"/>
    <n v="22"/>
    <x v="2"/>
    <x v="1"/>
    <x v="0"/>
    <x v="2"/>
    <n v="30"/>
    <x v="2"/>
    <x v="2"/>
  </r>
  <r>
    <n v="21"/>
    <x v="0"/>
    <x v="3"/>
    <n v="9"/>
    <n v="1"/>
    <n v="16.55973689"/>
    <n v="60"/>
    <n v="8"/>
    <n v="47"/>
    <x v="0"/>
    <x v="0"/>
    <x v="5"/>
    <x v="1"/>
    <n v="38.333333333333336"/>
    <x v="2"/>
    <x v="4"/>
  </r>
  <r>
    <n v="39"/>
    <x v="0"/>
    <x v="0"/>
    <n v="12"/>
    <n v="5"/>
    <n v="11.45290644"/>
    <n v="45"/>
    <n v="96"/>
    <n v="66"/>
    <x v="1"/>
    <x v="1"/>
    <x v="1"/>
    <x v="1"/>
    <n v="69"/>
    <x v="1"/>
    <x v="4"/>
  </r>
  <r>
    <n v="20"/>
    <x v="1"/>
    <x v="3"/>
    <n v="3"/>
    <n v="3"/>
    <n v="43.424110499999998"/>
    <n v="84"/>
    <n v="33"/>
    <n v="41"/>
    <x v="0"/>
    <x v="0"/>
    <x v="5"/>
    <x v="2"/>
    <n v="52.666666666666664"/>
    <x v="3"/>
    <x v="2"/>
  </r>
  <r>
    <n v="50"/>
    <x v="0"/>
    <x v="0"/>
    <n v="9"/>
    <n v="5"/>
    <n v="46.300953550000003"/>
    <n v="73"/>
    <n v="44"/>
    <n v="87"/>
    <x v="2"/>
    <x v="1"/>
    <x v="2"/>
    <x v="1"/>
    <n v="68"/>
    <x v="1"/>
    <x v="2"/>
  </r>
  <r>
    <n v="24"/>
    <x v="1"/>
    <x v="0"/>
    <n v="15"/>
    <n v="1"/>
    <n v="28.079846140000001"/>
    <n v="79"/>
    <n v="87"/>
    <n v="39"/>
    <x v="1"/>
    <x v="1"/>
    <x v="5"/>
    <x v="1"/>
    <n v="68.333333333333329"/>
    <x v="1"/>
    <x v="0"/>
  </r>
  <r>
    <n v="28"/>
    <x v="1"/>
    <x v="2"/>
    <n v="0"/>
    <n v="5"/>
    <n v="32.471185560000002"/>
    <n v="6"/>
    <n v="8"/>
    <n v="5"/>
    <x v="2"/>
    <x v="1"/>
    <x v="0"/>
    <x v="0"/>
    <n v="6.333333333333333"/>
    <x v="2"/>
    <x v="3"/>
  </r>
  <r>
    <n v="36"/>
    <x v="0"/>
    <x v="0"/>
    <n v="8"/>
    <n v="1"/>
    <n v="13.84571423"/>
    <n v="3"/>
    <n v="6"/>
    <n v="19"/>
    <x v="0"/>
    <x v="1"/>
    <x v="1"/>
    <x v="1"/>
    <n v="9.3333333333333339"/>
    <x v="2"/>
    <x v="4"/>
  </r>
  <r>
    <n v="28"/>
    <x v="0"/>
    <x v="1"/>
    <n v="3"/>
    <n v="1"/>
    <n v="41.040134399999999"/>
    <n v="90"/>
    <n v="15"/>
    <n v="10"/>
    <x v="0"/>
    <x v="0"/>
    <x v="0"/>
    <x v="2"/>
    <n v="38.333333333333336"/>
    <x v="2"/>
    <x v="2"/>
  </r>
  <r>
    <n v="30"/>
    <x v="0"/>
    <x v="0"/>
    <n v="6"/>
    <n v="5"/>
    <n v="32.606121420000001"/>
    <n v="51"/>
    <n v="18"/>
    <n v="95"/>
    <x v="0"/>
    <x v="0"/>
    <x v="0"/>
    <x v="2"/>
    <n v="54.666666666666664"/>
    <x v="3"/>
    <x v="3"/>
  </r>
  <r>
    <n v="34"/>
    <x v="0"/>
    <x v="0"/>
    <n v="11"/>
    <n v="1"/>
    <n v="26.175675559999998"/>
    <n v="88"/>
    <n v="5"/>
    <n v="26"/>
    <x v="2"/>
    <x v="1"/>
    <x v="3"/>
    <x v="1"/>
    <n v="39.666666666666664"/>
    <x v="2"/>
    <x v="0"/>
  </r>
  <r>
    <n v="43"/>
    <x v="0"/>
    <x v="0"/>
    <n v="13"/>
    <n v="2"/>
    <n v="4.005427804"/>
    <n v="30"/>
    <n v="10"/>
    <n v="20"/>
    <x v="2"/>
    <x v="1"/>
    <x v="4"/>
    <x v="1"/>
    <n v="20"/>
    <x v="2"/>
    <x v="1"/>
  </r>
  <r>
    <n v="25"/>
    <x v="0"/>
    <x v="0"/>
    <n v="2"/>
    <n v="1"/>
    <n v="46.796748129999997"/>
    <n v="74"/>
    <n v="75"/>
    <n v="12"/>
    <x v="0"/>
    <x v="0"/>
    <x v="5"/>
    <x v="0"/>
    <n v="53.666666666666664"/>
    <x v="3"/>
    <x v="2"/>
  </r>
  <r>
    <n v="42"/>
    <x v="0"/>
    <x v="2"/>
    <n v="9"/>
    <n v="4"/>
    <n v="31.772571020000001"/>
    <n v="83"/>
    <n v="60"/>
    <n v="85"/>
    <x v="0"/>
    <x v="0"/>
    <x v="4"/>
    <x v="1"/>
    <n v="76"/>
    <x v="0"/>
    <x v="3"/>
  </r>
  <r>
    <n v="22"/>
    <x v="1"/>
    <x v="0"/>
    <n v="11"/>
    <n v="1"/>
    <n v="10.63455473"/>
    <n v="35"/>
    <n v="41"/>
    <n v="34"/>
    <x v="1"/>
    <x v="1"/>
    <x v="5"/>
    <x v="1"/>
    <n v="36.666666666666664"/>
    <x v="2"/>
    <x v="4"/>
  </r>
  <r>
    <n v="49"/>
    <x v="1"/>
    <x v="3"/>
    <n v="2"/>
    <n v="4"/>
    <n v="31.319305849999999"/>
    <n v="53"/>
    <n v="12"/>
    <n v="46"/>
    <x v="0"/>
    <x v="1"/>
    <x v="2"/>
    <x v="0"/>
    <n v="37"/>
    <x v="2"/>
    <x v="3"/>
  </r>
  <r>
    <n v="50"/>
    <x v="1"/>
    <x v="0"/>
    <n v="13"/>
    <n v="1"/>
    <n v="34.873167709999997"/>
    <n v="53"/>
    <n v="11"/>
    <n v="85"/>
    <x v="0"/>
    <x v="0"/>
    <x v="2"/>
    <x v="1"/>
    <n v="49.666666666666664"/>
    <x v="2"/>
    <x v="3"/>
  </r>
  <r>
    <n v="36"/>
    <x v="1"/>
    <x v="0"/>
    <n v="7"/>
    <n v="1"/>
    <n v="27.288516829999999"/>
    <n v="16"/>
    <n v="84"/>
    <n v="27"/>
    <x v="0"/>
    <x v="0"/>
    <x v="1"/>
    <x v="2"/>
    <n v="42.333333333333336"/>
    <x v="2"/>
    <x v="0"/>
  </r>
  <r>
    <n v="24"/>
    <x v="1"/>
    <x v="2"/>
    <n v="7"/>
    <n v="5"/>
    <n v="36.905086900000001"/>
    <n v="74"/>
    <n v="73"/>
    <n v="20"/>
    <x v="0"/>
    <x v="0"/>
    <x v="5"/>
    <x v="2"/>
    <n v="55.666666666666664"/>
    <x v="3"/>
    <x v="3"/>
  </r>
  <r>
    <n v="49"/>
    <x v="0"/>
    <x v="0"/>
    <n v="10"/>
    <n v="2"/>
    <n v="30.072697399999999"/>
    <n v="29"/>
    <n v="19"/>
    <n v="17"/>
    <x v="0"/>
    <x v="0"/>
    <x v="2"/>
    <x v="1"/>
    <n v="21.666666666666668"/>
    <x v="2"/>
    <x v="3"/>
  </r>
  <r>
    <n v="47"/>
    <x v="1"/>
    <x v="3"/>
    <n v="11"/>
    <n v="2"/>
    <n v="48.388479099999998"/>
    <n v="98"/>
    <n v="49"/>
    <n v="30"/>
    <x v="0"/>
    <x v="1"/>
    <x v="2"/>
    <x v="1"/>
    <n v="59"/>
    <x v="3"/>
    <x v="2"/>
  </r>
  <r>
    <n v="31"/>
    <x v="1"/>
    <x v="2"/>
    <n v="0"/>
    <n v="3"/>
    <n v="3.6848539300000001"/>
    <n v="21"/>
    <n v="35"/>
    <n v="59"/>
    <x v="1"/>
    <x v="0"/>
    <x v="3"/>
    <x v="0"/>
    <n v="38.333333333333336"/>
    <x v="2"/>
    <x v="1"/>
  </r>
  <r>
    <n v="37"/>
    <x v="1"/>
    <x v="2"/>
    <n v="9"/>
    <n v="5"/>
    <n v="6.3122854229999996"/>
    <n v="42"/>
    <n v="91"/>
    <n v="36"/>
    <x v="2"/>
    <x v="0"/>
    <x v="1"/>
    <x v="1"/>
    <n v="56.333333333333336"/>
    <x v="3"/>
    <x v="1"/>
  </r>
  <r>
    <n v="33"/>
    <x v="1"/>
    <x v="0"/>
    <n v="1"/>
    <n v="5"/>
    <n v="9.6835818479999993"/>
    <n v="26"/>
    <n v="87"/>
    <n v="20"/>
    <x v="1"/>
    <x v="0"/>
    <x v="3"/>
    <x v="0"/>
    <n v="44.333333333333336"/>
    <x v="2"/>
    <x v="1"/>
  </r>
  <r>
    <n v="40"/>
    <x v="1"/>
    <x v="3"/>
    <n v="15"/>
    <n v="2"/>
    <n v="35.50855353"/>
    <n v="36"/>
    <n v="68"/>
    <n v="13"/>
    <x v="1"/>
    <x v="1"/>
    <x v="1"/>
    <x v="1"/>
    <n v="39"/>
    <x v="2"/>
    <x v="3"/>
  </r>
  <r>
    <n v="43"/>
    <x v="1"/>
    <x v="0"/>
    <n v="7"/>
    <n v="5"/>
    <n v="33.279793640000001"/>
    <n v="45"/>
    <n v="36"/>
    <n v="88"/>
    <x v="0"/>
    <x v="0"/>
    <x v="4"/>
    <x v="2"/>
    <n v="56.333333333333336"/>
    <x v="3"/>
    <x v="3"/>
  </r>
  <r>
    <n v="30"/>
    <x v="1"/>
    <x v="0"/>
    <n v="0"/>
    <n v="2"/>
    <n v="45.602943009999997"/>
    <n v="34"/>
    <n v="11"/>
    <n v="90"/>
    <x v="1"/>
    <x v="0"/>
    <x v="0"/>
    <x v="0"/>
    <n v="45"/>
    <x v="2"/>
    <x v="2"/>
  </r>
  <r>
    <n v="28"/>
    <x v="0"/>
    <x v="3"/>
    <n v="14"/>
    <n v="5"/>
    <n v="37.643872639999998"/>
    <n v="3"/>
    <n v="98"/>
    <n v="59"/>
    <x v="1"/>
    <x v="0"/>
    <x v="0"/>
    <x v="1"/>
    <n v="53.333333333333336"/>
    <x v="3"/>
    <x v="3"/>
  </r>
  <r>
    <n v="21"/>
    <x v="0"/>
    <x v="0"/>
    <n v="11"/>
    <n v="1"/>
    <n v="26.417774380000001"/>
    <n v="79"/>
    <n v="39"/>
    <n v="22"/>
    <x v="1"/>
    <x v="1"/>
    <x v="5"/>
    <x v="1"/>
    <n v="46.666666666666664"/>
    <x v="2"/>
    <x v="0"/>
  </r>
  <r>
    <n v="31"/>
    <x v="1"/>
    <x v="3"/>
    <n v="7"/>
    <n v="2"/>
    <n v="50.591589620000001"/>
    <n v="79"/>
    <n v="53"/>
    <n v="94"/>
    <x v="0"/>
    <x v="0"/>
    <x v="3"/>
    <x v="2"/>
    <n v="75.333333333333329"/>
    <x v="0"/>
    <x v="5"/>
  </r>
  <r>
    <n v="22"/>
    <x v="0"/>
    <x v="3"/>
    <n v="7"/>
    <n v="2"/>
    <n v="14.305397810000001"/>
    <n v="84"/>
    <n v="1"/>
    <n v="28"/>
    <x v="2"/>
    <x v="1"/>
    <x v="5"/>
    <x v="2"/>
    <n v="37.666666666666664"/>
    <x v="2"/>
    <x v="4"/>
  </r>
  <r>
    <n v="22"/>
    <x v="0"/>
    <x v="0"/>
    <n v="15"/>
    <n v="4"/>
    <n v="42.659582989999997"/>
    <n v="25"/>
    <n v="49"/>
    <n v="46"/>
    <x v="0"/>
    <x v="1"/>
    <x v="5"/>
    <x v="1"/>
    <n v="40"/>
    <x v="2"/>
    <x v="2"/>
  </r>
  <r>
    <n v="20"/>
    <x v="0"/>
    <x v="0"/>
    <n v="1"/>
    <n v="5"/>
    <n v="22.339518609999999"/>
    <n v="99"/>
    <n v="40"/>
    <n v="29"/>
    <x v="1"/>
    <x v="1"/>
    <x v="5"/>
    <x v="0"/>
    <n v="56"/>
    <x v="3"/>
    <x v="0"/>
  </r>
  <r>
    <n v="27"/>
    <x v="0"/>
    <x v="2"/>
    <n v="3"/>
    <n v="5"/>
    <n v="33.436756940000002"/>
    <n v="18"/>
    <n v="44"/>
    <n v="89"/>
    <x v="2"/>
    <x v="1"/>
    <x v="0"/>
    <x v="2"/>
    <n v="50.333333333333336"/>
    <x v="3"/>
    <x v="3"/>
  </r>
  <r>
    <n v="41"/>
    <x v="1"/>
    <x v="0"/>
    <n v="5"/>
    <n v="2"/>
    <n v="37.363423519999998"/>
    <n v="80"/>
    <n v="8"/>
    <n v="83"/>
    <x v="1"/>
    <x v="0"/>
    <x v="4"/>
    <x v="2"/>
    <n v="57"/>
    <x v="3"/>
    <x v="3"/>
  </r>
  <r>
    <n v="47"/>
    <x v="0"/>
    <x v="1"/>
    <n v="11"/>
    <n v="1"/>
    <n v="32.687704359999998"/>
    <n v="44"/>
    <n v="61"/>
    <n v="37"/>
    <x v="1"/>
    <x v="1"/>
    <x v="2"/>
    <x v="1"/>
    <n v="47.333333333333336"/>
    <x v="2"/>
    <x v="3"/>
  </r>
  <r>
    <n v="48"/>
    <x v="0"/>
    <x v="0"/>
    <n v="10"/>
    <n v="1"/>
    <n v="8.0253651549999994"/>
    <n v="25"/>
    <n v="85"/>
    <n v="82"/>
    <x v="2"/>
    <x v="1"/>
    <x v="2"/>
    <x v="1"/>
    <n v="64"/>
    <x v="1"/>
    <x v="1"/>
  </r>
  <r>
    <n v="27"/>
    <x v="0"/>
    <x v="0"/>
    <n v="8"/>
    <n v="1"/>
    <n v="23.147550540000001"/>
    <n v="21"/>
    <n v="46"/>
    <n v="26"/>
    <x v="1"/>
    <x v="0"/>
    <x v="0"/>
    <x v="1"/>
    <n v="31"/>
    <x v="2"/>
    <x v="0"/>
  </r>
  <r>
    <n v="30"/>
    <x v="1"/>
    <x v="3"/>
    <n v="14"/>
    <n v="5"/>
    <n v="29.0719189"/>
    <n v="57"/>
    <n v="4"/>
    <n v="88"/>
    <x v="0"/>
    <x v="1"/>
    <x v="0"/>
    <x v="1"/>
    <n v="49.666666666666664"/>
    <x v="2"/>
    <x v="0"/>
  </r>
  <r>
    <n v="28"/>
    <x v="1"/>
    <x v="0"/>
    <n v="15"/>
    <n v="4"/>
    <n v="43.452187960000003"/>
    <n v="62"/>
    <n v="75"/>
    <n v="86"/>
    <x v="2"/>
    <x v="1"/>
    <x v="0"/>
    <x v="1"/>
    <n v="74.333333333333329"/>
    <x v="0"/>
    <x v="2"/>
  </r>
  <r>
    <n v="24"/>
    <x v="1"/>
    <x v="2"/>
    <n v="7"/>
    <n v="2"/>
    <n v="23.18228744"/>
    <n v="27"/>
    <n v="0"/>
    <n v="92"/>
    <x v="0"/>
    <x v="1"/>
    <x v="5"/>
    <x v="2"/>
    <n v="39.666666666666664"/>
    <x v="2"/>
    <x v="0"/>
  </r>
  <r>
    <n v="33"/>
    <x v="1"/>
    <x v="0"/>
    <n v="11"/>
    <n v="3"/>
    <n v="46.937365239999998"/>
    <n v="64"/>
    <n v="43"/>
    <n v="14"/>
    <x v="2"/>
    <x v="1"/>
    <x v="3"/>
    <x v="1"/>
    <n v="40.333333333333336"/>
    <x v="2"/>
    <x v="2"/>
  </r>
  <r>
    <n v="47"/>
    <x v="1"/>
    <x v="0"/>
    <n v="14"/>
    <n v="4"/>
    <n v="23.018711150000001"/>
    <n v="43"/>
    <n v="21"/>
    <n v="58"/>
    <x v="0"/>
    <x v="1"/>
    <x v="2"/>
    <x v="1"/>
    <n v="40.666666666666664"/>
    <x v="2"/>
    <x v="0"/>
  </r>
  <r>
    <n v="49"/>
    <x v="1"/>
    <x v="3"/>
    <n v="7"/>
    <n v="3"/>
    <n v="28.43899296"/>
    <n v="99"/>
    <n v="37"/>
    <n v="2"/>
    <x v="1"/>
    <x v="1"/>
    <x v="2"/>
    <x v="2"/>
    <n v="46"/>
    <x v="2"/>
    <x v="0"/>
  </r>
  <r>
    <n v="22"/>
    <x v="1"/>
    <x v="2"/>
    <n v="6"/>
    <n v="4"/>
    <n v="40.814284149999999"/>
    <n v="42"/>
    <n v="18"/>
    <n v="9"/>
    <x v="1"/>
    <x v="0"/>
    <x v="5"/>
    <x v="2"/>
    <n v="23"/>
    <x v="2"/>
    <x v="2"/>
  </r>
  <r>
    <n v="40"/>
    <x v="0"/>
    <x v="0"/>
    <n v="13"/>
    <n v="1"/>
    <n v="30.15338422"/>
    <n v="36"/>
    <n v="79"/>
    <n v="78"/>
    <x v="2"/>
    <x v="0"/>
    <x v="1"/>
    <x v="1"/>
    <n v="64.333333333333329"/>
    <x v="1"/>
    <x v="3"/>
  </r>
  <r>
    <n v="24"/>
    <x v="0"/>
    <x v="0"/>
    <n v="12"/>
    <n v="5"/>
    <n v="49.010903620000001"/>
    <n v="65"/>
    <n v="30"/>
    <n v="79"/>
    <x v="1"/>
    <x v="0"/>
    <x v="5"/>
    <x v="1"/>
    <n v="58"/>
    <x v="3"/>
    <x v="2"/>
  </r>
  <r>
    <n v="24"/>
    <x v="0"/>
    <x v="0"/>
    <n v="8"/>
    <n v="3"/>
    <n v="34.016791529999999"/>
    <n v="16"/>
    <n v="66"/>
    <n v="16"/>
    <x v="0"/>
    <x v="0"/>
    <x v="5"/>
    <x v="1"/>
    <n v="32.666666666666664"/>
    <x v="2"/>
    <x v="3"/>
  </r>
  <r>
    <n v="38"/>
    <x v="1"/>
    <x v="0"/>
    <n v="14"/>
    <n v="4"/>
    <n v="27.135472700000001"/>
    <n v="39"/>
    <n v="86"/>
    <n v="82"/>
    <x v="1"/>
    <x v="1"/>
    <x v="1"/>
    <x v="1"/>
    <n v="69"/>
    <x v="1"/>
    <x v="0"/>
  </r>
  <r>
    <n v="46"/>
    <x v="1"/>
    <x v="0"/>
    <n v="1"/>
    <n v="5"/>
    <n v="2.1795983890000001"/>
    <n v="37"/>
    <n v="41"/>
    <n v="10"/>
    <x v="0"/>
    <x v="1"/>
    <x v="2"/>
    <x v="0"/>
    <n v="29.333333333333332"/>
    <x v="2"/>
    <x v="1"/>
  </r>
  <r>
    <n v="33"/>
    <x v="1"/>
    <x v="0"/>
    <n v="2"/>
    <n v="3"/>
    <n v="21.686644879999999"/>
    <n v="84"/>
    <n v="81"/>
    <n v="47"/>
    <x v="1"/>
    <x v="1"/>
    <x v="3"/>
    <x v="0"/>
    <n v="70.666666666666671"/>
    <x v="0"/>
    <x v="0"/>
  </r>
  <r>
    <n v="45"/>
    <x v="1"/>
    <x v="1"/>
    <n v="9"/>
    <n v="2"/>
    <n v="15.962420959999999"/>
    <n v="60"/>
    <n v="25"/>
    <n v="4"/>
    <x v="2"/>
    <x v="0"/>
    <x v="4"/>
    <x v="1"/>
    <n v="29.666666666666668"/>
    <x v="2"/>
    <x v="4"/>
  </r>
  <r>
    <n v="49"/>
    <x v="1"/>
    <x v="0"/>
    <n v="7"/>
    <n v="4"/>
    <n v="38.405283390000001"/>
    <n v="8"/>
    <n v="12"/>
    <n v="68"/>
    <x v="1"/>
    <x v="0"/>
    <x v="2"/>
    <x v="2"/>
    <n v="29.333333333333332"/>
    <x v="2"/>
    <x v="3"/>
  </r>
  <r>
    <n v="23"/>
    <x v="0"/>
    <x v="2"/>
    <n v="13"/>
    <n v="2"/>
    <n v="11.413883759999999"/>
    <n v="76"/>
    <n v="57"/>
    <n v="63"/>
    <x v="1"/>
    <x v="1"/>
    <x v="5"/>
    <x v="1"/>
    <n v="65.333333333333329"/>
    <x v="1"/>
    <x v="4"/>
  </r>
  <r>
    <n v="44"/>
    <x v="0"/>
    <x v="0"/>
    <n v="5"/>
    <n v="1"/>
    <n v="11.261004359999999"/>
    <n v="74"/>
    <n v="17"/>
    <n v="13"/>
    <x v="0"/>
    <x v="1"/>
    <x v="4"/>
    <x v="2"/>
    <n v="34.666666666666664"/>
    <x v="2"/>
    <x v="4"/>
  </r>
  <r>
    <n v="32"/>
    <x v="1"/>
    <x v="3"/>
    <n v="9"/>
    <n v="2"/>
    <n v="10.47595216"/>
    <n v="60"/>
    <n v="66"/>
    <n v="49"/>
    <x v="1"/>
    <x v="0"/>
    <x v="3"/>
    <x v="1"/>
    <n v="58.333333333333336"/>
    <x v="3"/>
    <x v="4"/>
  </r>
  <r>
    <n v="29"/>
    <x v="1"/>
    <x v="3"/>
    <n v="8"/>
    <n v="2"/>
    <n v="7.2807806580000003"/>
    <n v="79"/>
    <n v="86"/>
    <n v="25"/>
    <x v="1"/>
    <x v="0"/>
    <x v="0"/>
    <x v="1"/>
    <n v="63.333333333333336"/>
    <x v="1"/>
    <x v="1"/>
  </r>
  <r>
    <n v="44"/>
    <x v="1"/>
    <x v="2"/>
    <n v="9"/>
    <n v="4"/>
    <n v="16.550350179999999"/>
    <n v="15"/>
    <n v="2"/>
    <n v="71"/>
    <x v="1"/>
    <x v="0"/>
    <x v="4"/>
    <x v="1"/>
    <n v="29.333333333333332"/>
    <x v="2"/>
    <x v="4"/>
  </r>
  <r>
    <n v="37"/>
    <x v="1"/>
    <x v="1"/>
    <n v="3"/>
    <n v="1"/>
    <n v="45.29610572"/>
    <n v="1"/>
    <n v="54"/>
    <n v="68"/>
    <x v="0"/>
    <x v="0"/>
    <x v="1"/>
    <x v="2"/>
    <n v="41"/>
    <x v="2"/>
    <x v="2"/>
  </r>
  <r>
    <n v="27"/>
    <x v="0"/>
    <x v="0"/>
    <n v="15"/>
    <n v="2"/>
    <n v="39.746423620000002"/>
    <n v="71"/>
    <n v="88"/>
    <n v="6"/>
    <x v="1"/>
    <x v="1"/>
    <x v="0"/>
    <x v="1"/>
    <n v="55"/>
    <x v="3"/>
    <x v="3"/>
  </r>
  <r>
    <n v="27"/>
    <x v="1"/>
    <x v="2"/>
    <n v="7"/>
    <n v="5"/>
    <n v="37.762560819999997"/>
    <n v="42"/>
    <n v="90"/>
    <n v="15"/>
    <x v="0"/>
    <x v="0"/>
    <x v="0"/>
    <x v="2"/>
    <n v="49"/>
    <x v="2"/>
    <x v="3"/>
  </r>
  <r>
    <n v="26"/>
    <x v="1"/>
    <x v="2"/>
    <n v="9"/>
    <n v="3"/>
    <n v="40.866840279999998"/>
    <n v="41"/>
    <n v="57"/>
    <n v="54"/>
    <x v="1"/>
    <x v="0"/>
    <x v="0"/>
    <x v="1"/>
    <n v="50.666666666666664"/>
    <x v="3"/>
    <x v="2"/>
  </r>
  <r>
    <n v="27"/>
    <x v="1"/>
    <x v="2"/>
    <n v="2"/>
    <n v="2"/>
    <n v="14.470894469999999"/>
    <n v="76"/>
    <n v="62"/>
    <n v="77"/>
    <x v="0"/>
    <x v="1"/>
    <x v="0"/>
    <x v="0"/>
    <n v="71.666666666666671"/>
    <x v="0"/>
    <x v="4"/>
  </r>
  <r>
    <n v="33"/>
    <x v="1"/>
    <x v="3"/>
    <n v="2"/>
    <n v="1"/>
    <n v="45.372084540000003"/>
    <n v="56"/>
    <n v="90"/>
    <n v="100"/>
    <x v="2"/>
    <x v="1"/>
    <x v="3"/>
    <x v="0"/>
    <n v="82"/>
    <x v="4"/>
    <x v="2"/>
  </r>
  <r>
    <n v="38"/>
    <x v="0"/>
    <x v="2"/>
    <n v="7"/>
    <n v="2"/>
    <n v="7.8651687570000002"/>
    <n v="80"/>
    <n v="51"/>
    <n v="55"/>
    <x v="0"/>
    <x v="1"/>
    <x v="1"/>
    <x v="2"/>
    <n v="62"/>
    <x v="1"/>
    <x v="1"/>
  </r>
  <r>
    <n v="48"/>
    <x v="1"/>
    <x v="2"/>
    <n v="4"/>
    <n v="3"/>
    <n v="17.817286339999999"/>
    <n v="87"/>
    <n v="88"/>
    <n v="3"/>
    <x v="1"/>
    <x v="0"/>
    <x v="2"/>
    <x v="2"/>
    <n v="59.333333333333336"/>
    <x v="3"/>
    <x v="4"/>
  </r>
  <r>
    <n v="25"/>
    <x v="1"/>
    <x v="3"/>
    <n v="2"/>
    <n v="1"/>
    <n v="30.337405950000001"/>
    <n v="66"/>
    <n v="23"/>
    <n v="99"/>
    <x v="0"/>
    <x v="0"/>
    <x v="5"/>
    <x v="0"/>
    <n v="62.666666666666664"/>
    <x v="1"/>
    <x v="3"/>
  </r>
  <r>
    <n v="20"/>
    <x v="0"/>
    <x v="0"/>
    <n v="9"/>
    <n v="4"/>
    <n v="6.1452544170000003"/>
    <n v="29"/>
    <n v="71"/>
    <n v="47"/>
    <x v="1"/>
    <x v="0"/>
    <x v="5"/>
    <x v="1"/>
    <n v="49"/>
    <x v="2"/>
    <x v="1"/>
  </r>
  <r>
    <n v="42"/>
    <x v="0"/>
    <x v="2"/>
    <n v="10"/>
    <n v="1"/>
    <n v="37.506509389999998"/>
    <n v="12"/>
    <n v="8"/>
    <n v="16"/>
    <x v="1"/>
    <x v="0"/>
    <x v="4"/>
    <x v="1"/>
    <n v="12"/>
    <x v="2"/>
    <x v="3"/>
  </r>
  <r>
    <n v="50"/>
    <x v="0"/>
    <x v="2"/>
    <n v="15"/>
    <n v="4"/>
    <n v="20.362302410000002"/>
    <n v="18"/>
    <n v="36"/>
    <n v="35"/>
    <x v="1"/>
    <x v="1"/>
    <x v="2"/>
    <x v="1"/>
    <n v="29.666666666666668"/>
    <x v="2"/>
    <x v="0"/>
  </r>
  <r>
    <n v="34"/>
    <x v="1"/>
    <x v="2"/>
    <n v="0"/>
    <n v="1"/>
    <n v="40.220283279999997"/>
    <n v="6"/>
    <n v="93"/>
    <n v="69"/>
    <x v="0"/>
    <x v="1"/>
    <x v="3"/>
    <x v="0"/>
    <n v="56"/>
    <x v="3"/>
    <x v="2"/>
  </r>
  <r>
    <n v="20"/>
    <x v="1"/>
    <x v="0"/>
    <n v="14"/>
    <n v="3"/>
    <n v="25.644814279999999"/>
    <n v="8"/>
    <n v="82"/>
    <n v="79"/>
    <x v="1"/>
    <x v="0"/>
    <x v="5"/>
    <x v="1"/>
    <n v="56.333333333333336"/>
    <x v="3"/>
    <x v="0"/>
  </r>
  <r>
    <n v="44"/>
    <x v="0"/>
    <x v="0"/>
    <n v="2"/>
    <n v="3"/>
    <n v="10.04372622"/>
    <n v="82"/>
    <n v="52"/>
    <n v="92"/>
    <x v="0"/>
    <x v="0"/>
    <x v="4"/>
    <x v="0"/>
    <n v="75.333333333333329"/>
    <x v="0"/>
    <x v="4"/>
  </r>
  <r>
    <n v="36"/>
    <x v="0"/>
    <x v="2"/>
    <n v="11"/>
    <n v="1"/>
    <n v="37.738090569999997"/>
    <n v="53"/>
    <n v="79"/>
    <n v="99"/>
    <x v="0"/>
    <x v="0"/>
    <x v="1"/>
    <x v="1"/>
    <n v="77"/>
    <x v="0"/>
    <x v="3"/>
  </r>
  <r>
    <n v="20"/>
    <x v="0"/>
    <x v="2"/>
    <n v="8"/>
    <n v="2"/>
    <n v="13.607197790000001"/>
    <n v="85"/>
    <n v="23"/>
    <n v="37"/>
    <x v="1"/>
    <x v="1"/>
    <x v="5"/>
    <x v="1"/>
    <n v="48.333333333333336"/>
    <x v="2"/>
    <x v="4"/>
  </r>
  <r>
    <n v="34"/>
    <x v="0"/>
    <x v="3"/>
    <n v="4"/>
    <n v="3"/>
    <n v="25.540515060000001"/>
    <n v="81"/>
    <n v="20"/>
    <n v="100"/>
    <x v="0"/>
    <x v="0"/>
    <x v="3"/>
    <x v="2"/>
    <n v="67"/>
    <x v="1"/>
    <x v="0"/>
  </r>
  <r>
    <n v="42"/>
    <x v="0"/>
    <x v="0"/>
    <n v="11"/>
    <n v="4"/>
    <n v="4.7766634579999998"/>
    <n v="60"/>
    <n v="99"/>
    <n v="61"/>
    <x v="0"/>
    <x v="1"/>
    <x v="4"/>
    <x v="1"/>
    <n v="73.333333333333329"/>
    <x v="0"/>
    <x v="1"/>
  </r>
  <r>
    <n v="21"/>
    <x v="0"/>
    <x v="0"/>
    <n v="9"/>
    <n v="4"/>
    <n v="31.89333272"/>
    <n v="86"/>
    <n v="39"/>
    <n v="47"/>
    <x v="2"/>
    <x v="0"/>
    <x v="5"/>
    <x v="1"/>
    <n v="57.333333333333336"/>
    <x v="3"/>
    <x v="3"/>
  </r>
  <r>
    <n v="33"/>
    <x v="1"/>
    <x v="0"/>
    <n v="14"/>
    <n v="5"/>
    <n v="34.292888310000002"/>
    <n v="1"/>
    <n v="61"/>
    <n v="9"/>
    <x v="2"/>
    <x v="1"/>
    <x v="3"/>
    <x v="1"/>
    <n v="23.666666666666668"/>
    <x v="2"/>
    <x v="3"/>
  </r>
  <r>
    <n v="40"/>
    <x v="1"/>
    <x v="0"/>
    <n v="1"/>
    <n v="4"/>
    <n v="19.9337105"/>
    <n v="49"/>
    <n v="69"/>
    <n v="35"/>
    <x v="1"/>
    <x v="1"/>
    <x v="1"/>
    <x v="0"/>
    <n v="51"/>
    <x v="3"/>
    <x v="4"/>
  </r>
  <r>
    <n v="27"/>
    <x v="1"/>
    <x v="0"/>
    <n v="6"/>
    <n v="5"/>
    <n v="48.721139020000003"/>
    <n v="74"/>
    <n v="68"/>
    <n v="28"/>
    <x v="0"/>
    <x v="0"/>
    <x v="0"/>
    <x v="2"/>
    <n v="56.666666666666664"/>
    <x v="3"/>
    <x v="2"/>
  </r>
  <r>
    <n v="27"/>
    <x v="0"/>
    <x v="0"/>
    <n v="14"/>
    <n v="1"/>
    <n v="44.708446070000001"/>
    <n v="30"/>
    <n v="13"/>
    <n v="77"/>
    <x v="0"/>
    <x v="1"/>
    <x v="0"/>
    <x v="1"/>
    <n v="40"/>
    <x v="2"/>
    <x v="2"/>
  </r>
  <r>
    <n v="38"/>
    <x v="0"/>
    <x v="0"/>
    <n v="1"/>
    <n v="1"/>
    <n v="36.39704579"/>
    <n v="32"/>
    <n v="41"/>
    <n v="3"/>
    <x v="1"/>
    <x v="1"/>
    <x v="1"/>
    <x v="0"/>
    <n v="25.333333333333332"/>
    <x v="2"/>
    <x v="3"/>
  </r>
  <r>
    <n v="26"/>
    <x v="0"/>
    <x v="1"/>
    <n v="3"/>
    <n v="1"/>
    <n v="36.682603720000003"/>
    <n v="77"/>
    <n v="49"/>
    <n v="43"/>
    <x v="0"/>
    <x v="0"/>
    <x v="0"/>
    <x v="2"/>
    <n v="56.333333333333336"/>
    <x v="3"/>
    <x v="3"/>
  </r>
  <r>
    <n v="38"/>
    <x v="0"/>
    <x v="2"/>
    <n v="11"/>
    <n v="2"/>
    <n v="13.620085749999999"/>
    <n v="79"/>
    <n v="60"/>
    <n v="55"/>
    <x v="2"/>
    <x v="1"/>
    <x v="1"/>
    <x v="1"/>
    <n v="64.666666666666671"/>
    <x v="1"/>
    <x v="4"/>
  </r>
  <r>
    <n v="25"/>
    <x v="0"/>
    <x v="3"/>
    <n v="6"/>
    <n v="2"/>
    <n v="33.840761550000003"/>
    <n v="10"/>
    <n v="3"/>
    <n v="41"/>
    <x v="0"/>
    <x v="0"/>
    <x v="5"/>
    <x v="2"/>
    <n v="18"/>
    <x v="2"/>
    <x v="3"/>
  </r>
  <r>
    <n v="25"/>
    <x v="0"/>
    <x v="2"/>
    <n v="3"/>
    <n v="5"/>
    <n v="10.910313260000001"/>
    <n v="32"/>
    <n v="71"/>
    <n v="99"/>
    <x v="2"/>
    <x v="1"/>
    <x v="5"/>
    <x v="2"/>
    <n v="67.333333333333329"/>
    <x v="1"/>
    <x v="4"/>
  </r>
  <r>
    <n v="22"/>
    <x v="1"/>
    <x v="3"/>
    <n v="6"/>
    <n v="4"/>
    <n v="8.2001611959999998"/>
    <n v="6"/>
    <n v="87"/>
    <n v="12"/>
    <x v="1"/>
    <x v="1"/>
    <x v="5"/>
    <x v="2"/>
    <n v="35"/>
    <x v="2"/>
    <x v="1"/>
  </r>
  <r>
    <n v="26"/>
    <x v="1"/>
    <x v="0"/>
    <n v="15"/>
    <n v="4"/>
    <n v="50.973394710000001"/>
    <n v="30"/>
    <n v="74"/>
    <n v="45"/>
    <x v="1"/>
    <x v="1"/>
    <x v="0"/>
    <x v="1"/>
    <n v="49.666666666666664"/>
    <x v="2"/>
    <x v="5"/>
  </r>
  <r>
    <n v="38"/>
    <x v="0"/>
    <x v="3"/>
    <n v="6"/>
    <n v="1"/>
    <n v="32.118796570000001"/>
    <n v="47"/>
    <n v="16"/>
    <n v="81"/>
    <x v="0"/>
    <x v="1"/>
    <x v="1"/>
    <x v="2"/>
    <n v="48"/>
    <x v="2"/>
    <x v="3"/>
  </r>
  <r>
    <n v="27"/>
    <x v="1"/>
    <x v="2"/>
    <n v="15"/>
    <n v="3"/>
    <n v="22.549393630000001"/>
    <n v="46"/>
    <n v="84"/>
    <n v="32"/>
    <x v="2"/>
    <x v="0"/>
    <x v="0"/>
    <x v="1"/>
    <n v="54"/>
    <x v="3"/>
    <x v="0"/>
  </r>
  <r>
    <n v="29"/>
    <x v="0"/>
    <x v="0"/>
    <n v="0"/>
    <n v="2"/>
    <n v="15.40822614"/>
    <n v="77"/>
    <n v="56"/>
    <n v="20"/>
    <x v="0"/>
    <x v="0"/>
    <x v="0"/>
    <x v="0"/>
    <n v="51"/>
    <x v="3"/>
    <x v="4"/>
  </r>
  <r>
    <n v="39"/>
    <x v="1"/>
    <x v="0"/>
    <n v="5"/>
    <n v="2"/>
    <n v="31.19602218"/>
    <n v="91"/>
    <n v="89"/>
    <n v="79"/>
    <x v="1"/>
    <x v="0"/>
    <x v="1"/>
    <x v="2"/>
    <n v="86.333333333333329"/>
    <x v="4"/>
    <x v="3"/>
  </r>
  <r>
    <n v="34"/>
    <x v="0"/>
    <x v="3"/>
    <n v="8"/>
    <n v="1"/>
    <n v="3.4796754110000001"/>
    <n v="52"/>
    <n v="47"/>
    <n v="78"/>
    <x v="2"/>
    <x v="1"/>
    <x v="3"/>
    <x v="1"/>
    <n v="59"/>
    <x v="3"/>
    <x v="1"/>
  </r>
  <r>
    <n v="34"/>
    <x v="0"/>
    <x v="0"/>
    <n v="1"/>
    <n v="2"/>
    <n v="5.7340495249999996"/>
    <n v="79"/>
    <n v="43"/>
    <n v="56"/>
    <x v="0"/>
    <x v="1"/>
    <x v="3"/>
    <x v="0"/>
    <n v="59.333333333333336"/>
    <x v="3"/>
    <x v="1"/>
  </r>
  <r>
    <n v="48"/>
    <x v="1"/>
    <x v="0"/>
    <n v="13"/>
    <n v="1"/>
    <n v="2.6428348869999998"/>
    <n v="18"/>
    <n v="44"/>
    <n v="68"/>
    <x v="1"/>
    <x v="0"/>
    <x v="2"/>
    <x v="1"/>
    <n v="43.333333333333336"/>
    <x v="2"/>
    <x v="1"/>
  </r>
  <r>
    <n v="20"/>
    <x v="1"/>
    <x v="0"/>
    <n v="2"/>
    <n v="5"/>
    <n v="25.95849166"/>
    <n v="80"/>
    <n v="90"/>
    <n v="69"/>
    <x v="1"/>
    <x v="0"/>
    <x v="5"/>
    <x v="0"/>
    <n v="79.666666666666671"/>
    <x v="0"/>
    <x v="0"/>
  </r>
  <r>
    <n v="39"/>
    <x v="0"/>
    <x v="0"/>
    <n v="9"/>
    <n v="4"/>
    <n v="31.030331459999999"/>
    <n v="89"/>
    <n v="79"/>
    <n v="66"/>
    <x v="1"/>
    <x v="0"/>
    <x v="1"/>
    <x v="1"/>
    <n v="78"/>
    <x v="0"/>
    <x v="3"/>
  </r>
  <r>
    <n v="49"/>
    <x v="0"/>
    <x v="0"/>
    <n v="4"/>
    <n v="3"/>
    <n v="4.1239880680000001"/>
    <n v="5"/>
    <n v="89"/>
    <n v="47"/>
    <x v="1"/>
    <x v="0"/>
    <x v="2"/>
    <x v="2"/>
    <n v="47"/>
    <x v="2"/>
    <x v="1"/>
  </r>
  <r>
    <n v="26"/>
    <x v="1"/>
    <x v="2"/>
    <n v="8"/>
    <n v="4"/>
    <n v="37.06122337"/>
    <n v="48"/>
    <n v="32"/>
    <n v="75"/>
    <x v="1"/>
    <x v="1"/>
    <x v="0"/>
    <x v="1"/>
    <n v="51.666666666666664"/>
    <x v="3"/>
    <x v="3"/>
  </r>
  <r>
    <n v="46"/>
    <x v="1"/>
    <x v="1"/>
    <n v="3"/>
    <n v="4"/>
    <n v="12.51975358"/>
    <n v="72"/>
    <n v="30"/>
    <n v="99"/>
    <x v="1"/>
    <x v="0"/>
    <x v="2"/>
    <x v="2"/>
    <n v="67"/>
    <x v="1"/>
    <x v="4"/>
  </r>
  <r>
    <n v="23"/>
    <x v="0"/>
    <x v="3"/>
    <n v="0"/>
    <n v="5"/>
    <n v="35.260072690000001"/>
    <n v="49"/>
    <n v="46"/>
    <n v="32"/>
    <x v="1"/>
    <x v="1"/>
    <x v="5"/>
    <x v="0"/>
    <n v="42.333333333333336"/>
    <x v="2"/>
    <x v="3"/>
  </r>
  <r>
    <n v="48"/>
    <x v="1"/>
    <x v="1"/>
    <n v="3"/>
    <n v="2"/>
    <n v="50.094856999999998"/>
    <n v="80"/>
    <n v="5"/>
    <n v="35"/>
    <x v="1"/>
    <x v="0"/>
    <x v="2"/>
    <x v="2"/>
    <n v="40"/>
    <x v="2"/>
    <x v="5"/>
  </r>
  <r>
    <n v="25"/>
    <x v="0"/>
    <x v="0"/>
    <n v="5"/>
    <n v="3"/>
    <n v="35.555293499999998"/>
    <n v="94"/>
    <n v="71"/>
    <n v="32"/>
    <x v="0"/>
    <x v="1"/>
    <x v="5"/>
    <x v="2"/>
    <n v="65.666666666666671"/>
    <x v="1"/>
    <x v="3"/>
  </r>
  <r>
    <n v="44"/>
    <x v="0"/>
    <x v="3"/>
    <n v="4"/>
    <n v="2"/>
    <n v="45.159652649999998"/>
    <n v="11"/>
    <n v="70"/>
    <n v="30"/>
    <x v="2"/>
    <x v="0"/>
    <x v="4"/>
    <x v="2"/>
    <n v="37"/>
    <x v="2"/>
    <x v="2"/>
  </r>
  <r>
    <n v="20"/>
    <x v="0"/>
    <x v="3"/>
    <n v="13"/>
    <n v="4"/>
    <n v="48.409925340000001"/>
    <n v="22"/>
    <n v="33"/>
    <n v="20"/>
    <x v="2"/>
    <x v="0"/>
    <x v="5"/>
    <x v="1"/>
    <n v="25"/>
    <x v="2"/>
    <x v="2"/>
  </r>
  <r>
    <n v="48"/>
    <x v="0"/>
    <x v="0"/>
    <n v="12"/>
    <n v="1"/>
    <n v="25.337552420000002"/>
    <n v="53"/>
    <n v="52"/>
    <n v="26"/>
    <x v="1"/>
    <x v="1"/>
    <x v="2"/>
    <x v="1"/>
    <n v="43.666666666666664"/>
    <x v="2"/>
    <x v="0"/>
  </r>
  <r>
    <n v="24"/>
    <x v="1"/>
    <x v="0"/>
    <n v="0"/>
    <n v="4"/>
    <n v="36.116248970000001"/>
    <n v="68"/>
    <n v="13"/>
    <n v="90"/>
    <x v="1"/>
    <x v="1"/>
    <x v="5"/>
    <x v="0"/>
    <n v="57"/>
    <x v="3"/>
    <x v="3"/>
  </r>
  <r>
    <n v="46"/>
    <x v="1"/>
    <x v="0"/>
    <n v="3"/>
    <n v="2"/>
    <n v="43.598462679999997"/>
    <n v="99"/>
    <n v="15"/>
    <n v="71"/>
    <x v="1"/>
    <x v="0"/>
    <x v="2"/>
    <x v="2"/>
    <n v="61.666666666666664"/>
    <x v="1"/>
    <x v="2"/>
  </r>
  <r>
    <n v="42"/>
    <x v="1"/>
    <x v="3"/>
    <n v="5"/>
    <n v="4"/>
    <n v="18.830445640000001"/>
    <n v="58"/>
    <n v="42"/>
    <n v="100"/>
    <x v="1"/>
    <x v="1"/>
    <x v="4"/>
    <x v="2"/>
    <n v="66.666666666666671"/>
    <x v="1"/>
    <x v="4"/>
  </r>
  <r>
    <n v="20"/>
    <x v="1"/>
    <x v="0"/>
    <n v="12"/>
    <n v="1"/>
    <n v="14.069865829999999"/>
    <n v="35"/>
    <n v="72"/>
    <n v="61"/>
    <x v="1"/>
    <x v="0"/>
    <x v="5"/>
    <x v="1"/>
    <n v="56"/>
    <x v="3"/>
    <x v="4"/>
  </r>
  <r>
    <n v="49"/>
    <x v="1"/>
    <x v="2"/>
    <n v="14"/>
    <n v="5"/>
    <n v="48.329928639999999"/>
    <n v="2"/>
    <n v="73"/>
    <n v="95"/>
    <x v="0"/>
    <x v="1"/>
    <x v="2"/>
    <x v="1"/>
    <n v="56.666666666666664"/>
    <x v="3"/>
    <x v="2"/>
  </r>
  <r>
    <n v="23"/>
    <x v="1"/>
    <x v="0"/>
    <n v="9"/>
    <n v="2"/>
    <n v="37.315175019999998"/>
    <n v="57"/>
    <n v="80"/>
    <n v="25"/>
    <x v="1"/>
    <x v="0"/>
    <x v="5"/>
    <x v="1"/>
    <n v="54"/>
    <x v="3"/>
    <x v="3"/>
  </r>
  <r>
    <n v="41"/>
    <x v="1"/>
    <x v="1"/>
    <n v="9"/>
    <n v="4"/>
    <n v="11.984106669999999"/>
    <n v="87"/>
    <n v="11"/>
    <n v="65"/>
    <x v="0"/>
    <x v="0"/>
    <x v="4"/>
    <x v="1"/>
    <n v="54.333333333333336"/>
    <x v="3"/>
    <x v="4"/>
  </r>
  <r>
    <n v="21"/>
    <x v="0"/>
    <x v="3"/>
    <n v="13"/>
    <n v="2"/>
    <n v="23.454169629999999"/>
    <n v="54"/>
    <n v="69"/>
    <n v="11"/>
    <x v="0"/>
    <x v="0"/>
    <x v="5"/>
    <x v="1"/>
    <n v="44.666666666666664"/>
    <x v="2"/>
    <x v="0"/>
  </r>
  <r>
    <n v="29"/>
    <x v="1"/>
    <x v="1"/>
    <n v="3"/>
    <n v="5"/>
    <n v="40.82258848"/>
    <n v="56"/>
    <n v="18"/>
    <n v="21"/>
    <x v="1"/>
    <x v="0"/>
    <x v="0"/>
    <x v="2"/>
    <n v="31.666666666666668"/>
    <x v="2"/>
    <x v="2"/>
  </r>
  <r>
    <n v="24"/>
    <x v="1"/>
    <x v="0"/>
    <n v="14"/>
    <n v="4"/>
    <n v="28.353149550000001"/>
    <n v="16"/>
    <n v="40"/>
    <n v="16"/>
    <x v="1"/>
    <x v="0"/>
    <x v="5"/>
    <x v="1"/>
    <n v="24"/>
    <x v="2"/>
    <x v="0"/>
  </r>
  <r>
    <n v="46"/>
    <x v="0"/>
    <x v="0"/>
    <n v="13"/>
    <n v="4"/>
    <n v="33.49760491"/>
    <n v="38"/>
    <n v="52"/>
    <n v="6"/>
    <x v="1"/>
    <x v="0"/>
    <x v="2"/>
    <x v="1"/>
    <n v="32"/>
    <x v="2"/>
    <x v="3"/>
  </r>
  <r>
    <n v="29"/>
    <x v="1"/>
    <x v="2"/>
    <n v="8"/>
    <n v="2"/>
    <n v="38.688410099999999"/>
    <n v="89"/>
    <n v="28"/>
    <n v="67"/>
    <x v="1"/>
    <x v="0"/>
    <x v="0"/>
    <x v="1"/>
    <n v="61.333333333333336"/>
    <x v="1"/>
    <x v="3"/>
  </r>
  <r>
    <n v="20"/>
    <x v="1"/>
    <x v="2"/>
    <n v="4"/>
    <n v="2"/>
    <n v="32.100459440000002"/>
    <n v="67"/>
    <n v="69"/>
    <n v="36"/>
    <x v="2"/>
    <x v="0"/>
    <x v="5"/>
    <x v="2"/>
    <n v="57.333333333333336"/>
    <x v="3"/>
    <x v="3"/>
  </r>
  <r>
    <n v="41"/>
    <x v="0"/>
    <x v="2"/>
    <n v="7"/>
    <n v="1"/>
    <n v="28.0039661"/>
    <n v="54"/>
    <n v="58"/>
    <n v="37"/>
    <x v="1"/>
    <x v="1"/>
    <x v="4"/>
    <x v="2"/>
    <n v="49.666666666666664"/>
    <x v="2"/>
    <x v="0"/>
  </r>
  <r>
    <n v="25"/>
    <x v="1"/>
    <x v="0"/>
    <n v="8"/>
    <n v="5"/>
    <n v="38.480714220000003"/>
    <n v="44"/>
    <n v="88"/>
    <n v="95"/>
    <x v="1"/>
    <x v="1"/>
    <x v="5"/>
    <x v="1"/>
    <n v="75.666666666666671"/>
    <x v="0"/>
    <x v="3"/>
  </r>
  <r>
    <n v="32"/>
    <x v="1"/>
    <x v="2"/>
    <n v="9"/>
    <n v="1"/>
    <n v="37.378151770000002"/>
    <n v="75"/>
    <n v="63"/>
    <n v="10"/>
    <x v="0"/>
    <x v="1"/>
    <x v="3"/>
    <x v="1"/>
    <n v="49.333333333333336"/>
    <x v="2"/>
    <x v="3"/>
  </r>
  <r>
    <n v="50"/>
    <x v="1"/>
    <x v="0"/>
    <n v="4"/>
    <n v="4"/>
    <n v="32.493620010000001"/>
    <n v="0"/>
    <n v="23"/>
    <n v="0"/>
    <x v="0"/>
    <x v="0"/>
    <x v="2"/>
    <x v="2"/>
    <n v="7.666666666666667"/>
    <x v="2"/>
    <x v="3"/>
  </r>
  <r>
    <n v="34"/>
    <x v="0"/>
    <x v="1"/>
    <n v="5"/>
    <n v="2"/>
    <n v="18.989470669999999"/>
    <n v="20"/>
    <n v="88"/>
    <n v="24"/>
    <x v="1"/>
    <x v="0"/>
    <x v="3"/>
    <x v="2"/>
    <n v="44"/>
    <x v="2"/>
    <x v="4"/>
  </r>
  <r>
    <n v="23"/>
    <x v="1"/>
    <x v="0"/>
    <n v="0"/>
    <n v="4"/>
    <n v="21.290604609999999"/>
    <n v="82"/>
    <n v="15"/>
    <n v="41"/>
    <x v="1"/>
    <x v="0"/>
    <x v="5"/>
    <x v="0"/>
    <n v="46"/>
    <x v="2"/>
    <x v="0"/>
  </r>
  <r>
    <n v="32"/>
    <x v="1"/>
    <x v="3"/>
    <n v="10"/>
    <n v="4"/>
    <n v="49.521927439999999"/>
    <n v="20"/>
    <n v="51"/>
    <n v="51"/>
    <x v="1"/>
    <x v="1"/>
    <x v="3"/>
    <x v="1"/>
    <n v="40.666666666666664"/>
    <x v="2"/>
    <x v="2"/>
  </r>
  <r>
    <n v="43"/>
    <x v="0"/>
    <x v="0"/>
    <n v="15"/>
    <n v="3"/>
    <n v="6.6192966149999997"/>
    <n v="51"/>
    <n v="79"/>
    <n v="23"/>
    <x v="1"/>
    <x v="1"/>
    <x v="4"/>
    <x v="1"/>
    <n v="51"/>
    <x v="3"/>
    <x v="1"/>
  </r>
  <r>
    <n v="39"/>
    <x v="1"/>
    <x v="0"/>
    <n v="11"/>
    <n v="3"/>
    <n v="14.42524586"/>
    <n v="81"/>
    <n v="5"/>
    <n v="52"/>
    <x v="1"/>
    <x v="1"/>
    <x v="1"/>
    <x v="1"/>
    <n v="46"/>
    <x v="2"/>
    <x v="4"/>
  </r>
  <r>
    <n v="43"/>
    <x v="0"/>
    <x v="0"/>
    <n v="14"/>
    <n v="4"/>
    <n v="25.620087959999999"/>
    <n v="42"/>
    <n v="36"/>
    <n v="55"/>
    <x v="0"/>
    <x v="1"/>
    <x v="4"/>
    <x v="1"/>
    <n v="44.333333333333336"/>
    <x v="2"/>
    <x v="0"/>
  </r>
  <r>
    <n v="34"/>
    <x v="0"/>
    <x v="2"/>
    <n v="6"/>
    <n v="2"/>
    <n v="42.836484310000003"/>
    <n v="51"/>
    <n v="84"/>
    <n v="62"/>
    <x v="0"/>
    <x v="1"/>
    <x v="3"/>
    <x v="2"/>
    <n v="65.666666666666671"/>
    <x v="1"/>
    <x v="2"/>
  </r>
  <r>
    <n v="48"/>
    <x v="1"/>
    <x v="0"/>
    <n v="3"/>
    <n v="4"/>
    <n v="9.1837831859999994"/>
    <n v="66"/>
    <n v="3"/>
    <n v="80"/>
    <x v="2"/>
    <x v="0"/>
    <x v="2"/>
    <x v="2"/>
    <n v="49.666666666666664"/>
    <x v="2"/>
    <x v="1"/>
  </r>
  <r>
    <n v="27"/>
    <x v="0"/>
    <x v="0"/>
    <n v="10"/>
    <n v="3"/>
    <n v="14.847730909999999"/>
    <n v="43"/>
    <n v="97"/>
    <n v="7"/>
    <x v="1"/>
    <x v="1"/>
    <x v="0"/>
    <x v="1"/>
    <n v="49"/>
    <x v="2"/>
    <x v="4"/>
  </r>
  <r>
    <n v="24"/>
    <x v="0"/>
    <x v="2"/>
    <n v="1"/>
    <n v="2"/>
    <n v="4.2899108899999998"/>
    <n v="31"/>
    <n v="91"/>
    <n v="58"/>
    <x v="0"/>
    <x v="0"/>
    <x v="5"/>
    <x v="0"/>
    <n v="60"/>
    <x v="1"/>
    <x v="1"/>
  </r>
  <r>
    <n v="48"/>
    <x v="1"/>
    <x v="0"/>
    <n v="4"/>
    <n v="4"/>
    <n v="36.2992633"/>
    <n v="9"/>
    <n v="37"/>
    <n v="44"/>
    <x v="1"/>
    <x v="0"/>
    <x v="2"/>
    <x v="2"/>
    <n v="30"/>
    <x v="2"/>
    <x v="3"/>
  </r>
  <r>
    <n v="34"/>
    <x v="0"/>
    <x v="0"/>
    <n v="11"/>
    <n v="5"/>
    <n v="12.910471769999999"/>
    <n v="63"/>
    <n v="40"/>
    <n v="26"/>
    <x v="1"/>
    <x v="0"/>
    <x v="3"/>
    <x v="1"/>
    <n v="43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E996F-BEA2-4E8A-A4D2-875E39FD488F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6:D142" firstHeaderRow="1" firstDataRow="2" firstDataCol="1"/>
  <pivotFields count="16">
    <pivotField showAll="0"/>
    <pivotField numFmtId="1" showAll="0">
      <items count="3">
        <item x="1"/>
        <item x="0"/>
        <item t="default"/>
      </items>
    </pivotField>
    <pivotField axis="axisRow" numFmtId="1" showAll="0">
      <items count="5">
        <item x="2"/>
        <item x="0"/>
        <item x="3"/>
        <item x="1"/>
        <item t="default"/>
      </items>
    </pivotField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>
      <items count="3">
        <item x="1"/>
        <item x="0"/>
        <item t="default"/>
      </items>
    </pivotField>
    <pivotField showAll="0"/>
    <pivotField showAll="0"/>
    <pivotField numFmtId="2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2" baseItem="0" numFmtId="10"/>
  </dataFields>
  <formats count="30">
    <format dxfId="149">
      <pivotArea type="all" dataOnly="0" outline="0" fieldPosition="0"/>
    </format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field="10" type="button" dataOnly="0" labelOnly="1" outline="0" axis="axisCol" fieldPosition="0"/>
    </format>
    <format dxfId="145">
      <pivotArea type="topRight" dataOnly="0" labelOnly="1" outline="0" fieldPosition="0"/>
    </format>
    <format dxfId="144">
      <pivotArea field="2" type="button" dataOnly="0" labelOnly="1" outline="0" axis="axisRow" fieldPosition="0"/>
    </format>
    <format dxfId="143">
      <pivotArea dataOnly="0" labelOnly="1" fieldPosition="0">
        <references count="1">
          <reference field="2" count="0"/>
        </references>
      </pivotArea>
    </format>
    <format dxfId="142">
      <pivotArea dataOnly="0" labelOnly="1" grandRow="1" outline="0" fieldPosition="0"/>
    </format>
    <format dxfId="141">
      <pivotArea dataOnly="0" labelOnly="1" fieldPosition="0">
        <references count="1">
          <reference field="10" count="0"/>
        </references>
      </pivotArea>
    </format>
    <format dxfId="140">
      <pivotArea dataOnly="0" labelOnly="1" grandCol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10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2" type="button" dataOnly="0" labelOnly="1" outline="0" axis="axisRow" fieldPosition="0"/>
    </format>
    <format dxfId="93">
      <pivotArea dataOnly="0" labelOnly="1" fieldPosition="0">
        <references count="1">
          <reference field="2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10" count="0"/>
        </references>
      </pivotArea>
    </format>
    <format dxfId="90">
      <pivotArea dataOnly="0" labelOnly="1" grandCol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0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10" count="0"/>
        </references>
      </pivotArea>
    </format>
    <format dxfId="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77376-0B14-4CB9-9629-14F01968DAE1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6:D154" firstHeaderRow="1" firstDataRow="2" firstDataCol="1"/>
  <pivotFields count="16">
    <pivotField showAll="0"/>
    <pivotField numFmtId="1" showAll="0">
      <items count="3">
        <item x="1"/>
        <item x="0"/>
        <item t="default"/>
      </items>
    </pivotField>
    <pivotField numFmtId="1" showAll="0">
      <items count="5">
        <item x="2"/>
        <item x="0"/>
        <item x="3"/>
        <item x="1"/>
        <item t="default"/>
      </items>
    </pivotField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>
      <items count="3">
        <item x="1"/>
        <item x="0"/>
        <item t="default"/>
      </items>
    </pivotField>
    <pivotField axis="axisRow" showAll="0">
      <items count="7">
        <item x="5"/>
        <item x="0"/>
        <item x="3"/>
        <item x="1"/>
        <item x="4"/>
        <item x="2"/>
        <item t="default"/>
      </items>
    </pivotField>
    <pivotField showAll="0"/>
    <pivotField numFmtId="2"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2" baseItem="0" numFmtId="10"/>
  </dataFields>
  <formats count="30">
    <format dxfId="139">
      <pivotArea type="all" dataOnly="0" outline="0" fieldPosition="0"/>
    </format>
    <format dxfId="138">
      <pivotArea outline="0" collapsedLevelsAreSubtotals="1" fieldPosition="0"/>
    </format>
    <format dxfId="137">
      <pivotArea type="origin" dataOnly="0" labelOnly="1" outline="0" fieldPosition="0"/>
    </format>
    <format dxfId="136">
      <pivotArea field="10" type="button" dataOnly="0" labelOnly="1" outline="0" axis="axisCol" fieldPosition="0"/>
    </format>
    <format dxfId="135">
      <pivotArea type="topRight" dataOnly="0" labelOnly="1" outline="0" fieldPosition="0"/>
    </format>
    <format dxfId="134">
      <pivotArea field="11" type="button" dataOnly="0" labelOnly="1" outline="0" axis="axisRow" fieldPosition="0"/>
    </format>
    <format dxfId="133">
      <pivotArea dataOnly="0" labelOnly="1" fieldPosition="0">
        <references count="1">
          <reference field="11" count="0"/>
        </references>
      </pivotArea>
    </format>
    <format dxfId="132">
      <pivotArea dataOnly="0" labelOnly="1" grandRow="1" outline="0" fieldPosition="0"/>
    </format>
    <format dxfId="131">
      <pivotArea dataOnly="0" labelOnly="1" fieldPosition="0">
        <references count="1">
          <reference field="10" count="0"/>
        </references>
      </pivotArea>
    </format>
    <format dxfId="130">
      <pivotArea dataOnly="0" labelOnly="1" grandCol="1" outline="0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10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11" type="button" dataOnly="0" labelOnly="1" outline="0" axis="axisRow" fieldPosition="0"/>
    </format>
    <format dxfId="83">
      <pivotArea dataOnly="0" labelOnly="1" fieldPosition="0">
        <references count="1">
          <reference field="11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0" count="0"/>
        </references>
      </pivotArea>
    </format>
    <format dxfId="80">
      <pivotArea dataOnly="0" labelOnly="1" grandCol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0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11" type="button" dataOnly="0" labelOnly="1" outline="0" axis="axisRow" fieldPosition="0"/>
    </format>
    <format dxfId="33">
      <pivotArea dataOnly="0" labelOnly="1" fieldPosition="0">
        <references count="1">
          <reference field="11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10" count="0"/>
        </references>
      </pivotArea>
    </format>
    <format dxfId="3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D4DE2-B337-4698-A460-9D29F37B785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9:D164" firstHeaderRow="1" firstDataRow="2" firstDataCol="1"/>
  <pivotFields count="16">
    <pivotField showAll="0"/>
    <pivotField numFmtId="1" showAll="0">
      <items count="3">
        <item x="1"/>
        <item x="0"/>
        <item t="default"/>
      </items>
    </pivotField>
    <pivotField numFmtId="1" showAll="0">
      <items count="5">
        <item x="2"/>
        <item x="0"/>
        <item x="3"/>
        <item x="1"/>
        <item t="default"/>
      </items>
    </pivotField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>
      <items count="3">
        <item x="1"/>
        <item x="0"/>
        <item t="default"/>
      </items>
    </pivotField>
    <pivotField showAll="0">
      <items count="7">
        <item x="5"/>
        <item x="0"/>
        <item x="3"/>
        <item x="1"/>
        <item x="4"/>
        <item x="2"/>
        <item t="default"/>
      </items>
    </pivotField>
    <pivotField axis="axisRow" showAll="0">
      <items count="4">
        <item x="0"/>
        <item x="2"/>
        <item x="1"/>
        <item t="default"/>
      </items>
    </pivotField>
    <pivotField numFmtId="2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2" baseItem="0" numFmtId="10"/>
  </dataFields>
  <formats count="30"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10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12" type="button" dataOnly="0" labelOnly="1" outline="0" axis="axisRow" fieldPosition="0"/>
    </format>
    <format dxfId="123">
      <pivotArea dataOnly="0" labelOnly="1" fieldPosition="0">
        <references count="1">
          <reference field="12" count="0"/>
        </references>
      </pivotArea>
    </format>
    <format dxfId="122">
      <pivotArea dataOnly="0" labelOnly="1" grandRow="1" outline="0" fieldPosition="0"/>
    </format>
    <format dxfId="121">
      <pivotArea dataOnly="0" labelOnly="1" fieldPosition="0">
        <references count="1">
          <reference field="10" count="0"/>
        </references>
      </pivotArea>
    </format>
    <format dxfId="120">
      <pivotArea dataOnly="0" labelOnly="1" grandCol="1" outline="0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10" type="button" dataOnly="0" labelOnly="1" outline="0" axis="axisCol" fieldPosition="0"/>
    </format>
    <format dxfId="75">
      <pivotArea type="topRight" dataOnly="0" labelOnly="1" outline="0" fieldPosition="0"/>
    </format>
    <format dxfId="74">
      <pivotArea field="12" type="button" dataOnly="0" labelOnly="1" outline="0" axis="axisRow" fieldPosition="0"/>
    </format>
    <format dxfId="73">
      <pivotArea dataOnly="0" labelOnly="1" fieldPosition="0">
        <references count="1">
          <reference field="12" count="0"/>
        </references>
      </pivotArea>
    </format>
    <format dxfId="72">
      <pivotArea dataOnly="0" labelOnly="1" grandRow="1" outline="0" fieldPosition="0"/>
    </format>
    <format dxfId="71">
      <pivotArea dataOnly="0" labelOnly="1" fieldPosition="0">
        <references count="1">
          <reference field="10" count="0"/>
        </references>
      </pivotArea>
    </format>
    <format dxfId="7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0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2" type="button" dataOnly="0" labelOnly="1" outline="0" axis="axisRow" fieldPosition="0"/>
    </format>
    <format dxfId="23">
      <pivotArea dataOnly="0" labelOnly="1" fieldPosition="0">
        <references count="1">
          <reference field="12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0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D5865-DE14-4F03-B230-30DBFCC30315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8:D176" firstHeaderRow="1" firstDataRow="2" firstDataCol="1"/>
  <pivotFields count="16">
    <pivotField showAll="0"/>
    <pivotField numFmtId="1" showAll="0">
      <items count="3">
        <item x="1"/>
        <item x="0"/>
        <item t="default"/>
      </items>
    </pivotField>
    <pivotField numFmtId="1" showAll="0">
      <items count="5">
        <item x="2"/>
        <item x="0"/>
        <item x="3"/>
        <item x="1"/>
        <item t="default"/>
      </items>
    </pivotField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>
      <items count="3">
        <item x="1"/>
        <item x="0"/>
        <item t="default"/>
      </items>
    </pivotField>
    <pivotField showAll="0">
      <items count="7">
        <item x="5"/>
        <item x="0"/>
        <item x="3"/>
        <item x="1"/>
        <item x="4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numFmtId="2" showAll="0"/>
    <pivotField showAll="0"/>
    <pivotField axis="axisRow" showAll="0">
      <items count="7">
        <item x="1"/>
        <item x="4"/>
        <item x="0"/>
        <item x="3"/>
        <item x="2"/>
        <item x="5"/>
        <item t="default"/>
      </items>
    </pivotField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2" baseItem="0" numFmtId="10"/>
  </dataFields>
  <formats count="30"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10" type="button" dataOnly="0" labelOnly="1" outline="0" axis="axisCol" fieldPosition="0"/>
    </format>
    <format dxfId="115">
      <pivotArea type="topRight" dataOnly="0" labelOnly="1" outline="0" fieldPosition="0"/>
    </format>
    <format dxfId="114">
      <pivotArea field="15" type="button" dataOnly="0" labelOnly="1" outline="0" axis="axisRow" fieldPosition="0"/>
    </format>
    <format dxfId="113">
      <pivotArea dataOnly="0" labelOnly="1" fieldPosition="0">
        <references count="1">
          <reference field="15" count="0"/>
        </references>
      </pivotArea>
    </format>
    <format dxfId="112">
      <pivotArea dataOnly="0" labelOnly="1" grandRow="1" outline="0" fieldPosition="0"/>
    </format>
    <format dxfId="111">
      <pivotArea dataOnly="0" labelOnly="1" fieldPosition="0">
        <references count="1">
          <reference field="10" count="0"/>
        </references>
      </pivotArea>
    </format>
    <format dxfId="110">
      <pivotArea dataOnly="0" labelOnly="1" grandCol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10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15" type="button" dataOnly="0" labelOnly="1" outline="0" axis="axisRow" fieldPosition="0"/>
    </format>
    <format dxfId="63">
      <pivotArea dataOnly="0" labelOnly="1" fieldPosition="0">
        <references count="1">
          <reference field="15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10" count="0"/>
        </references>
      </pivotArea>
    </format>
    <format dxfId="6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5" type="button" dataOnly="0" labelOnly="1" outline="0" axis="axisRow" fieldPosition="0"/>
    </format>
    <format dxfId="13">
      <pivotArea dataOnly="0" labelOnly="1" fieldPosition="0">
        <references count="1">
          <reference field="15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0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BE738-06AA-4EBE-95FF-BF8A9F28704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8:D132" firstHeaderRow="1" firstDataRow="2" firstDataCol="1"/>
  <pivotFields count="16">
    <pivotField showAll="0"/>
    <pivotField axis="axisRow" numFmtId="1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>
      <items count="3">
        <item x="1"/>
        <item x="0"/>
        <item t="default"/>
      </items>
    </pivotField>
    <pivotField showAll="0"/>
    <pivotField showAll="0"/>
    <pivotField numFmtId="2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1" baseItem="0" numFmtId="10"/>
  </dataFields>
  <formats count="30"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10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1" type="button" dataOnly="0" labelOnly="1" outline="0" axis="axisRow" fieldPosition="0"/>
    </format>
    <format dxfId="103">
      <pivotArea dataOnly="0" labelOnly="1" fieldPosition="0">
        <references count="1">
          <reference field="1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10" count="0"/>
        </references>
      </pivotArea>
    </format>
    <format dxfId="10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0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10" count="0"/>
        </references>
      </pivotArea>
    </format>
    <format dxfId="5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F5507-ED58-42B1-9928-C47398BABD3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E53" firstHeaderRow="0" firstDataRow="1" firstDataCol="1"/>
  <pivotFields count="16">
    <pivotField showAll="0"/>
    <pivotField numFmtId="1" showAll="0"/>
    <pivotField numFmtId="1" showAll="0"/>
    <pivotField numFmtId="1" showAll="0"/>
    <pivotField numFmtId="1" showAll="0"/>
    <pivotField numFmtId="2" showAll="0"/>
    <pivotField dataField="1" numFmtId="1" showAll="0"/>
    <pivotField dataField="1" numFmtId="1" showAll="0"/>
    <pivotField dataField="1" numFmtId="1" showAll="0"/>
    <pivotField numFmtId="1" showAll="0"/>
    <pivotField axis="axisRow" numFmtId="1" showAll="0" defaultSubtotal="0">
      <items count="2">
        <item x="1"/>
        <item x="0"/>
      </items>
    </pivotField>
    <pivotField showAll="0"/>
    <pivotField showAll="0"/>
    <pivotField dataField="1" numFmtId="2"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nterview Score" fld="6" subtotal="average" baseField="10" baseItem="0" numFmtId="1"/>
    <dataField name="Average of Skill Score" fld="7" subtotal="average" baseField="10" baseItem="0" numFmtId="1"/>
    <dataField name="Average of Personality Score" fld="8" subtotal="average" baseField="10" baseItem="0" numFmtId="1"/>
    <dataField name="Average of Overall Assessment Score" fld="13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FEB11-EE50-466B-9383-22FDCF843C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6" firstHeaderRow="1" firstDataRow="2" firstDataCol="1"/>
  <pivotFields count="16">
    <pivotField showAll="0"/>
    <pivotField numFmtId="1" showAll="0"/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 defaultSubtotal="0">
      <items count="2">
        <item x="1"/>
        <item x="0"/>
      </items>
    </pivotField>
    <pivotField showAll="0"/>
    <pivotField axis="axisRow" showAll="0">
      <items count="4">
        <item x="0"/>
        <item x="2"/>
        <item x="1"/>
        <item t="default"/>
      </items>
    </pivotField>
    <pivotField numFmtId="2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6B5C4-1D3A-4D90-ABF3-56B8D2E008A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D38" firstHeaderRow="1" firstDataRow="2" firstDataCol="1"/>
  <pivotFields count="16">
    <pivotField showAll="0"/>
    <pivotField numFmtId="1" showAll="0"/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 defaultSubtotal="0">
      <items count="2">
        <item x="1"/>
        <item x="0"/>
      </items>
    </pivotField>
    <pivotField axis="axisRow" showAll="0">
      <items count="7">
        <item x="5"/>
        <item x="0"/>
        <item x="3"/>
        <item x="1"/>
        <item x="4"/>
        <item x="2"/>
        <item t="default"/>
      </items>
    </pivotField>
    <pivotField showAll="0"/>
    <pivotField numFmtId="2"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D0709-34C5-4CAF-8BAA-C18A6737EAC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3:E87" firstHeaderRow="0" firstDataRow="1" firstDataCol="1"/>
  <pivotFields count="16">
    <pivotField showAll="0"/>
    <pivotField numFmtId="1" showAll="0"/>
    <pivotField numFmtId="1" showAll="0"/>
    <pivotField numFmtId="1" showAll="0"/>
    <pivotField numFmtId="1" showAll="0"/>
    <pivotField numFmtId="2" showAll="0"/>
    <pivotField dataField="1" numFmtId="1" showAll="0"/>
    <pivotField dataField="1" numFmtId="1" showAll="0"/>
    <pivotField dataField="1" numFmtId="1" showAll="0"/>
    <pivotField numFmtId="1" showAll="0"/>
    <pivotField numFmtId="1" showAll="0" defaultSubtotal="0"/>
    <pivotField showAll="0"/>
    <pivotField axis="axisRow" showAll="0">
      <items count="4">
        <item x="0"/>
        <item x="2"/>
        <item x="1"/>
        <item t="default"/>
      </items>
    </pivotField>
    <pivotField dataField="1" numFmtId="2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nterview Score" fld="6" subtotal="average" baseField="10" baseItem="0" numFmtId="1"/>
    <dataField name="Average of Skill Score" fld="7" subtotal="average" baseField="10" baseItem="0" numFmtId="1"/>
    <dataField name="Average of Personality Score" fld="8" subtotal="average" baseField="10" baseItem="0" numFmtId="1"/>
    <dataField name="Average of Overall Assessment Score" fld="13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D4725-E385-4F58-9529-D0D8A38E432D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6:D124" firstHeaderRow="1" firstDataRow="2" firstDataCol="1"/>
  <pivotFields count="16">
    <pivotField showAll="0"/>
    <pivotField numFmtId="1" showAll="0"/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>
      <items count="3">
        <item x="1"/>
        <item x="0"/>
        <item t="default"/>
      </items>
    </pivotField>
    <pivotField showAll="0"/>
    <pivotField showAll="0"/>
    <pivotField numFmtId="2" showAll="0"/>
    <pivotField showAll="0"/>
    <pivotField axis="axisRow" showAll="0">
      <items count="7">
        <item x="1"/>
        <item x="4"/>
        <item x="0"/>
        <item x="3"/>
        <item x="2"/>
        <item x="5"/>
        <item t="default"/>
      </items>
    </pivotField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84E6C-F1A9-4EC4-BE0F-FC5ECE25C50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6">
    <pivotField showAll="0"/>
    <pivotField axis="axisRow" numFmtId="1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 defaultSubtotal="0">
      <items count="2">
        <item x="1"/>
        <item x="0"/>
      </items>
    </pivotField>
    <pivotField showAll="0"/>
    <pivotField showAll="0"/>
    <pivotField numFmtId="2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BFC66-7252-455A-8FC0-7DD59E7F92E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E61" firstHeaderRow="0" firstDataRow="1" firstDataCol="1"/>
  <pivotFields count="16">
    <pivotField showAll="0"/>
    <pivotField axis="axisRow" numFmtId="1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2" showAll="0"/>
    <pivotField dataField="1" numFmtId="1" showAll="0"/>
    <pivotField dataField="1" numFmtId="1" showAll="0"/>
    <pivotField dataField="1" numFmtId="1" showAll="0"/>
    <pivotField numFmtId="1" showAll="0"/>
    <pivotField numFmtId="1" showAll="0" defaultSubtotal="0"/>
    <pivotField showAll="0"/>
    <pivotField showAll="0"/>
    <pivotField dataField="1" numFmtId="2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nterview Score" fld="6" subtotal="average" baseField="10" baseItem="0" numFmtId="1"/>
    <dataField name="Average of Skill Score" fld="7" subtotal="average" baseField="10" baseItem="0" numFmtId="1"/>
    <dataField name="Average of Personality Score" fld="8" subtotal="average" baseField="10" baseItem="0" numFmtId="1"/>
    <dataField name="Average of Overall Assessment Score" fld="13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BF853-DBE1-4328-AA3B-22A9B1F092B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0:D98" firstHeaderRow="1" firstDataRow="2" firstDataCol="1"/>
  <pivotFields count="16">
    <pivotField showAll="0"/>
    <pivotField numFmtId="1" showAll="0"/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>
      <items count="3">
        <item x="1"/>
        <item x="0"/>
        <item t="default"/>
      </items>
    </pivotField>
    <pivotField showAll="0"/>
    <pivotField showAll="0"/>
    <pivotField numFmtId="2" showAll="0"/>
    <pivotField axis="axisRow" showAll="0">
      <items count="7">
        <item x="2"/>
        <item x="3"/>
        <item x="1"/>
        <item x="0"/>
        <item x="4"/>
        <item x="5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C9F72-B22F-4965-9983-D299A664FDBC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8:E112" firstHeaderRow="0" firstDataRow="1" firstDataCol="1"/>
  <pivotFields count="16">
    <pivotField showAll="0"/>
    <pivotField numFmtId="1" showAll="0"/>
    <pivotField numFmtId="1" showAll="0"/>
    <pivotField numFmtId="1" showAll="0"/>
    <pivotField numFmtId="1" showAll="0"/>
    <pivotField numFmtId="2" showAll="0"/>
    <pivotField dataField="1" numFmtId="1" showAll="0"/>
    <pivotField dataField="1" numFmtId="1" showAll="0"/>
    <pivotField dataField="1" numFmtId="1" showAll="0"/>
    <pivotField axis="axisRow" numFmtId="1" showAll="0">
      <items count="4">
        <item x="0"/>
        <item x="1"/>
        <item x="2"/>
        <item t="default"/>
      </items>
    </pivotField>
    <pivotField numFmtId="1" showAll="0" defaultSubtotal="0"/>
    <pivotField showAll="0"/>
    <pivotField showAll="0"/>
    <pivotField dataField="1" numFmtId="2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nterview Score" fld="6" subtotal="average" baseField="10" baseItem="0" numFmtId="1"/>
    <dataField name="Average of Skill Score" fld="7" subtotal="average" baseField="10" baseItem="0" numFmtId="1"/>
    <dataField name="Average of Personality Score" fld="8" subtotal="average" baseField="10" baseItem="0" numFmtId="1"/>
    <dataField name="Average of Overall Assessment Score" fld="13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6BDAA-531C-42F8-8C9D-BA7161BFBFB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1:D105" firstHeaderRow="1" firstDataRow="2" firstDataCol="1"/>
  <pivotFields count="16">
    <pivotField showAll="0"/>
    <pivotField axis="axisRow" numFmtId="1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numFmtId="1" showAll="0">
      <items count="3">
        <item x="1"/>
        <item x="0"/>
        <item t="default"/>
      </items>
    </pivotField>
    <pivotField showAll="0"/>
    <pivotField showAll="0"/>
    <pivotField dataField="1" numFmtId="2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Average of Overall Assessment Score" fld="13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D7AE2-DD7F-47C1-9A6B-C8331090523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E72" firstHeaderRow="0" firstDataRow="1" firstDataCol="1"/>
  <pivotFields count="16">
    <pivotField showAll="0"/>
    <pivotField numFmtId="1" showAll="0"/>
    <pivotField numFmtId="1" showAll="0"/>
    <pivotField numFmtId="1" showAll="0"/>
    <pivotField numFmtId="1" showAll="0"/>
    <pivotField numFmtId="2" showAll="0"/>
    <pivotField dataField="1" numFmtId="1" showAll="0"/>
    <pivotField dataField="1" numFmtId="1" showAll="0"/>
    <pivotField dataField="1" numFmtId="1" showAll="0"/>
    <pivotField numFmtId="1" showAll="0"/>
    <pivotField numFmtId="1" showAll="0" defaultSubtotal="0"/>
    <pivotField axis="axisRow" showAll="0">
      <items count="7">
        <item x="5"/>
        <item x="0"/>
        <item x="3"/>
        <item x="1"/>
        <item x="4"/>
        <item x="2"/>
        <item t="default"/>
      </items>
    </pivotField>
    <pivotField showAll="0"/>
    <pivotField dataField="1" numFmtId="2"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nterview Score" fld="6" subtotal="average" baseField="10" baseItem="0" numFmtId="1"/>
    <dataField name="Average of Skill Score" fld="7" subtotal="average" baseField="10" baseItem="0" numFmtId="1"/>
    <dataField name="Average of Personality Score" fld="8" subtotal="average" baseField="10" baseItem="0" numFmtId="1"/>
    <dataField name="Average of Overall Assessment Score" fld="13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EE2D5-24D5-48F6-9980-D8EDED8E811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D47" firstHeaderRow="1" firstDataRow="2" firstDataCol="1"/>
  <pivotFields count="16">
    <pivotField showAll="0"/>
    <pivotField numFmtId="1" showAll="0"/>
    <pivotField numFmtId="1"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axis="axisRow" numFmtId="1" showAll="0">
      <items count="4">
        <item x="0"/>
        <item x="1"/>
        <item x="2"/>
        <item t="default"/>
      </items>
    </pivotField>
    <pivotField axis="axisCol" dataField="1" numFmtId="1" showAll="0" defaultSubtotal="0">
      <items count="2">
        <item x="1"/>
        <item x="0"/>
      </items>
    </pivotField>
    <pivotField showAll="0"/>
    <pivotField showAll="0"/>
    <pivotField numFmtId="2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4A745-EC90-4280-B2C4-7C9CAD63034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5:E80" firstHeaderRow="0" firstDataRow="1" firstDataCol="1"/>
  <pivotFields count="16">
    <pivotField showAll="0"/>
    <pivotField numFmtId="1" showAll="0"/>
    <pivotField axis="axisRow" numFmtId="1" showAll="0">
      <items count="5">
        <item x="2"/>
        <item x="0"/>
        <item x="3"/>
        <item x="1"/>
        <item t="default"/>
      </items>
    </pivotField>
    <pivotField numFmtId="1" showAll="0"/>
    <pivotField numFmtId="1" showAll="0"/>
    <pivotField numFmtId="2" showAll="0"/>
    <pivotField dataField="1" numFmtId="1" showAll="0"/>
    <pivotField dataField="1" numFmtId="1" showAll="0"/>
    <pivotField dataField="1" numFmtId="1" showAll="0"/>
    <pivotField numFmtId="1" showAll="0"/>
    <pivotField numFmtId="1" showAll="0" defaultSubtotal="0"/>
    <pivotField showAll="0"/>
    <pivotField showAll="0"/>
    <pivotField dataField="1" numFmtId="2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Interview Score" fld="6" subtotal="average" baseField="10" baseItem="0" numFmtId="1"/>
    <dataField name="Average of Skill Score" fld="7" subtotal="average" baseField="10" baseItem="0" numFmtId="1"/>
    <dataField name="Average of Personality Score" fld="8" subtotal="average" baseField="10" baseItem="0" numFmtId="1"/>
    <dataField name="Average of Overall Assessment Score" fld="13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E4086-6156-48EA-BB3D-A3298846E9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7" firstHeaderRow="1" firstDataRow="2" firstDataCol="1"/>
  <pivotFields count="16">
    <pivotField showAll="0"/>
    <pivotField numFmtId="1" showAll="0"/>
    <pivotField axis="axisRow" numFmtId="1" showAll="0">
      <items count="5">
        <item x="2"/>
        <item x="0"/>
        <item x="3"/>
        <item x="1"/>
        <item t="default"/>
      </items>
    </pivotField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1" showAll="0"/>
    <pivotField axis="axisCol" dataField="1" numFmtId="1" showAll="0" defaultSubtotal="0">
      <items count="2">
        <item x="1"/>
        <item x="0"/>
      </items>
    </pivotField>
    <pivotField showAll="0"/>
    <pivotField showAll="0"/>
    <pivotField numFmtId="2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Hiring Decision" fld="1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C0631-A61F-4CA2-831A-57AB1F770C0F}" name="Table1" displayName="Table1" ref="A1:P1501" totalsRowShown="0" headerRowDxfId="182">
  <autoFilter ref="A1:P1501" xr:uid="{DB7DA4E6-7023-4DA7-AB8B-E2D8CB1E6710}"/>
  <tableColumns count="16">
    <tableColumn id="1" xr3:uid="{EB36B390-7670-42A4-BAC9-D0E0DBC16266}" name="Age"/>
    <tableColumn id="2" xr3:uid="{6F49F551-3B0A-4319-AE9E-59C03272C774}" name="Gender" dataDxfId="181" totalsRowDxfId="180"/>
    <tableColumn id="3" xr3:uid="{84FD116C-FE2E-410D-BFE7-BA22C5AB2D45}" name="Education Level" dataDxfId="179" totalsRowDxfId="178"/>
    <tableColumn id="4" xr3:uid="{92F763C3-CAC3-4FCD-8561-083527046068}" name="Experience Years" dataDxfId="177" totalsRowDxfId="176"/>
    <tableColumn id="5" xr3:uid="{2607AFD9-D9E1-4E68-A827-73193869DEC7}" name="Previous Companies" dataDxfId="175" totalsRowDxfId="174"/>
    <tableColumn id="6" xr3:uid="{EEAE7BA3-8256-4F4D-AE3E-BBA7F96757C3}" name="Distance From Company" dataDxfId="173" totalsRowDxfId="172"/>
    <tableColumn id="7" xr3:uid="{9C629997-090F-468E-943E-E034EE810CB8}" name="Interview Score" dataDxfId="171" totalsRowDxfId="170"/>
    <tableColumn id="8" xr3:uid="{5F1A2D24-F1C4-4C0F-84C5-BCD20E1DDB08}" name="Skill Score" dataDxfId="169" totalsRowDxfId="168"/>
    <tableColumn id="9" xr3:uid="{A0A5DC4B-E526-4498-B9AA-5AFAF573486C}" name="Personality Score" dataDxfId="167" totalsRowDxfId="166"/>
    <tableColumn id="10" xr3:uid="{6EC3B920-679D-46E5-A42E-5C2B534BB247}" name="Recruitment Strategy" dataDxfId="165" totalsRowDxfId="164"/>
    <tableColumn id="11" xr3:uid="{40206557-30B9-4E58-8963-C5C9436B78F1}" name="Hiring Decision" dataDxfId="163" totalsRowDxfId="162"/>
    <tableColumn id="12" xr3:uid="{3375E851-1F86-44C2-9186-362B7D38D160}" name="Age Group" dataDxfId="161">
      <calculatedColumnFormula>IF(Table1[[#This Row],[Age]]&lt;=25,"20-25",IF(Table1[[#This Row],[Age]]&lt;=30,"26-30",IF(Table1[[#This Row],[Age]]&lt;=35,"31-35",IF(Table1[[#This Row],[Age]]&lt;=40,"36-40",IF(Table1[[#This Row],[Age]]&lt;=45,"41-45","46-50")))))</calculatedColumnFormula>
    </tableColumn>
    <tableColumn id="13" xr3:uid="{02616F44-1598-432B-BB3B-46979ED62010}" name="Experience Level" dataDxfId="160">
      <calculatedColumnFormula>IF(Table1[[#This Row],[Experience Years]]&lt;=2,"Entry Level",IF(Table1[[#This Row],[Experience Years]]&lt;=7,"Mid Level",IF(Table1[[#This Row],[Experience Years]]&lt;=15,"Senior Level")))</calculatedColumnFormula>
    </tableColumn>
    <tableColumn id="14" xr3:uid="{FA49223D-0884-4142-AD29-66AE9C5B88F6}" name="Overall Assessment Score" dataDxfId="159">
      <calculatedColumnFormula>AVERAGE(Table1[[#This Row],[Interview Score]:[Personality Score]])</calculatedColumnFormula>
    </tableColumn>
    <tableColumn id="15" xr3:uid="{F8D2E4A2-B8D5-4ECE-881F-49AB9B5ADADE}" name="Assessment Score Band" dataDxfId="158">
      <calculatedColumnFormula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calculatedColumnFormula>
    </tableColumn>
    <tableColumn id="16" xr3:uid="{F73D71F7-1D36-4F26-BC40-E00EFA1B92E9}" name="Distance Band" dataDxfId="157">
      <calculatedColumnFormula>IF(F2&lt;10,"0-10",IF(F2&lt;20,"10-20",IF(F2&lt;30,"20-30",IF(F2&lt;40,"30-40",IF(F2&lt;50,"40-50","50+")))))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6D5C1-C089-42E9-B29D-6B8537605883}" name="Table2" displayName="Table2" ref="A1:C8" totalsRowShown="0" headerRowDxfId="156" headerRowBorderDxfId="155" tableBorderDxfId="154" totalsRowBorderDxfId="153">
  <autoFilter ref="A1:C8" xr:uid="{CFE6D5C1-C089-42E9-B29D-6B8537605883}"/>
  <tableColumns count="3">
    <tableColumn id="1" xr3:uid="{5B291DF7-4A06-4737-8A14-5FB928568BA3}" name="Column" dataDxfId="152"/>
    <tableColumn id="2" xr3:uid="{A20CED8A-27BE-464D-8346-28104E88F789}" name="Minimum" dataDxfId="151"/>
    <tableColumn id="3" xr3:uid="{6D1BB478-6131-4052-AFA9-42053FE44F11}" name="Maximum" dataDxfId="15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DE43-82FA-43F0-AE75-938D7273684F}">
  <dimension ref="A1:K1501"/>
  <sheetViews>
    <sheetView workbookViewId="0">
      <selection activeCell="C23" sqref="C23"/>
    </sheetView>
  </sheetViews>
  <sheetFormatPr defaultRowHeight="15" x14ac:dyDescent="0.25"/>
  <cols>
    <col min="1" max="1" width="8.5703125" customWidth="1"/>
    <col min="3" max="3" width="15" bestFit="1" customWidth="1"/>
    <col min="4" max="4" width="16.140625" bestFit="1" customWidth="1"/>
    <col min="5" max="5" width="19.28515625" bestFit="1" customWidth="1"/>
    <col min="6" max="6" width="22.7109375" bestFit="1" customWidth="1"/>
    <col min="7" max="7" width="15" bestFit="1" customWidth="1"/>
    <col min="8" max="8" width="10" bestFit="1" customWidth="1"/>
    <col min="9" max="9" width="16.42578125" bestFit="1" customWidth="1"/>
    <col min="10" max="10" width="20" bestFit="1" customWidth="1"/>
    <col min="11" max="11" width="14.42578125" bestFit="1" customWidth="1"/>
  </cols>
  <sheetData>
    <row r="1" spans="1:11" x14ac:dyDescent="0.25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>
        <v>26</v>
      </c>
      <c r="B2">
        <v>1</v>
      </c>
      <c r="C2">
        <v>2</v>
      </c>
      <c r="D2">
        <v>0</v>
      </c>
      <c r="E2">
        <v>3</v>
      </c>
      <c r="F2">
        <v>26.783827550000002</v>
      </c>
      <c r="G2">
        <v>48</v>
      </c>
      <c r="H2">
        <v>78</v>
      </c>
      <c r="I2">
        <v>91</v>
      </c>
      <c r="J2">
        <v>1</v>
      </c>
      <c r="K2">
        <v>1</v>
      </c>
    </row>
    <row r="3" spans="1:11" x14ac:dyDescent="0.25">
      <c r="A3">
        <v>39</v>
      </c>
      <c r="B3">
        <v>1</v>
      </c>
      <c r="C3">
        <v>4</v>
      </c>
      <c r="D3">
        <v>12</v>
      </c>
      <c r="E3">
        <v>3</v>
      </c>
      <c r="F3">
        <v>25.86269433</v>
      </c>
      <c r="G3">
        <v>35</v>
      </c>
      <c r="H3">
        <v>68</v>
      </c>
      <c r="I3">
        <v>80</v>
      </c>
      <c r="J3">
        <v>2</v>
      </c>
      <c r="K3">
        <v>1</v>
      </c>
    </row>
    <row r="4" spans="1:11" x14ac:dyDescent="0.25">
      <c r="A4">
        <v>48</v>
      </c>
      <c r="B4">
        <v>0</v>
      </c>
      <c r="C4">
        <v>2</v>
      </c>
      <c r="D4">
        <v>3</v>
      </c>
      <c r="E4">
        <v>2</v>
      </c>
      <c r="F4">
        <v>9.9208048279999996</v>
      </c>
      <c r="G4">
        <v>20</v>
      </c>
      <c r="H4">
        <v>67</v>
      </c>
      <c r="I4">
        <v>13</v>
      </c>
      <c r="J4">
        <v>2</v>
      </c>
      <c r="K4">
        <v>0</v>
      </c>
    </row>
    <row r="5" spans="1:11" x14ac:dyDescent="0.25">
      <c r="A5">
        <v>34</v>
      </c>
      <c r="B5">
        <v>1</v>
      </c>
      <c r="C5">
        <v>2</v>
      </c>
      <c r="D5">
        <v>5</v>
      </c>
      <c r="E5">
        <v>2</v>
      </c>
      <c r="F5">
        <v>6.407750729</v>
      </c>
      <c r="G5">
        <v>36</v>
      </c>
      <c r="H5">
        <v>27</v>
      </c>
      <c r="I5">
        <v>70</v>
      </c>
      <c r="J5">
        <v>3</v>
      </c>
      <c r="K5">
        <v>0</v>
      </c>
    </row>
    <row r="6" spans="1:11" x14ac:dyDescent="0.25">
      <c r="A6">
        <v>30</v>
      </c>
      <c r="B6">
        <v>0</v>
      </c>
      <c r="C6">
        <v>1</v>
      </c>
      <c r="D6">
        <v>6</v>
      </c>
      <c r="E6">
        <v>1</v>
      </c>
      <c r="F6">
        <v>43.105343120000001</v>
      </c>
      <c r="G6">
        <v>23</v>
      </c>
      <c r="H6">
        <v>52</v>
      </c>
      <c r="I6">
        <v>85</v>
      </c>
      <c r="J6">
        <v>2</v>
      </c>
      <c r="K6">
        <v>0</v>
      </c>
    </row>
    <row r="7" spans="1:11" x14ac:dyDescent="0.25">
      <c r="A7">
        <v>27</v>
      </c>
      <c r="B7">
        <v>0</v>
      </c>
      <c r="C7">
        <v>3</v>
      </c>
      <c r="D7">
        <v>14</v>
      </c>
      <c r="E7">
        <v>4</v>
      </c>
      <c r="F7">
        <v>31.70665881</v>
      </c>
      <c r="G7">
        <v>54</v>
      </c>
      <c r="H7">
        <v>50</v>
      </c>
      <c r="I7">
        <v>50</v>
      </c>
      <c r="J7">
        <v>1</v>
      </c>
      <c r="K7">
        <v>1</v>
      </c>
    </row>
    <row r="8" spans="1:11" x14ac:dyDescent="0.25">
      <c r="A8">
        <v>48</v>
      </c>
      <c r="B8">
        <v>0</v>
      </c>
      <c r="C8">
        <v>2</v>
      </c>
      <c r="D8">
        <v>6</v>
      </c>
      <c r="E8">
        <v>1</v>
      </c>
      <c r="F8">
        <v>17.2912292</v>
      </c>
      <c r="G8">
        <v>24</v>
      </c>
      <c r="H8">
        <v>52</v>
      </c>
      <c r="I8">
        <v>64</v>
      </c>
      <c r="J8">
        <v>3</v>
      </c>
      <c r="K8">
        <v>0</v>
      </c>
    </row>
    <row r="9" spans="1:11" x14ac:dyDescent="0.25">
      <c r="A9">
        <v>40</v>
      </c>
      <c r="B9">
        <v>0</v>
      </c>
      <c r="C9">
        <v>4</v>
      </c>
      <c r="D9">
        <v>13</v>
      </c>
      <c r="E9">
        <v>3</v>
      </c>
      <c r="F9">
        <v>10.586810870000001</v>
      </c>
      <c r="G9">
        <v>6</v>
      </c>
      <c r="H9">
        <v>3</v>
      </c>
      <c r="I9">
        <v>92</v>
      </c>
      <c r="J9">
        <v>3</v>
      </c>
      <c r="K9">
        <v>0</v>
      </c>
    </row>
    <row r="10" spans="1:11" x14ac:dyDescent="0.25">
      <c r="A10">
        <v>26</v>
      </c>
      <c r="B10">
        <v>1</v>
      </c>
      <c r="C10">
        <v>3</v>
      </c>
      <c r="D10">
        <v>6</v>
      </c>
      <c r="E10">
        <v>5</v>
      </c>
      <c r="F10">
        <v>28.774864010000002</v>
      </c>
      <c r="G10">
        <v>80</v>
      </c>
      <c r="H10">
        <v>78</v>
      </c>
      <c r="I10">
        <v>51</v>
      </c>
      <c r="J10">
        <v>1</v>
      </c>
      <c r="K10">
        <v>1</v>
      </c>
    </row>
    <row r="11" spans="1:11" x14ac:dyDescent="0.25">
      <c r="A11">
        <v>45</v>
      </c>
      <c r="B11">
        <v>1</v>
      </c>
      <c r="C11">
        <v>2</v>
      </c>
      <c r="D11">
        <v>2</v>
      </c>
      <c r="E11">
        <v>5</v>
      </c>
      <c r="F11">
        <v>30.195964459999999</v>
      </c>
      <c r="G11">
        <v>92</v>
      </c>
      <c r="H11">
        <v>16</v>
      </c>
      <c r="I11">
        <v>94</v>
      </c>
      <c r="J11">
        <v>3</v>
      </c>
      <c r="K11">
        <v>0</v>
      </c>
    </row>
    <row r="12" spans="1:11" x14ac:dyDescent="0.25">
      <c r="A12">
        <v>38</v>
      </c>
      <c r="B12">
        <v>1</v>
      </c>
      <c r="C12">
        <v>1</v>
      </c>
      <c r="D12">
        <v>15</v>
      </c>
      <c r="E12">
        <v>2</v>
      </c>
      <c r="F12">
        <v>11.349680060000001</v>
      </c>
      <c r="G12">
        <v>93</v>
      </c>
      <c r="H12">
        <v>66</v>
      </c>
      <c r="I12">
        <v>29</v>
      </c>
      <c r="J12">
        <v>2</v>
      </c>
      <c r="K12">
        <v>0</v>
      </c>
    </row>
    <row r="13" spans="1:11" x14ac:dyDescent="0.25">
      <c r="A13">
        <v>42</v>
      </c>
      <c r="B13">
        <v>0</v>
      </c>
      <c r="C13">
        <v>3</v>
      </c>
      <c r="D13">
        <v>5</v>
      </c>
      <c r="E13">
        <v>5</v>
      </c>
      <c r="F13">
        <v>43.570287389999997</v>
      </c>
      <c r="G13">
        <v>70</v>
      </c>
      <c r="H13">
        <v>73</v>
      </c>
      <c r="I13">
        <v>56</v>
      </c>
      <c r="J13">
        <v>2</v>
      </c>
      <c r="K13">
        <v>0</v>
      </c>
    </row>
    <row r="14" spans="1:11" x14ac:dyDescent="0.25">
      <c r="A14">
        <v>30</v>
      </c>
      <c r="B14">
        <v>0</v>
      </c>
      <c r="C14">
        <v>3</v>
      </c>
      <c r="D14">
        <v>12</v>
      </c>
      <c r="E14">
        <v>5</v>
      </c>
      <c r="F14">
        <v>5.2132183080000001</v>
      </c>
      <c r="G14">
        <v>96</v>
      </c>
      <c r="H14">
        <v>46</v>
      </c>
      <c r="I14">
        <v>78</v>
      </c>
      <c r="J14">
        <v>3</v>
      </c>
      <c r="K14">
        <v>1</v>
      </c>
    </row>
    <row r="15" spans="1:11" x14ac:dyDescent="0.25">
      <c r="A15">
        <v>30</v>
      </c>
      <c r="B15">
        <v>0</v>
      </c>
      <c r="C15">
        <v>1</v>
      </c>
      <c r="D15">
        <v>7</v>
      </c>
      <c r="E15">
        <v>5</v>
      </c>
      <c r="F15">
        <v>18.80465426</v>
      </c>
      <c r="G15">
        <v>70</v>
      </c>
      <c r="H15">
        <v>55</v>
      </c>
      <c r="I15">
        <v>81</v>
      </c>
      <c r="J15">
        <v>2</v>
      </c>
      <c r="K15">
        <v>0</v>
      </c>
    </row>
    <row r="16" spans="1:11" x14ac:dyDescent="0.25">
      <c r="A16">
        <v>43</v>
      </c>
      <c r="B16">
        <v>1</v>
      </c>
      <c r="C16">
        <v>2</v>
      </c>
      <c r="D16">
        <v>3</v>
      </c>
      <c r="E16">
        <v>3</v>
      </c>
      <c r="F16">
        <v>35.019220689999997</v>
      </c>
      <c r="G16">
        <v>23</v>
      </c>
      <c r="H16">
        <v>22</v>
      </c>
      <c r="I16">
        <v>98</v>
      </c>
      <c r="J16">
        <v>1</v>
      </c>
      <c r="K16">
        <v>0</v>
      </c>
    </row>
    <row r="17" spans="1:11" x14ac:dyDescent="0.25">
      <c r="A17">
        <v>40</v>
      </c>
      <c r="B17">
        <v>0</v>
      </c>
      <c r="C17">
        <v>3</v>
      </c>
      <c r="D17">
        <v>12</v>
      </c>
      <c r="E17">
        <v>5</v>
      </c>
      <c r="F17">
        <v>14.70601819</v>
      </c>
      <c r="G17">
        <v>10</v>
      </c>
      <c r="H17">
        <v>17</v>
      </c>
      <c r="I17">
        <v>29</v>
      </c>
      <c r="J17">
        <v>2</v>
      </c>
      <c r="K17">
        <v>0</v>
      </c>
    </row>
    <row r="18" spans="1:11" x14ac:dyDescent="0.25">
      <c r="A18">
        <v>23</v>
      </c>
      <c r="B18">
        <v>1</v>
      </c>
      <c r="C18">
        <v>1</v>
      </c>
      <c r="D18">
        <v>7</v>
      </c>
      <c r="E18">
        <v>5</v>
      </c>
      <c r="F18">
        <v>42.383759740000002</v>
      </c>
      <c r="G18">
        <v>72</v>
      </c>
      <c r="H18">
        <v>0</v>
      </c>
      <c r="I18">
        <v>97</v>
      </c>
      <c r="J18">
        <v>2</v>
      </c>
      <c r="K18">
        <v>0</v>
      </c>
    </row>
    <row r="19" spans="1:11" x14ac:dyDescent="0.25">
      <c r="A19">
        <v>27</v>
      </c>
      <c r="B19">
        <v>1</v>
      </c>
      <c r="C19">
        <v>4</v>
      </c>
      <c r="D19">
        <v>1</v>
      </c>
      <c r="E19">
        <v>5</v>
      </c>
      <c r="F19">
        <v>37.993391330000001</v>
      </c>
      <c r="G19">
        <v>11</v>
      </c>
      <c r="H19">
        <v>34</v>
      </c>
      <c r="I19">
        <v>41</v>
      </c>
      <c r="J19">
        <v>1</v>
      </c>
      <c r="K19">
        <v>0</v>
      </c>
    </row>
    <row r="20" spans="1:11" x14ac:dyDescent="0.25">
      <c r="A20">
        <v>43</v>
      </c>
      <c r="B20">
        <v>1</v>
      </c>
      <c r="C20">
        <v>2</v>
      </c>
      <c r="D20">
        <v>14</v>
      </c>
      <c r="E20">
        <v>1</v>
      </c>
      <c r="F20">
        <v>40.451142230000002</v>
      </c>
      <c r="G20">
        <v>34</v>
      </c>
      <c r="H20">
        <v>63</v>
      </c>
      <c r="I20">
        <v>10</v>
      </c>
      <c r="J20">
        <v>2</v>
      </c>
      <c r="K20">
        <v>0</v>
      </c>
    </row>
    <row r="21" spans="1:11" x14ac:dyDescent="0.25">
      <c r="A21">
        <v>22</v>
      </c>
      <c r="B21">
        <v>1</v>
      </c>
      <c r="C21">
        <v>1</v>
      </c>
      <c r="D21">
        <v>9</v>
      </c>
      <c r="E21">
        <v>3</v>
      </c>
      <c r="F21">
        <v>6.9553267940000003</v>
      </c>
      <c r="G21">
        <v>62</v>
      </c>
      <c r="H21">
        <v>57</v>
      </c>
      <c r="I21">
        <v>26</v>
      </c>
      <c r="J21">
        <v>2</v>
      </c>
      <c r="K21">
        <v>0</v>
      </c>
    </row>
    <row r="22" spans="1:11" x14ac:dyDescent="0.25">
      <c r="A22">
        <v>41</v>
      </c>
      <c r="B22">
        <v>1</v>
      </c>
      <c r="C22">
        <v>3</v>
      </c>
      <c r="D22">
        <v>8</v>
      </c>
      <c r="E22">
        <v>2</v>
      </c>
      <c r="F22">
        <v>8.0273564000000004</v>
      </c>
      <c r="G22">
        <v>67</v>
      </c>
      <c r="H22">
        <v>94</v>
      </c>
      <c r="I22">
        <v>23</v>
      </c>
      <c r="J22">
        <v>2</v>
      </c>
      <c r="K22">
        <v>0</v>
      </c>
    </row>
    <row r="23" spans="1:11" x14ac:dyDescent="0.25">
      <c r="A23">
        <v>40</v>
      </c>
      <c r="B23">
        <v>1</v>
      </c>
      <c r="C23">
        <v>2</v>
      </c>
      <c r="D23">
        <v>8</v>
      </c>
      <c r="E23">
        <v>1</v>
      </c>
      <c r="F23">
        <v>15.323686889999999</v>
      </c>
      <c r="G23">
        <v>99</v>
      </c>
      <c r="H23">
        <v>58</v>
      </c>
      <c r="I23">
        <v>98</v>
      </c>
      <c r="J23">
        <v>2</v>
      </c>
      <c r="K23">
        <v>1</v>
      </c>
    </row>
    <row r="24" spans="1:11" x14ac:dyDescent="0.25">
      <c r="A24">
        <v>21</v>
      </c>
      <c r="B24">
        <v>0</v>
      </c>
      <c r="C24">
        <v>2</v>
      </c>
      <c r="D24">
        <v>7</v>
      </c>
      <c r="E24">
        <v>4</v>
      </c>
      <c r="F24">
        <v>26.90385826</v>
      </c>
      <c r="G24">
        <v>91</v>
      </c>
      <c r="H24">
        <v>0</v>
      </c>
      <c r="I24">
        <v>38</v>
      </c>
      <c r="J24">
        <v>3</v>
      </c>
      <c r="K24">
        <v>0</v>
      </c>
    </row>
    <row r="25" spans="1:11" x14ac:dyDescent="0.25">
      <c r="A25">
        <v>43</v>
      </c>
      <c r="B25">
        <v>0</v>
      </c>
      <c r="C25">
        <v>1</v>
      </c>
      <c r="D25">
        <v>9</v>
      </c>
      <c r="E25">
        <v>3</v>
      </c>
      <c r="F25">
        <v>38.400803830000001</v>
      </c>
      <c r="G25">
        <v>56</v>
      </c>
      <c r="H25">
        <v>2</v>
      </c>
      <c r="I25">
        <v>71</v>
      </c>
      <c r="J25">
        <v>2</v>
      </c>
      <c r="K25">
        <v>0</v>
      </c>
    </row>
    <row r="26" spans="1:11" x14ac:dyDescent="0.25">
      <c r="A26">
        <v>31</v>
      </c>
      <c r="B26">
        <v>1</v>
      </c>
      <c r="C26">
        <v>1</v>
      </c>
      <c r="D26">
        <v>13</v>
      </c>
      <c r="E26">
        <v>3</v>
      </c>
      <c r="F26">
        <v>42.82654454</v>
      </c>
      <c r="G26">
        <v>12</v>
      </c>
      <c r="H26">
        <v>66</v>
      </c>
      <c r="I26">
        <v>17</v>
      </c>
      <c r="J26">
        <v>2</v>
      </c>
      <c r="K26">
        <v>0</v>
      </c>
    </row>
    <row r="27" spans="1:11" x14ac:dyDescent="0.25">
      <c r="A27">
        <v>49</v>
      </c>
      <c r="B27">
        <v>1</v>
      </c>
      <c r="C27">
        <v>2</v>
      </c>
      <c r="D27">
        <v>12</v>
      </c>
      <c r="E27">
        <v>4</v>
      </c>
      <c r="F27">
        <v>36.216765799999997</v>
      </c>
      <c r="G27">
        <v>22</v>
      </c>
      <c r="H27">
        <v>36</v>
      </c>
      <c r="I27">
        <v>76</v>
      </c>
      <c r="J27">
        <v>1</v>
      </c>
      <c r="K27">
        <v>1</v>
      </c>
    </row>
    <row r="28" spans="1:11" x14ac:dyDescent="0.25">
      <c r="A28">
        <v>25</v>
      </c>
      <c r="B28">
        <v>0</v>
      </c>
      <c r="C28">
        <v>2</v>
      </c>
      <c r="D28">
        <v>9</v>
      </c>
      <c r="E28">
        <v>4</v>
      </c>
      <c r="F28">
        <v>47.429844080000002</v>
      </c>
      <c r="G28">
        <v>82</v>
      </c>
      <c r="H28">
        <v>82</v>
      </c>
      <c r="I28">
        <v>44</v>
      </c>
      <c r="J28">
        <v>2</v>
      </c>
      <c r="K28">
        <v>0</v>
      </c>
    </row>
    <row r="29" spans="1:11" x14ac:dyDescent="0.25">
      <c r="A29">
        <v>21</v>
      </c>
      <c r="B29">
        <v>1</v>
      </c>
      <c r="C29">
        <v>2</v>
      </c>
      <c r="D29">
        <v>0</v>
      </c>
      <c r="E29">
        <v>4</v>
      </c>
      <c r="F29">
        <v>37.937175480000001</v>
      </c>
      <c r="G29">
        <v>100</v>
      </c>
      <c r="H29">
        <v>28</v>
      </c>
      <c r="I29">
        <v>87</v>
      </c>
      <c r="J29">
        <v>3</v>
      </c>
      <c r="K29">
        <v>0</v>
      </c>
    </row>
    <row r="30" spans="1:11" x14ac:dyDescent="0.25">
      <c r="A30">
        <v>47</v>
      </c>
      <c r="B30">
        <v>1</v>
      </c>
      <c r="C30">
        <v>3</v>
      </c>
      <c r="D30">
        <v>1</v>
      </c>
      <c r="E30">
        <v>2</v>
      </c>
      <c r="F30">
        <v>16.313394349999999</v>
      </c>
      <c r="G30">
        <v>38</v>
      </c>
      <c r="H30">
        <v>88</v>
      </c>
      <c r="I30">
        <v>86</v>
      </c>
      <c r="J30">
        <v>2</v>
      </c>
      <c r="K30">
        <v>0</v>
      </c>
    </row>
    <row r="31" spans="1:11" x14ac:dyDescent="0.25">
      <c r="A31">
        <v>40</v>
      </c>
      <c r="B31">
        <v>0</v>
      </c>
      <c r="C31">
        <v>2</v>
      </c>
      <c r="D31">
        <v>5</v>
      </c>
      <c r="E31">
        <v>5</v>
      </c>
      <c r="F31">
        <v>14.25406422</v>
      </c>
      <c r="G31">
        <v>87</v>
      </c>
      <c r="H31">
        <v>32</v>
      </c>
      <c r="I31">
        <v>11</v>
      </c>
      <c r="J31">
        <v>2</v>
      </c>
      <c r="K31">
        <v>0</v>
      </c>
    </row>
    <row r="32" spans="1:11" x14ac:dyDescent="0.25">
      <c r="A32">
        <v>20</v>
      </c>
      <c r="B32">
        <v>1</v>
      </c>
      <c r="C32">
        <v>1</v>
      </c>
      <c r="D32">
        <v>9</v>
      </c>
      <c r="E32">
        <v>3</v>
      </c>
      <c r="F32">
        <v>35.809622519999998</v>
      </c>
      <c r="G32">
        <v>79</v>
      </c>
      <c r="H32">
        <v>99</v>
      </c>
      <c r="I32">
        <v>48</v>
      </c>
      <c r="J32">
        <v>2</v>
      </c>
      <c r="K32">
        <v>0</v>
      </c>
    </row>
    <row r="33" spans="1:11" x14ac:dyDescent="0.25">
      <c r="A33">
        <v>31</v>
      </c>
      <c r="B33">
        <v>1</v>
      </c>
      <c r="C33">
        <v>2</v>
      </c>
      <c r="D33">
        <v>4</v>
      </c>
      <c r="E33">
        <v>5</v>
      </c>
      <c r="F33">
        <v>10.64352843</v>
      </c>
      <c r="G33">
        <v>96</v>
      </c>
      <c r="H33">
        <v>60</v>
      </c>
      <c r="I33">
        <v>93</v>
      </c>
      <c r="J33">
        <v>2</v>
      </c>
      <c r="K33">
        <v>0</v>
      </c>
    </row>
    <row r="34" spans="1:11" x14ac:dyDescent="0.25">
      <c r="A34">
        <v>45</v>
      </c>
      <c r="B34">
        <v>1</v>
      </c>
      <c r="C34">
        <v>4</v>
      </c>
      <c r="D34">
        <v>11</v>
      </c>
      <c r="E34">
        <v>5</v>
      </c>
      <c r="F34">
        <v>5.6357405409999997</v>
      </c>
      <c r="G34">
        <v>11</v>
      </c>
      <c r="H34">
        <v>92</v>
      </c>
      <c r="I34">
        <v>30</v>
      </c>
      <c r="J34">
        <v>1</v>
      </c>
      <c r="K34">
        <v>1</v>
      </c>
    </row>
    <row r="35" spans="1:11" x14ac:dyDescent="0.25">
      <c r="A35">
        <v>41</v>
      </c>
      <c r="B35">
        <v>0</v>
      </c>
      <c r="C35">
        <v>3</v>
      </c>
      <c r="D35">
        <v>13</v>
      </c>
      <c r="E35">
        <v>4</v>
      </c>
      <c r="F35">
        <v>27.611143739999999</v>
      </c>
      <c r="G35">
        <v>33</v>
      </c>
      <c r="H35">
        <v>89</v>
      </c>
      <c r="I35">
        <v>91</v>
      </c>
      <c r="J35">
        <v>3</v>
      </c>
      <c r="K35">
        <v>1</v>
      </c>
    </row>
    <row r="36" spans="1:11" x14ac:dyDescent="0.25">
      <c r="A36">
        <v>48</v>
      </c>
      <c r="B36">
        <v>0</v>
      </c>
      <c r="C36">
        <v>2</v>
      </c>
      <c r="D36">
        <v>8</v>
      </c>
      <c r="E36">
        <v>2</v>
      </c>
      <c r="F36">
        <v>42.082078490000001</v>
      </c>
      <c r="G36">
        <v>70</v>
      </c>
      <c r="H36">
        <v>3</v>
      </c>
      <c r="I36">
        <v>21</v>
      </c>
      <c r="J36">
        <v>1</v>
      </c>
      <c r="K36">
        <v>0</v>
      </c>
    </row>
    <row r="37" spans="1:11" x14ac:dyDescent="0.25">
      <c r="A37">
        <v>31</v>
      </c>
      <c r="B37">
        <v>0</v>
      </c>
      <c r="C37">
        <v>2</v>
      </c>
      <c r="D37">
        <v>4</v>
      </c>
      <c r="E37">
        <v>1</v>
      </c>
      <c r="F37">
        <v>6.0689921230000001</v>
      </c>
      <c r="G37">
        <v>74</v>
      </c>
      <c r="H37">
        <v>13</v>
      </c>
      <c r="I37">
        <v>43</v>
      </c>
      <c r="J37">
        <v>2</v>
      </c>
      <c r="K37">
        <v>0</v>
      </c>
    </row>
    <row r="38" spans="1:11" x14ac:dyDescent="0.25">
      <c r="A38">
        <v>44</v>
      </c>
      <c r="B38">
        <v>1</v>
      </c>
      <c r="C38">
        <v>2</v>
      </c>
      <c r="D38">
        <v>1</v>
      </c>
      <c r="E38">
        <v>2</v>
      </c>
      <c r="F38">
        <v>40.594566190000002</v>
      </c>
      <c r="G38">
        <v>30</v>
      </c>
      <c r="H38">
        <v>90</v>
      </c>
      <c r="I38">
        <v>91</v>
      </c>
      <c r="J38">
        <v>2</v>
      </c>
      <c r="K38">
        <v>0</v>
      </c>
    </row>
    <row r="39" spans="1:11" x14ac:dyDescent="0.25">
      <c r="A39">
        <v>36</v>
      </c>
      <c r="B39">
        <v>1</v>
      </c>
      <c r="C39">
        <v>3</v>
      </c>
      <c r="D39">
        <v>9</v>
      </c>
      <c r="E39">
        <v>5</v>
      </c>
      <c r="F39">
        <v>41.578600219999998</v>
      </c>
      <c r="G39">
        <v>92</v>
      </c>
      <c r="H39">
        <v>32</v>
      </c>
      <c r="I39">
        <v>63</v>
      </c>
      <c r="J39">
        <v>2</v>
      </c>
      <c r="K39">
        <v>1</v>
      </c>
    </row>
    <row r="40" spans="1:11" x14ac:dyDescent="0.25">
      <c r="A40">
        <v>46</v>
      </c>
      <c r="B40">
        <v>0</v>
      </c>
      <c r="C40">
        <v>3</v>
      </c>
      <c r="D40">
        <v>3</v>
      </c>
      <c r="E40">
        <v>2</v>
      </c>
      <c r="F40">
        <v>25.113700000000001</v>
      </c>
      <c r="G40">
        <v>61</v>
      </c>
      <c r="H40">
        <v>21</v>
      </c>
      <c r="I40">
        <v>76</v>
      </c>
      <c r="J40">
        <v>1</v>
      </c>
      <c r="K40">
        <v>1</v>
      </c>
    </row>
    <row r="41" spans="1:11" x14ac:dyDescent="0.25">
      <c r="A41">
        <v>46</v>
      </c>
      <c r="B41">
        <v>1</v>
      </c>
      <c r="C41">
        <v>2</v>
      </c>
      <c r="D41">
        <v>8</v>
      </c>
      <c r="E41">
        <v>4</v>
      </c>
      <c r="F41">
        <v>3.865515501</v>
      </c>
      <c r="G41">
        <v>12</v>
      </c>
      <c r="H41">
        <v>47</v>
      </c>
      <c r="I41">
        <v>24</v>
      </c>
      <c r="J41">
        <v>2</v>
      </c>
      <c r="K41">
        <v>0</v>
      </c>
    </row>
    <row r="42" spans="1:11" x14ac:dyDescent="0.25">
      <c r="A42">
        <v>50</v>
      </c>
      <c r="B42">
        <v>1</v>
      </c>
      <c r="C42">
        <v>3</v>
      </c>
      <c r="D42">
        <v>0</v>
      </c>
      <c r="E42">
        <v>1</v>
      </c>
      <c r="F42">
        <v>9.7294925620000008</v>
      </c>
      <c r="G42">
        <v>30</v>
      </c>
      <c r="H42">
        <v>2</v>
      </c>
      <c r="I42">
        <v>50</v>
      </c>
      <c r="J42">
        <v>1</v>
      </c>
      <c r="K42">
        <v>0</v>
      </c>
    </row>
    <row r="43" spans="1:11" x14ac:dyDescent="0.25">
      <c r="A43">
        <v>29</v>
      </c>
      <c r="B43">
        <v>1</v>
      </c>
      <c r="C43">
        <v>3</v>
      </c>
      <c r="D43">
        <v>10</v>
      </c>
      <c r="E43">
        <v>4</v>
      </c>
      <c r="F43">
        <v>36.37131376</v>
      </c>
      <c r="G43">
        <v>1</v>
      </c>
      <c r="H43">
        <v>86</v>
      </c>
      <c r="I43">
        <v>6</v>
      </c>
      <c r="J43">
        <v>1</v>
      </c>
      <c r="K43">
        <v>1</v>
      </c>
    </row>
    <row r="44" spans="1:11" x14ac:dyDescent="0.25">
      <c r="A44">
        <v>47</v>
      </c>
      <c r="B44">
        <v>1</v>
      </c>
      <c r="C44">
        <v>1</v>
      </c>
      <c r="D44">
        <v>0</v>
      </c>
      <c r="E44">
        <v>1</v>
      </c>
      <c r="F44">
        <v>36.588897250000002</v>
      </c>
      <c r="G44">
        <v>14</v>
      </c>
      <c r="H44">
        <v>84</v>
      </c>
      <c r="I44">
        <v>5</v>
      </c>
      <c r="J44">
        <v>2</v>
      </c>
      <c r="K44">
        <v>0</v>
      </c>
    </row>
    <row r="45" spans="1:11" x14ac:dyDescent="0.25">
      <c r="A45">
        <v>47</v>
      </c>
      <c r="B45">
        <v>1</v>
      </c>
      <c r="C45">
        <v>2</v>
      </c>
      <c r="D45">
        <v>11</v>
      </c>
      <c r="E45">
        <v>5</v>
      </c>
      <c r="F45">
        <v>45.91776376</v>
      </c>
      <c r="G45">
        <v>56</v>
      </c>
      <c r="H45">
        <v>22</v>
      </c>
      <c r="I45">
        <v>23</v>
      </c>
      <c r="J45">
        <v>2</v>
      </c>
      <c r="K45">
        <v>0</v>
      </c>
    </row>
    <row r="46" spans="1:11" x14ac:dyDescent="0.25">
      <c r="A46">
        <v>35</v>
      </c>
      <c r="B46">
        <v>0</v>
      </c>
      <c r="C46">
        <v>1</v>
      </c>
      <c r="D46">
        <v>6</v>
      </c>
      <c r="E46">
        <v>1</v>
      </c>
      <c r="F46">
        <v>30.134307329999999</v>
      </c>
      <c r="G46">
        <v>74</v>
      </c>
      <c r="H46">
        <v>67</v>
      </c>
      <c r="I46">
        <v>18</v>
      </c>
      <c r="J46">
        <v>1</v>
      </c>
      <c r="K46">
        <v>1</v>
      </c>
    </row>
    <row r="47" spans="1:11" x14ac:dyDescent="0.25">
      <c r="A47">
        <v>34</v>
      </c>
      <c r="B47">
        <v>1</v>
      </c>
      <c r="C47">
        <v>2</v>
      </c>
      <c r="D47">
        <v>10</v>
      </c>
      <c r="E47">
        <v>1</v>
      </c>
      <c r="F47">
        <v>7.205368386</v>
      </c>
      <c r="G47">
        <v>33</v>
      </c>
      <c r="H47">
        <v>20</v>
      </c>
      <c r="I47">
        <v>82</v>
      </c>
      <c r="J47">
        <v>1</v>
      </c>
      <c r="K47">
        <v>1</v>
      </c>
    </row>
    <row r="48" spans="1:11" x14ac:dyDescent="0.25">
      <c r="A48">
        <v>49</v>
      </c>
      <c r="B48">
        <v>0</v>
      </c>
      <c r="C48">
        <v>3</v>
      </c>
      <c r="D48">
        <v>2</v>
      </c>
      <c r="E48">
        <v>1</v>
      </c>
      <c r="F48">
        <v>7.0707452750000002</v>
      </c>
      <c r="G48">
        <v>67</v>
      </c>
      <c r="H48">
        <v>100</v>
      </c>
      <c r="I48">
        <v>99</v>
      </c>
      <c r="J48">
        <v>3</v>
      </c>
      <c r="K48">
        <v>0</v>
      </c>
    </row>
    <row r="49" spans="1:11" x14ac:dyDescent="0.25">
      <c r="A49">
        <v>49</v>
      </c>
      <c r="B49">
        <v>1</v>
      </c>
      <c r="C49">
        <v>2</v>
      </c>
      <c r="D49">
        <v>9</v>
      </c>
      <c r="E49">
        <v>2</v>
      </c>
      <c r="F49">
        <v>37.056617869999997</v>
      </c>
      <c r="G49">
        <v>74</v>
      </c>
      <c r="H49">
        <v>42</v>
      </c>
      <c r="I49">
        <v>8</v>
      </c>
      <c r="J49">
        <v>3</v>
      </c>
      <c r="K49">
        <v>0</v>
      </c>
    </row>
    <row r="50" spans="1:11" x14ac:dyDescent="0.25">
      <c r="A50">
        <v>34</v>
      </c>
      <c r="B50">
        <v>0</v>
      </c>
      <c r="C50">
        <v>2</v>
      </c>
      <c r="D50">
        <v>1</v>
      </c>
      <c r="E50">
        <v>2</v>
      </c>
      <c r="F50">
        <v>10.18923326</v>
      </c>
      <c r="G50">
        <v>28</v>
      </c>
      <c r="H50">
        <v>94</v>
      </c>
      <c r="I50">
        <v>35</v>
      </c>
      <c r="J50">
        <v>1</v>
      </c>
      <c r="K50">
        <v>0</v>
      </c>
    </row>
    <row r="51" spans="1:11" x14ac:dyDescent="0.25">
      <c r="A51">
        <v>49</v>
      </c>
      <c r="B51">
        <v>1</v>
      </c>
      <c r="C51">
        <v>1</v>
      </c>
      <c r="D51">
        <v>8</v>
      </c>
      <c r="E51">
        <v>5</v>
      </c>
      <c r="F51">
        <v>17.419274980000001</v>
      </c>
      <c r="G51">
        <v>65</v>
      </c>
      <c r="H51">
        <v>84</v>
      </c>
      <c r="I51">
        <v>39</v>
      </c>
      <c r="J51">
        <v>2</v>
      </c>
      <c r="K51">
        <v>0</v>
      </c>
    </row>
    <row r="52" spans="1:11" x14ac:dyDescent="0.25">
      <c r="A52">
        <v>38</v>
      </c>
      <c r="B52">
        <v>0</v>
      </c>
      <c r="C52">
        <v>2</v>
      </c>
      <c r="D52">
        <v>2</v>
      </c>
      <c r="E52">
        <v>1</v>
      </c>
      <c r="F52">
        <v>25.360600349999999</v>
      </c>
      <c r="G52">
        <v>15</v>
      </c>
      <c r="H52">
        <v>25</v>
      </c>
      <c r="I52">
        <v>92</v>
      </c>
      <c r="J52">
        <v>2</v>
      </c>
      <c r="K52">
        <v>0</v>
      </c>
    </row>
    <row r="53" spans="1:11" x14ac:dyDescent="0.25">
      <c r="A53">
        <v>31</v>
      </c>
      <c r="B53">
        <v>1</v>
      </c>
      <c r="C53">
        <v>2</v>
      </c>
      <c r="D53">
        <v>15</v>
      </c>
      <c r="E53">
        <v>3</v>
      </c>
      <c r="F53">
        <v>2.2382438790000001</v>
      </c>
      <c r="G53">
        <v>38</v>
      </c>
      <c r="H53">
        <v>40</v>
      </c>
      <c r="I53">
        <v>23</v>
      </c>
      <c r="J53">
        <v>2</v>
      </c>
      <c r="K53">
        <v>0</v>
      </c>
    </row>
    <row r="54" spans="1:11" x14ac:dyDescent="0.25">
      <c r="A54">
        <v>42</v>
      </c>
      <c r="B54">
        <v>0</v>
      </c>
      <c r="C54">
        <v>2</v>
      </c>
      <c r="D54">
        <v>1</v>
      </c>
      <c r="E54">
        <v>5</v>
      </c>
      <c r="F54">
        <v>13.440951350000001</v>
      </c>
      <c r="G54">
        <v>76</v>
      </c>
      <c r="H54">
        <v>98</v>
      </c>
      <c r="I54">
        <v>47</v>
      </c>
      <c r="J54">
        <v>3</v>
      </c>
      <c r="K54">
        <v>0</v>
      </c>
    </row>
    <row r="55" spans="1:11" x14ac:dyDescent="0.25">
      <c r="A55">
        <v>39</v>
      </c>
      <c r="B55">
        <v>1</v>
      </c>
      <c r="C55">
        <v>2</v>
      </c>
      <c r="D55">
        <v>11</v>
      </c>
      <c r="E55">
        <v>1</v>
      </c>
      <c r="F55">
        <v>21.394480430000002</v>
      </c>
      <c r="G55">
        <v>36</v>
      </c>
      <c r="H55">
        <v>37</v>
      </c>
      <c r="I55">
        <v>62</v>
      </c>
      <c r="J55">
        <v>1</v>
      </c>
      <c r="K55">
        <v>1</v>
      </c>
    </row>
    <row r="56" spans="1:11" x14ac:dyDescent="0.25">
      <c r="A56">
        <v>44</v>
      </c>
      <c r="B56">
        <v>0</v>
      </c>
      <c r="C56">
        <v>2</v>
      </c>
      <c r="D56">
        <v>7</v>
      </c>
      <c r="E56">
        <v>1</v>
      </c>
      <c r="F56">
        <v>14.981815920000001</v>
      </c>
      <c r="G56">
        <v>80</v>
      </c>
      <c r="H56">
        <v>87</v>
      </c>
      <c r="I56">
        <v>68</v>
      </c>
      <c r="J56">
        <v>2</v>
      </c>
      <c r="K56">
        <v>1</v>
      </c>
    </row>
    <row r="57" spans="1:11" x14ac:dyDescent="0.25">
      <c r="A57">
        <v>22</v>
      </c>
      <c r="B57">
        <v>1</v>
      </c>
      <c r="C57">
        <v>2</v>
      </c>
      <c r="D57">
        <v>9</v>
      </c>
      <c r="E57">
        <v>2</v>
      </c>
      <c r="F57">
        <v>7.8185163729999996</v>
      </c>
      <c r="G57">
        <v>20</v>
      </c>
      <c r="H57">
        <v>10</v>
      </c>
      <c r="I57">
        <v>52</v>
      </c>
      <c r="J57">
        <v>2</v>
      </c>
      <c r="K57">
        <v>0</v>
      </c>
    </row>
    <row r="58" spans="1:11" x14ac:dyDescent="0.25">
      <c r="A58">
        <v>24</v>
      </c>
      <c r="B58">
        <v>0</v>
      </c>
      <c r="C58">
        <v>1</v>
      </c>
      <c r="D58">
        <v>5</v>
      </c>
      <c r="E58">
        <v>5</v>
      </c>
      <c r="F58">
        <v>37.400612889999998</v>
      </c>
      <c r="G58">
        <v>43</v>
      </c>
      <c r="H58">
        <v>28</v>
      </c>
      <c r="I58">
        <v>53</v>
      </c>
      <c r="J58">
        <v>2</v>
      </c>
      <c r="K58">
        <v>0</v>
      </c>
    </row>
    <row r="59" spans="1:11" x14ac:dyDescent="0.25">
      <c r="A59">
        <v>38</v>
      </c>
      <c r="B59">
        <v>0</v>
      </c>
      <c r="C59">
        <v>1</v>
      </c>
      <c r="D59">
        <v>5</v>
      </c>
      <c r="E59">
        <v>1</v>
      </c>
      <c r="F59">
        <v>41.657382759999997</v>
      </c>
      <c r="G59">
        <v>18</v>
      </c>
      <c r="H59">
        <v>59</v>
      </c>
      <c r="I59">
        <v>41</v>
      </c>
      <c r="J59">
        <v>2</v>
      </c>
      <c r="K59">
        <v>0</v>
      </c>
    </row>
    <row r="60" spans="1:11" x14ac:dyDescent="0.25">
      <c r="A60">
        <v>26</v>
      </c>
      <c r="B60">
        <v>1</v>
      </c>
      <c r="C60">
        <v>2</v>
      </c>
      <c r="D60">
        <v>9</v>
      </c>
      <c r="E60">
        <v>1</v>
      </c>
      <c r="F60">
        <v>13.87394881</v>
      </c>
      <c r="G60">
        <v>70</v>
      </c>
      <c r="H60">
        <v>66</v>
      </c>
      <c r="I60">
        <v>44</v>
      </c>
      <c r="J60">
        <v>3</v>
      </c>
      <c r="K60">
        <v>0</v>
      </c>
    </row>
    <row r="61" spans="1:11" x14ac:dyDescent="0.25">
      <c r="A61">
        <v>40</v>
      </c>
      <c r="B61">
        <v>1</v>
      </c>
      <c r="C61">
        <v>2</v>
      </c>
      <c r="D61">
        <v>10</v>
      </c>
      <c r="E61">
        <v>5</v>
      </c>
      <c r="F61">
        <v>39.720974730000002</v>
      </c>
      <c r="G61">
        <v>7</v>
      </c>
      <c r="H61">
        <v>64</v>
      </c>
      <c r="I61">
        <v>89</v>
      </c>
      <c r="J61">
        <v>1</v>
      </c>
      <c r="K61">
        <v>1</v>
      </c>
    </row>
    <row r="62" spans="1:11" x14ac:dyDescent="0.25">
      <c r="A62">
        <v>28</v>
      </c>
      <c r="B62">
        <v>0</v>
      </c>
      <c r="C62">
        <v>2</v>
      </c>
      <c r="D62">
        <v>6</v>
      </c>
      <c r="E62">
        <v>3</v>
      </c>
      <c r="F62">
        <v>20.277678219999999</v>
      </c>
      <c r="G62">
        <v>76</v>
      </c>
      <c r="H62">
        <v>60</v>
      </c>
      <c r="I62">
        <v>13</v>
      </c>
      <c r="J62">
        <v>1</v>
      </c>
      <c r="K62">
        <v>1</v>
      </c>
    </row>
    <row r="63" spans="1:11" x14ac:dyDescent="0.25">
      <c r="A63">
        <v>26</v>
      </c>
      <c r="B63">
        <v>1</v>
      </c>
      <c r="C63">
        <v>2</v>
      </c>
      <c r="D63">
        <v>6</v>
      </c>
      <c r="E63">
        <v>5</v>
      </c>
      <c r="F63">
        <v>26.33428954</v>
      </c>
      <c r="G63">
        <v>100</v>
      </c>
      <c r="H63">
        <v>18</v>
      </c>
      <c r="I63">
        <v>28</v>
      </c>
      <c r="J63">
        <v>1</v>
      </c>
      <c r="K63">
        <v>1</v>
      </c>
    </row>
    <row r="64" spans="1:11" x14ac:dyDescent="0.25">
      <c r="A64">
        <v>37</v>
      </c>
      <c r="B64">
        <v>0</v>
      </c>
      <c r="C64">
        <v>2</v>
      </c>
      <c r="D64">
        <v>10</v>
      </c>
      <c r="E64">
        <v>5</v>
      </c>
      <c r="F64">
        <v>43.800053740000003</v>
      </c>
      <c r="G64">
        <v>65</v>
      </c>
      <c r="H64">
        <v>45</v>
      </c>
      <c r="I64">
        <v>5</v>
      </c>
      <c r="J64">
        <v>3</v>
      </c>
      <c r="K64">
        <v>0</v>
      </c>
    </row>
    <row r="65" spans="1:11" x14ac:dyDescent="0.25">
      <c r="A65">
        <v>23</v>
      </c>
      <c r="B65">
        <v>0</v>
      </c>
      <c r="C65">
        <v>3</v>
      </c>
      <c r="D65">
        <v>12</v>
      </c>
      <c r="E65">
        <v>3</v>
      </c>
      <c r="F65">
        <v>38.49768409</v>
      </c>
      <c r="G65">
        <v>40</v>
      </c>
      <c r="H65">
        <v>48</v>
      </c>
      <c r="I65">
        <v>6</v>
      </c>
      <c r="J65">
        <v>2</v>
      </c>
      <c r="K65">
        <v>0</v>
      </c>
    </row>
    <row r="66" spans="1:11" x14ac:dyDescent="0.25">
      <c r="A66">
        <v>44</v>
      </c>
      <c r="B66">
        <v>0</v>
      </c>
      <c r="C66">
        <v>1</v>
      </c>
      <c r="D66">
        <v>14</v>
      </c>
      <c r="E66">
        <v>5</v>
      </c>
      <c r="F66">
        <v>41.255842569999999</v>
      </c>
      <c r="G66">
        <v>74</v>
      </c>
      <c r="H66">
        <v>21</v>
      </c>
      <c r="I66">
        <v>36</v>
      </c>
      <c r="J66">
        <v>2</v>
      </c>
      <c r="K66">
        <v>0</v>
      </c>
    </row>
    <row r="67" spans="1:11" x14ac:dyDescent="0.25">
      <c r="A67">
        <v>47</v>
      </c>
      <c r="B67">
        <v>1</v>
      </c>
      <c r="C67">
        <v>2</v>
      </c>
      <c r="D67">
        <v>5</v>
      </c>
      <c r="E67">
        <v>1</v>
      </c>
      <c r="F67">
        <v>7.8422583289999999</v>
      </c>
      <c r="G67">
        <v>87</v>
      </c>
      <c r="H67">
        <v>77</v>
      </c>
      <c r="I67">
        <v>52</v>
      </c>
      <c r="J67">
        <v>1</v>
      </c>
      <c r="K67">
        <v>1</v>
      </c>
    </row>
    <row r="68" spans="1:11" x14ac:dyDescent="0.25">
      <c r="A68">
        <v>33</v>
      </c>
      <c r="B68">
        <v>0</v>
      </c>
      <c r="C68">
        <v>3</v>
      </c>
      <c r="D68">
        <v>3</v>
      </c>
      <c r="E68">
        <v>5</v>
      </c>
      <c r="F68">
        <v>4.4859712920000003</v>
      </c>
      <c r="G68">
        <v>69</v>
      </c>
      <c r="H68">
        <v>56</v>
      </c>
      <c r="I68">
        <v>17</v>
      </c>
      <c r="J68">
        <v>3</v>
      </c>
      <c r="K68">
        <v>0</v>
      </c>
    </row>
    <row r="69" spans="1:11" x14ac:dyDescent="0.25">
      <c r="A69">
        <v>37</v>
      </c>
      <c r="B69">
        <v>0</v>
      </c>
      <c r="C69">
        <v>2</v>
      </c>
      <c r="D69">
        <v>10</v>
      </c>
      <c r="E69">
        <v>3</v>
      </c>
      <c r="F69">
        <v>45.670236449999997</v>
      </c>
      <c r="G69">
        <v>60</v>
      </c>
      <c r="H69">
        <v>13</v>
      </c>
      <c r="I69">
        <v>86</v>
      </c>
      <c r="J69">
        <v>3</v>
      </c>
      <c r="K69">
        <v>0</v>
      </c>
    </row>
    <row r="70" spans="1:11" x14ac:dyDescent="0.25">
      <c r="A70">
        <v>45</v>
      </c>
      <c r="B70">
        <v>1</v>
      </c>
      <c r="C70">
        <v>2</v>
      </c>
      <c r="D70">
        <v>8</v>
      </c>
      <c r="E70">
        <v>4</v>
      </c>
      <c r="F70">
        <v>20.39171348</v>
      </c>
      <c r="G70">
        <v>25</v>
      </c>
      <c r="H70">
        <v>43</v>
      </c>
      <c r="I70">
        <v>37</v>
      </c>
      <c r="J70">
        <v>2</v>
      </c>
      <c r="K70">
        <v>0</v>
      </c>
    </row>
    <row r="71" spans="1:11" x14ac:dyDescent="0.25">
      <c r="A71">
        <v>28</v>
      </c>
      <c r="B71">
        <v>1</v>
      </c>
      <c r="C71">
        <v>4</v>
      </c>
      <c r="D71">
        <v>5</v>
      </c>
      <c r="E71">
        <v>5</v>
      </c>
      <c r="F71">
        <v>15.3939839</v>
      </c>
      <c r="G71">
        <v>70</v>
      </c>
      <c r="H71">
        <v>15</v>
      </c>
      <c r="I71">
        <v>58</v>
      </c>
      <c r="J71">
        <v>2</v>
      </c>
      <c r="K71">
        <v>0</v>
      </c>
    </row>
    <row r="72" spans="1:11" x14ac:dyDescent="0.25">
      <c r="A72">
        <v>45</v>
      </c>
      <c r="B72">
        <v>1</v>
      </c>
      <c r="C72">
        <v>3</v>
      </c>
      <c r="D72">
        <v>3</v>
      </c>
      <c r="E72">
        <v>2</v>
      </c>
      <c r="F72">
        <v>37.23481271</v>
      </c>
      <c r="G72">
        <v>82</v>
      </c>
      <c r="H72">
        <v>96</v>
      </c>
      <c r="I72">
        <v>0</v>
      </c>
      <c r="J72">
        <v>1</v>
      </c>
      <c r="K72">
        <v>1</v>
      </c>
    </row>
    <row r="73" spans="1:11" x14ac:dyDescent="0.25">
      <c r="A73">
        <v>40</v>
      </c>
      <c r="B73">
        <v>1</v>
      </c>
      <c r="C73">
        <v>2</v>
      </c>
      <c r="D73">
        <v>11</v>
      </c>
      <c r="E73">
        <v>1</v>
      </c>
      <c r="F73">
        <v>42.820779829999999</v>
      </c>
      <c r="G73">
        <v>69</v>
      </c>
      <c r="H73">
        <v>76</v>
      </c>
      <c r="I73">
        <v>67</v>
      </c>
      <c r="J73">
        <v>2</v>
      </c>
      <c r="K73">
        <v>0</v>
      </c>
    </row>
    <row r="74" spans="1:11" x14ac:dyDescent="0.25">
      <c r="A74">
        <v>21</v>
      </c>
      <c r="B74">
        <v>0</v>
      </c>
      <c r="C74">
        <v>2</v>
      </c>
      <c r="D74">
        <v>2</v>
      </c>
      <c r="E74">
        <v>1</v>
      </c>
      <c r="F74">
        <v>44.124481090000003</v>
      </c>
      <c r="G74">
        <v>28</v>
      </c>
      <c r="H74">
        <v>11</v>
      </c>
      <c r="I74">
        <v>43</v>
      </c>
      <c r="J74">
        <v>2</v>
      </c>
      <c r="K74">
        <v>0</v>
      </c>
    </row>
    <row r="75" spans="1:11" x14ac:dyDescent="0.25">
      <c r="A75">
        <v>39</v>
      </c>
      <c r="B75">
        <v>0</v>
      </c>
      <c r="C75">
        <v>2</v>
      </c>
      <c r="D75">
        <v>3</v>
      </c>
      <c r="E75">
        <v>2</v>
      </c>
      <c r="F75">
        <v>16.799857060000001</v>
      </c>
      <c r="G75">
        <v>65</v>
      </c>
      <c r="H75">
        <v>54</v>
      </c>
      <c r="I75">
        <v>46</v>
      </c>
      <c r="J75">
        <v>1</v>
      </c>
      <c r="K75">
        <v>0</v>
      </c>
    </row>
    <row r="76" spans="1:11" x14ac:dyDescent="0.25">
      <c r="A76">
        <v>47</v>
      </c>
      <c r="B76">
        <v>0</v>
      </c>
      <c r="C76">
        <v>2</v>
      </c>
      <c r="D76">
        <v>2</v>
      </c>
      <c r="E76">
        <v>2</v>
      </c>
      <c r="F76">
        <v>43.610619560000004</v>
      </c>
      <c r="G76">
        <v>18</v>
      </c>
      <c r="H76">
        <v>50</v>
      </c>
      <c r="I76">
        <v>34</v>
      </c>
      <c r="J76">
        <v>2</v>
      </c>
      <c r="K76">
        <v>0</v>
      </c>
    </row>
    <row r="77" spans="1:11" x14ac:dyDescent="0.25">
      <c r="A77">
        <v>34</v>
      </c>
      <c r="B77">
        <v>0</v>
      </c>
      <c r="C77">
        <v>2</v>
      </c>
      <c r="D77">
        <v>14</v>
      </c>
      <c r="E77">
        <v>5</v>
      </c>
      <c r="F77">
        <v>3.0466972189999999</v>
      </c>
      <c r="G77">
        <v>67</v>
      </c>
      <c r="H77">
        <v>38</v>
      </c>
      <c r="I77">
        <v>86</v>
      </c>
      <c r="J77">
        <v>1</v>
      </c>
      <c r="K77">
        <v>1</v>
      </c>
    </row>
    <row r="78" spans="1:11" x14ac:dyDescent="0.25">
      <c r="A78">
        <v>47</v>
      </c>
      <c r="B78">
        <v>1</v>
      </c>
      <c r="C78">
        <v>2</v>
      </c>
      <c r="D78">
        <v>1</v>
      </c>
      <c r="E78">
        <v>2</v>
      </c>
      <c r="F78">
        <v>3.4830745730000001</v>
      </c>
      <c r="G78">
        <v>57</v>
      </c>
      <c r="H78">
        <v>32</v>
      </c>
      <c r="I78">
        <v>90</v>
      </c>
      <c r="J78">
        <v>2</v>
      </c>
      <c r="K78">
        <v>0</v>
      </c>
    </row>
    <row r="79" spans="1:11" x14ac:dyDescent="0.25">
      <c r="A79">
        <v>26</v>
      </c>
      <c r="B79">
        <v>0</v>
      </c>
      <c r="C79">
        <v>2</v>
      </c>
      <c r="D79">
        <v>13</v>
      </c>
      <c r="E79">
        <v>4</v>
      </c>
      <c r="F79">
        <v>32.175959759999998</v>
      </c>
      <c r="G79">
        <v>69</v>
      </c>
      <c r="H79">
        <v>32</v>
      </c>
      <c r="I79">
        <v>59</v>
      </c>
      <c r="J79">
        <v>2</v>
      </c>
      <c r="K79">
        <v>0</v>
      </c>
    </row>
    <row r="80" spans="1:11" x14ac:dyDescent="0.25">
      <c r="A80">
        <v>31</v>
      </c>
      <c r="B80">
        <v>0</v>
      </c>
      <c r="C80">
        <v>2</v>
      </c>
      <c r="D80">
        <v>4</v>
      </c>
      <c r="E80">
        <v>3</v>
      </c>
      <c r="F80">
        <v>4.1553184559999998</v>
      </c>
      <c r="G80">
        <v>56</v>
      </c>
      <c r="H80">
        <v>28</v>
      </c>
      <c r="I80">
        <v>89</v>
      </c>
      <c r="J80">
        <v>1</v>
      </c>
      <c r="K80">
        <v>0</v>
      </c>
    </row>
    <row r="81" spans="1:11" x14ac:dyDescent="0.25">
      <c r="A81">
        <v>48</v>
      </c>
      <c r="B81">
        <v>1</v>
      </c>
      <c r="C81">
        <v>3</v>
      </c>
      <c r="D81">
        <v>1</v>
      </c>
      <c r="E81">
        <v>2</v>
      </c>
      <c r="F81">
        <v>17.230458429999999</v>
      </c>
      <c r="G81">
        <v>36</v>
      </c>
      <c r="H81">
        <v>68</v>
      </c>
      <c r="I81">
        <v>51</v>
      </c>
      <c r="J81">
        <v>2</v>
      </c>
      <c r="K81">
        <v>0</v>
      </c>
    </row>
    <row r="82" spans="1:11" x14ac:dyDescent="0.25">
      <c r="A82">
        <v>27</v>
      </c>
      <c r="B82">
        <v>0</v>
      </c>
      <c r="C82">
        <v>2</v>
      </c>
      <c r="D82">
        <v>5</v>
      </c>
      <c r="E82">
        <v>2</v>
      </c>
      <c r="F82">
        <v>34.637799309999998</v>
      </c>
      <c r="G82">
        <v>60</v>
      </c>
      <c r="H82">
        <v>69</v>
      </c>
      <c r="I82">
        <v>7</v>
      </c>
      <c r="J82">
        <v>2</v>
      </c>
      <c r="K82">
        <v>0</v>
      </c>
    </row>
    <row r="83" spans="1:11" x14ac:dyDescent="0.25">
      <c r="A83">
        <v>34</v>
      </c>
      <c r="B83">
        <v>0</v>
      </c>
      <c r="C83">
        <v>1</v>
      </c>
      <c r="D83">
        <v>2</v>
      </c>
      <c r="E83">
        <v>4</v>
      </c>
      <c r="F83">
        <v>17.8633448</v>
      </c>
      <c r="G83">
        <v>91</v>
      </c>
      <c r="H83">
        <v>30</v>
      </c>
      <c r="I83">
        <v>79</v>
      </c>
      <c r="J83">
        <v>1</v>
      </c>
      <c r="K83">
        <v>1</v>
      </c>
    </row>
    <row r="84" spans="1:11" x14ac:dyDescent="0.25">
      <c r="A84">
        <v>22</v>
      </c>
      <c r="B84">
        <v>0</v>
      </c>
      <c r="C84">
        <v>2</v>
      </c>
      <c r="D84">
        <v>5</v>
      </c>
      <c r="E84">
        <v>1</v>
      </c>
      <c r="F84">
        <v>9.9799890720000004</v>
      </c>
      <c r="G84">
        <v>29</v>
      </c>
      <c r="H84">
        <v>79</v>
      </c>
      <c r="I84">
        <v>40</v>
      </c>
      <c r="J84">
        <v>3</v>
      </c>
      <c r="K84">
        <v>0</v>
      </c>
    </row>
    <row r="85" spans="1:11" x14ac:dyDescent="0.25">
      <c r="A85">
        <v>33</v>
      </c>
      <c r="B85">
        <v>0</v>
      </c>
      <c r="C85">
        <v>2</v>
      </c>
      <c r="D85">
        <v>14</v>
      </c>
      <c r="E85">
        <v>1</v>
      </c>
      <c r="F85">
        <v>15.067531089999999</v>
      </c>
      <c r="G85">
        <v>70</v>
      </c>
      <c r="H85">
        <v>30</v>
      </c>
      <c r="I85">
        <v>2</v>
      </c>
      <c r="J85">
        <v>1</v>
      </c>
      <c r="K85">
        <v>0</v>
      </c>
    </row>
    <row r="86" spans="1:11" x14ac:dyDescent="0.25">
      <c r="A86">
        <v>36</v>
      </c>
      <c r="B86">
        <v>0</v>
      </c>
      <c r="C86">
        <v>2</v>
      </c>
      <c r="D86">
        <v>10</v>
      </c>
      <c r="E86">
        <v>5</v>
      </c>
      <c r="F86">
        <v>23.87876661</v>
      </c>
      <c r="G86">
        <v>72</v>
      </c>
      <c r="H86">
        <v>88</v>
      </c>
      <c r="I86">
        <v>95</v>
      </c>
      <c r="J86">
        <v>2</v>
      </c>
      <c r="K86">
        <v>1</v>
      </c>
    </row>
    <row r="87" spans="1:11" x14ac:dyDescent="0.25">
      <c r="A87">
        <v>23</v>
      </c>
      <c r="B87">
        <v>0</v>
      </c>
      <c r="C87">
        <v>2</v>
      </c>
      <c r="D87">
        <v>9</v>
      </c>
      <c r="E87">
        <v>4</v>
      </c>
      <c r="F87">
        <v>24.76929277</v>
      </c>
      <c r="G87">
        <v>24</v>
      </c>
      <c r="H87">
        <v>45</v>
      </c>
      <c r="I87">
        <v>68</v>
      </c>
      <c r="J87">
        <v>1</v>
      </c>
      <c r="K87">
        <v>1</v>
      </c>
    </row>
    <row r="88" spans="1:11" x14ac:dyDescent="0.25">
      <c r="A88">
        <v>37</v>
      </c>
      <c r="B88">
        <v>1</v>
      </c>
      <c r="C88">
        <v>2</v>
      </c>
      <c r="D88">
        <v>8</v>
      </c>
      <c r="E88">
        <v>3</v>
      </c>
      <c r="F88">
        <v>40.150011569999997</v>
      </c>
      <c r="G88">
        <v>96</v>
      </c>
      <c r="H88">
        <v>96</v>
      </c>
      <c r="I88">
        <v>83</v>
      </c>
      <c r="J88">
        <v>1</v>
      </c>
      <c r="K88">
        <v>1</v>
      </c>
    </row>
    <row r="89" spans="1:11" x14ac:dyDescent="0.25">
      <c r="A89">
        <v>27</v>
      </c>
      <c r="B89">
        <v>1</v>
      </c>
      <c r="C89">
        <v>2</v>
      </c>
      <c r="D89">
        <v>0</v>
      </c>
      <c r="E89">
        <v>3</v>
      </c>
      <c r="F89">
        <v>38.507661470000002</v>
      </c>
      <c r="G89">
        <v>64</v>
      </c>
      <c r="H89">
        <v>76</v>
      </c>
      <c r="I89">
        <v>13</v>
      </c>
      <c r="J89">
        <v>1</v>
      </c>
      <c r="K89">
        <v>0</v>
      </c>
    </row>
    <row r="90" spans="1:11" x14ac:dyDescent="0.25">
      <c r="A90">
        <v>23</v>
      </c>
      <c r="B90">
        <v>0</v>
      </c>
      <c r="C90">
        <v>1</v>
      </c>
      <c r="D90">
        <v>15</v>
      </c>
      <c r="E90">
        <v>4</v>
      </c>
      <c r="F90">
        <v>23.840890229999999</v>
      </c>
      <c r="G90">
        <v>5</v>
      </c>
      <c r="H90">
        <v>51</v>
      </c>
      <c r="I90">
        <v>95</v>
      </c>
      <c r="J90">
        <v>1</v>
      </c>
      <c r="K90">
        <v>1</v>
      </c>
    </row>
    <row r="91" spans="1:11" x14ac:dyDescent="0.25">
      <c r="A91">
        <v>21</v>
      </c>
      <c r="B91">
        <v>0</v>
      </c>
      <c r="C91">
        <v>1</v>
      </c>
      <c r="D91">
        <v>15</v>
      </c>
      <c r="E91">
        <v>3</v>
      </c>
      <c r="F91">
        <v>43.28336745</v>
      </c>
      <c r="G91">
        <v>17</v>
      </c>
      <c r="H91">
        <v>9</v>
      </c>
      <c r="I91">
        <v>25</v>
      </c>
      <c r="J91">
        <v>2</v>
      </c>
      <c r="K91">
        <v>0</v>
      </c>
    </row>
    <row r="92" spans="1:11" x14ac:dyDescent="0.25">
      <c r="A92">
        <v>49</v>
      </c>
      <c r="B92">
        <v>1</v>
      </c>
      <c r="C92">
        <v>2</v>
      </c>
      <c r="D92">
        <v>5</v>
      </c>
      <c r="E92">
        <v>1</v>
      </c>
      <c r="F92">
        <v>6.7118569299999997</v>
      </c>
      <c r="G92">
        <v>9</v>
      </c>
      <c r="H92">
        <v>87</v>
      </c>
      <c r="I92">
        <v>69</v>
      </c>
      <c r="J92">
        <v>1</v>
      </c>
      <c r="K92">
        <v>1</v>
      </c>
    </row>
    <row r="93" spans="1:11" x14ac:dyDescent="0.25">
      <c r="A93">
        <v>25</v>
      </c>
      <c r="B93">
        <v>0</v>
      </c>
      <c r="C93">
        <v>2</v>
      </c>
      <c r="D93">
        <v>8</v>
      </c>
      <c r="E93">
        <v>3</v>
      </c>
      <c r="F93">
        <v>13.767667510000001</v>
      </c>
      <c r="G93">
        <v>91</v>
      </c>
      <c r="H93">
        <v>73</v>
      </c>
      <c r="I93">
        <v>57</v>
      </c>
      <c r="J93">
        <v>2</v>
      </c>
      <c r="K93">
        <v>0</v>
      </c>
    </row>
    <row r="94" spans="1:11" x14ac:dyDescent="0.25">
      <c r="A94">
        <v>41</v>
      </c>
      <c r="B94">
        <v>0</v>
      </c>
      <c r="C94">
        <v>4</v>
      </c>
      <c r="D94">
        <v>10</v>
      </c>
      <c r="E94">
        <v>3</v>
      </c>
      <c r="F94">
        <v>42.398823180000001</v>
      </c>
      <c r="G94">
        <v>10</v>
      </c>
      <c r="H94">
        <v>40</v>
      </c>
      <c r="I94">
        <v>99</v>
      </c>
      <c r="J94">
        <v>1</v>
      </c>
      <c r="K94">
        <v>1</v>
      </c>
    </row>
    <row r="95" spans="1:11" x14ac:dyDescent="0.25">
      <c r="A95">
        <v>29</v>
      </c>
      <c r="B95">
        <v>0</v>
      </c>
      <c r="C95">
        <v>2</v>
      </c>
      <c r="D95">
        <v>3</v>
      </c>
      <c r="E95">
        <v>4</v>
      </c>
      <c r="F95">
        <v>19.899701929999999</v>
      </c>
      <c r="G95">
        <v>96</v>
      </c>
      <c r="H95">
        <v>94</v>
      </c>
      <c r="I95">
        <v>39</v>
      </c>
      <c r="J95">
        <v>1</v>
      </c>
      <c r="K95">
        <v>1</v>
      </c>
    </row>
    <row r="96" spans="1:11" x14ac:dyDescent="0.25">
      <c r="A96">
        <v>23</v>
      </c>
      <c r="B96">
        <v>1</v>
      </c>
      <c r="C96">
        <v>2</v>
      </c>
      <c r="D96">
        <v>10</v>
      </c>
      <c r="E96">
        <v>4</v>
      </c>
      <c r="F96">
        <v>50.059077940000002</v>
      </c>
      <c r="G96">
        <v>64</v>
      </c>
      <c r="H96">
        <v>76</v>
      </c>
      <c r="I96">
        <v>50</v>
      </c>
      <c r="J96">
        <v>2</v>
      </c>
      <c r="K96">
        <v>0</v>
      </c>
    </row>
    <row r="97" spans="1:11" x14ac:dyDescent="0.25">
      <c r="A97">
        <v>41</v>
      </c>
      <c r="B97">
        <v>0</v>
      </c>
      <c r="C97">
        <v>2</v>
      </c>
      <c r="D97">
        <v>11</v>
      </c>
      <c r="E97">
        <v>3</v>
      </c>
      <c r="F97">
        <v>24.312664080000001</v>
      </c>
      <c r="G97">
        <v>76</v>
      </c>
      <c r="H97">
        <v>2</v>
      </c>
      <c r="I97">
        <v>4</v>
      </c>
      <c r="J97">
        <v>3</v>
      </c>
      <c r="K97">
        <v>0</v>
      </c>
    </row>
    <row r="98" spans="1:11" x14ac:dyDescent="0.25">
      <c r="A98">
        <v>48</v>
      </c>
      <c r="B98">
        <v>1</v>
      </c>
      <c r="C98">
        <v>1</v>
      </c>
      <c r="D98">
        <v>1</v>
      </c>
      <c r="E98">
        <v>2</v>
      </c>
      <c r="F98">
        <v>40.596781149999998</v>
      </c>
      <c r="G98">
        <v>100</v>
      </c>
      <c r="H98">
        <v>58</v>
      </c>
      <c r="I98">
        <v>76</v>
      </c>
      <c r="J98">
        <v>2</v>
      </c>
      <c r="K98">
        <v>0</v>
      </c>
    </row>
    <row r="99" spans="1:11" x14ac:dyDescent="0.25">
      <c r="A99">
        <v>50</v>
      </c>
      <c r="B99">
        <v>0</v>
      </c>
      <c r="C99">
        <v>4</v>
      </c>
      <c r="D99">
        <v>12</v>
      </c>
      <c r="E99">
        <v>4</v>
      </c>
      <c r="F99">
        <v>21.11535207</v>
      </c>
      <c r="G99">
        <v>83</v>
      </c>
      <c r="H99">
        <v>51</v>
      </c>
      <c r="I99">
        <v>31</v>
      </c>
      <c r="J99">
        <v>2</v>
      </c>
      <c r="K99">
        <v>1</v>
      </c>
    </row>
    <row r="100" spans="1:11" x14ac:dyDescent="0.25">
      <c r="A100">
        <v>37</v>
      </c>
      <c r="B100">
        <v>1</v>
      </c>
      <c r="C100">
        <v>2</v>
      </c>
      <c r="D100">
        <v>3</v>
      </c>
      <c r="E100">
        <v>5</v>
      </c>
      <c r="F100">
        <v>22.247675950000001</v>
      </c>
      <c r="G100">
        <v>64</v>
      </c>
      <c r="H100">
        <v>33</v>
      </c>
      <c r="I100">
        <v>79</v>
      </c>
      <c r="J100">
        <v>1</v>
      </c>
      <c r="K100">
        <v>0</v>
      </c>
    </row>
    <row r="101" spans="1:11" x14ac:dyDescent="0.25">
      <c r="A101">
        <v>45</v>
      </c>
      <c r="B101">
        <v>1</v>
      </c>
      <c r="C101">
        <v>3</v>
      </c>
      <c r="D101">
        <v>0</v>
      </c>
      <c r="E101">
        <v>5</v>
      </c>
      <c r="F101">
        <v>20.144157360000001</v>
      </c>
      <c r="G101">
        <v>51</v>
      </c>
      <c r="H101">
        <v>48</v>
      </c>
      <c r="I101">
        <v>0</v>
      </c>
      <c r="J101">
        <v>3</v>
      </c>
      <c r="K101">
        <v>0</v>
      </c>
    </row>
    <row r="102" spans="1:11" x14ac:dyDescent="0.25">
      <c r="A102">
        <v>31</v>
      </c>
      <c r="B102">
        <v>0</v>
      </c>
      <c r="C102">
        <v>1</v>
      </c>
      <c r="D102">
        <v>2</v>
      </c>
      <c r="E102">
        <v>1</v>
      </c>
      <c r="F102">
        <v>36.953781030000002</v>
      </c>
      <c r="G102">
        <v>66</v>
      </c>
      <c r="H102">
        <v>27</v>
      </c>
      <c r="I102">
        <v>76</v>
      </c>
      <c r="J102">
        <v>1</v>
      </c>
      <c r="K102">
        <v>0</v>
      </c>
    </row>
    <row r="103" spans="1:11" x14ac:dyDescent="0.25">
      <c r="A103">
        <v>21</v>
      </c>
      <c r="B103">
        <v>1</v>
      </c>
      <c r="C103">
        <v>2</v>
      </c>
      <c r="D103">
        <v>9</v>
      </c>
      <c r="E103">
        <v>3</v>
      </c>
      <c r="F103">
        <v>28.375894200000001</v>
      </c>
      <c r="G103">
        <v>81</v>
      </c>
      <c r="H103">
        <v>82</v>
      </c>
      <c r="I103">
        <v>53</v>
      </c>
      <c r="J103">
        <v>1</v>
      </c>
      <c r="K103">
        <v>1</v>
      </c>
    </row>
    <row r="104" spans="1:11" x14ac:dyDescent="0.25">
      <c r="A104">
        <v>29</v>
      </c>
      <c r="B104">
        <v>0</v>
      </c>
      <c r="C104">
        <v>2</v>
      </c>
      <c r="D104">
        <v>8</v>
      </c>
      <c r="E104">
        <v>2</v>
      </c>
      <c r="F104">
        <v>48.188905570000003</v>
      </c>
      <c r="G104">
        <v>77</v>
      </c>
      <c r="H104">
        <v>86</v>
      </c>
      <c r="I104">
        <v>10</v>
      </c>
      <c r="J104">
        <v>2</v>
      </c>
      <c r="K104">
        <v>0</v>
      </c>
    </row>
    <row r="105" spans="1:11" x14ac:dyDescent="0.25">
      <c r="A105">
        <v>49</v>
      </c>
      <c r="B105">
        <v>1</v>
      </c>
      <c r="C105">
        <v>3</v>
      </c>
      <c r="D105">
        <v>9</v>
      </c>
      <c r="E105">
        <v>1</v>
      </c>
      <c r="F105">
        <v>13.54451583</v>
      </c>
      <c r="G105">
        <v>30</v>
      </c>
      <c r="H105">
        <v>95</v>
      </c>
      <c r="I105">
        <v>52</v>
      </c>
      <c r="J105">
        <v>2</v>
      </c>
      <c r="K105">
        <v>0</v>
      </c>
    </row>
    <row r="106" spans="1:11" x14ac:dyDescent="0.25">
      <c r="A106">
        <v>23</v>
      </c>
      <c r="B106">
        <v>0</v>
      </c>
      <c r="C106">
        <v>1</v>
      </c>
      <c r="D106">
        <v>4</v>
      </c>
      <c r="E106">
        <v>3</v>
      </c>
      <c r="F106">
        <v>6.0281366040000002</v>
      </c>
      <c r="G106">
        <v>90</v>
      </c>
      <c r="H106">
        <v>12</v>
      </c>
      <c r="I106">
        <v>7</v>
      </c>
      <c r="J106">
        <v>3</v>
      </c>
      <c r="K106">
        <v>0</v>
      </c>
    </row>
    <row r="107" spans="1:11" x14ac:dyDescent="0.25">
      <c r="A107">
        <v>33</v>
      </c>
      <c r="B107">
        <v>0</v>
      </c>
      <c r="C107">
        <v>2</v>
      </c>
      <c r="D107">
        <v>14</v>
      </c>
      <c r="E107">
        <v>4</v>
      </c>
      <c r="F107">
        <v>20.663074250000001</v>
      </c>
      <c r="G107">
        <v>16</v>
      </c>
      <c r="H107">
        <v>96</v>
      </c>
      <c r="I107">
        <v>24</v>
      </c>
      <c r="J107">
        <v>1</v>
      </c>
      <c r="K107">
        <v>1</v>
      </c>
    </row>
    <row r="108" spans="1:11" x14ac:dyDescent="0.25">
      <c r="A108">
        <v>50</v>
      </c>
      <c r="B108">
        <v>1</v>
      </c>
      <c r="C108">
        <v>4</v>
      </c>
      <c r="D108">
        <v>10</v>
      </c>
      <c r="E108">
        <v>5</v>
      </c>
      <c r="F108">
        <v>31.835635379999999</v>
      </c>
      <c r="G108">
        <v>54</v>
      </c>
      <c r="H108">
        <v>97</v>
      </c>
      <c r="I108">
        <v>39</v>
      </c>
      <c r="J108">
        <v>3</v>
      </c>
      <c r="K108">
        <v>0</v>
      </c>
    </row>
    <row r="109" spans="1:11" x14ac:dyDescent="0.25">
      <c r="A109">
        <v>35</v>
      </c>
      <c r="B109">
        <v>0</v>
      </c>
      <c r="C109">
        <v>2</v>
      </c>
      <c r="D109">
        <v>5</v>
      </c>
      <c r="E109">
        <v>2</v>
      </c>
      <c r="F109">
        <v>44.03994685</v>
      </c>
      <c r="G109">
        <v>92</v>
      </c>
      <c r="H109">
        <v>96</v>
      </c>
      <c r="I109">
        <v>31</v>
      </c>
      <c r="J109">
        <v>2</v>
      </c>
      <c r="K109">
        <v>0</v>
      </c>
    </row>
    <row r="110" spans="1:11" x14ac:dyDescent="0.25">
      <c r="A110">
        <v>34</v>
      </c>
      <c r="B110">
        <v>0</v>
      </c>
      <c r="C110">
        <v>2</v>
      </c>
      <c r="D110">
        <v>2</v>
      </c>
      <c r="E110">
        <v>5</v>
      </c>
      <c r="F110">
        <v>18.309844330000001</v>
      </c>
      <c r="G110">
        <v>35</v>
      </c>
      <c r="H110">
        <v>68</v>
      </c>
      <c r="I110">
        <v>87</v>
      </c>
      <c r="J110">
        <v>2</v>
      </c>
      <c r="K110">
        <v>0</v>
      </c>
    </row>
    <row r="111" spans="1:11" x14ac:dyDescent="0.25">
      <c r="A111">
        <v>27</v>
      </c>
      <c r="B111">
        <v>1</v>
      </c>
      <c r="C111">
        <v>1</v>
      </c>
      <c r="D111">
        <v>15</v>
      </c>
      <c r="E111">
        <v>4</v>
      </c>
      <c r="F111">
        <v>33.689337559999998</v>
      </c>
      <c r="G111">
        <v>100</v>
      </c>
      <c r="H111">
        <v>66</v>
      </c>
      <c r="I111">
        <v>27</v>
      </c>
      <c r="J111">
        <v>1</v>
      </c>
      <c r="K111">
        <v>1</v>
      </c>
    </row>
    <row r="112" spans="1:11" x14ac:dyDescent="0.25">
      <c r="A112">
        <v>33</v>
      </c>
      <c r="B112">
        <v>0</v>
      </c>
      <c r="C112">
        <v>4</v>
      </c>
      <c r="D112">
        <v>4</v>
      </c>
      <c r="E112">
        <v>3</v>
      </c>
      <c r="F112">
        <v>18.509934049999998</v>
      </c>
      <c r="G112">
        <v>25</v>
      </c>
      <c r="H112">
        <v>60</v>
      </c>
      <c r="I112">
        <v>77</v>
      </c>
      <c r="J112">
        <v>1</v>
      </c>
      <c r="K112">
        <v>1</v>
      </c>
    </row>
    <row r="113" spans="1:11" x14ac:dyDescent="0.25">
      <c r="A113">
        <v>42</v>
      </c>
      <c r="B113">
        <v>0</v>
      </c>
      <c r="C113">
        <v>1</v>
      </c>
      <c r="D113">
        <v>10</v>
      </c>
      <c r="E113">
        <v>4</v>
      </c>
      <c r="F113">
        <v>31.860979149999999</v>
      </c>
      <c r="G113">
        <v>52</v>
      </c>
      <c r="H113">
        <v>59</v>
      </c>
      <c r="I113">
        <v>2</v>
      </c>
      <c r="J113">
        <v>3</v>
      </c>
      <c r="K113">
        <v>0</v>
      </c>
    </row>
    <row r="114" spans="1:11" x14ac:dyDescent="0.25">
      <c r="A114">
        <v>47</v>
      </c>
      <c r="B114">
        <v>1</v>
      </c>
      <c r="C114">
        <v>3</v>
      </c>
      <c r="D114">
        <v>7</v>
      </c>
      <c r="E114">
        <v>4</v>
      </c>
      <c r="F114">
        <v>45.240397350000002</v>
      </c>
      <c r="G114">
        <v>16</v>
      </c>
      <c r="H114">
        <v>70</v>
      </c>
      <c r="I114">
        <v>99</v>
      </c>
      <c r="J114">
        <v>2</v>
      </c>
      <c r="K114">
        <v>1</v>
      </c>
    </row>
    <row r="115" spans="1:11" x14ac:dyDescent="0.25">
      <c r="A115">
        <v>44</v>
      </c>
      <c r="B115">
        <v>1</v>
      </c>
      <c r="C115">
        <v>3</v>
      </c>
      <c r="D115">
        <v>5</v>
      </c>
      <c r="E115">
        <v>5</v>
      </c>
      <c r="F115">
        <v>12.567882109999999</v>
      </c>
      <c r="G115">
        <v>85</v>
      </c>
      <c r="H115">
        <v>23</v>
      </c>
      <c r="I115">
        <v>90</v>
      </c>
      <c r="J115">
        <v>2</v>
      </c>
      <c r="K115">
        <v>0</v>
      </c>
    </row>
    <row r="116" spans="1:11" x14ac:dyDescent="0.25">
      <c r="A116">
        <v>49</v>
      </c>
      <c r="B116">
        <v>0</v>
      </c>
      <c r="C116">
        <v>2</v>
      </c>
      <c r="D116">
        <v>3</v>
      </c>
      <c r="E116">
        <v>2</v>
      </c>
      <c r="F116">
        <v>21.212082110000001</v>
      </c>
      <c r="G116">
        <v>24</v>
      </c>
      <c r="H116">
        <v>62</v>
      </c>
      <c r="I116">
        <v>83</v>
      </c>
      <c r="J116">
        <v>3</v>
      </c>
      <c r="K116">
        <v>0</v>
      </c>
    </row>
    <row r="117" spans="1:11" x14ac:dyDescent="0.25">
      <c r="A117">
        <v>27</v>
      </c>
      <c r="B117">
        <v>0</v>
      </c>
      <c r="C117">
        <v>2</v>
      </c>
      <c r="D117">
        <v>1</v>
      </c>
      <c r="E117">
        <v>4</v>
      </c>
      <c r="F117">
        <v>50.66325982</v>
      </c>
      <c r="G117">
        <v>1</v>
      </c>
      <c r="H117">
        <v>85</v>
      </c>
      <c r="I117">
        <v>78</v>
      </c>
      <c r="J117">
        <v>1</v>
      </c>
      <c r="K117">
        <v>1</v>
      </c>
    </row>
    <row r="118" spans="1:11" x14ac:dyDescent="0.25">
      <c r="A118">
        <v>40</v>
      </c>
      <c r="B118">
        <v>1</v>
      </c>
      <c r="C118">
        <v>1</v>
      </c>
      <c r="D118">
        <v>13</v>
      </c>
      <c r="E118">
        <v>5</v>
      </c>
      <c r="F118">
        <v>44.427851410000002</v>
      </c>
      <c r="G118">
        <v>85</v>
      </c>
      <c r="H118">
        <v>60</v>
      </c>
      <c r="I118">
        <v>61</v>
      </c>
      <c r="J118">
        <v>2</v>
      </c>
      <c r="K118">
        <v>1</v>
      </c>
    </row>
    <row r="119" spans="1:11" x14ac:dyDescent="0.25">
      <c r="A119">
        <v>35</v>
      </c>
      <c r="B119">
        <v>1</v>
      </c>
      <c r="C119">
        <v>2</v>
      </c>
      <c r="D119">
        <v>8</v>
      </c>
      <c r="E119">
        <v>2</v>
      </c>
      <c r="F119">
        <v>29.231992890000001</v>
      </c>
      <c r="G119">
        <v>4</v>
      </c>
      <c r="H119">
        <v>22</v>
      </c>
      <c r="I119">
        <v>26</v>
      </c>
      <c r="J119">
        <v>2</v>
      </c>
      <c r="K119">
        <v>0</v>
      </c>
    </row>
    <row r="120" spans="1:11" x14ac:dyDescent="0.25">
      <c r="A120">
        <v>32</v>
      </c>
      <c r="B120">
        <v>0</v>
      </c>
      <c r="C120">
        <v>3</v>
      </c>
      <c r="D120">
        <v>12</v>
      </c>
      <c r="E120">
        <v>3</v>
      </c>
      <c r="F120">
        <v>26.831379590000001</v>
      </c>
      <c r="G120">
        <v>3</v>
      </c>
      <c r="H120">
        <v>29</v>
      </c>
      <c r="I120">
        <v>44</v>
      </c>
      <c r="J120">
        <v>1</v>
      </c>
      <c r="K120">
        <v>1</v>
      </c>
    </row>
    <row r="121" spans="1:11" x14ac:dyDescent="0.25">
      <c r="A121">
        <v>37</v>
      </c>
      <c r="B121">
        <v>1</v>
      </c>
      <c r="C121">
        <v>3</v>
      </c>
      <c r="D121">
        <v>11</v>
      </c>
      <c r="E121">
        <v>3</v>
      </c>
      <c r="F121">
        <v>15.23001912</v>
      </c>
      <c r="G121">
        <v>35</v>
      </c>
      <c r="H121">
        <v>59</v>
      </c>
      <c r="I121">
        <v>91</v>
      </c>
      <c r="J121">
        <v>1</v>
      </c>
      <c r="K121">
        <v>1</v>
      </c>
    </row>
    <row r="122" spans="1:11" x14ac:dyDescent="0.25">
      <c r="A122">
        <v>34</v>
      </c>
      <c r="B122">
        <v>0</v>
      </c>
      <c r="C122">
        <v>2</v>
      </c>
      <c r="D122">
        <v>0</v>
      </c>
      <c r="E122">
        <v>1</v>
      </c>
      <c r="F122">
        <v>26.86047138</v>
      </c>
      <c r="G122">
        <v>5</v>
      </c>
      <c r="H122">
        <v>17</v>
      </c>
      <c r="I122">
        <v>24</v>
      </c>
      <c r="J122">
        <v>2</v>
      </c>
      <c r="K122">
        <v>0</v>
      </c>
    </row>
    <row r="123" spans="1:11" x14ac:dyDescent="0.25">
      <c r="A123">
        <v>40</v>
      </c>
      <c r="B123">
        <v>0</v>
      </c>
      <c r="C123">
        <v>2</v>
      </c>
      <c r="D123">
        <v>0</v>
      </c>
      <c r="E123">
        <v>5</v>
      </c>
      <c r="F123">
        <v>43.409074910000001</v>
      </c>
      <c r="G123">
        <v>20</v>
      </c>
      <c r="H123">
        <v>95</v>
      </c>
      <c r="I123">
        <v>60</v>
      </c>
      <c r="J123">
        <v>2</v>
      </c>
      <c r="K123">
        <v>0</v>
      </c>
    </row>
    <row r="124" spans="1:11" x14ac:dyDescent="0.25">
      <c r="A124">
        <v>43</v>
      </c>
      <c r="B124">
        <v>0</v>
      </c>
      <c r="C124">
        <v>1</v>
      </c>
      <c r="D124">
        <v>12</v>
      </c>
      <c r="E124">
        <v>2</v>
      </c>
      <c r="F124">
        <v>35.258725660000003</v>
      </c>
      <c r="G124">
        <v>76</v>
      </c>
      <c r="H124">
        <v>55</v>
      </c>
      <c r="I124">
        <v>43</v>
      </c>
      <c r="J124">
        <v>2</v>
      </c>
      <c r="K124">
        <v>0</v>
      </c>
    </row>
    <row r="125" spans="1:11" x14ac:dyDescent="0.25">
      <c r="A125">
        <v>45</v>
      </c>
      <c r="B125">
        <v>0</v>
      </c>
      <c r="C125">
        <v>1</v>
      </c>
      <c r="D125">
        <v>3</v>
      </c>
      <c r="E125">
        <v>4</v>
      </c>
      <c r="F125">
        <v>15.50220141</v>
      </c>
      <c r="G125">
        <v>100</v>
      </c>
      <c r="H125">
        <v>52</v>
      </c>
      <c r="I125">
        <v>96</v>
      </c>
      <c r="J125">
        <v>1</v>
      </c>
      <c r="K125">
        <v>1</v>
      </c>
    </row>
    <row r="126" spans="1:11" x14ac:dyDescent="0.25">
      <c r="A126">
        <v>44</v>
      </c>
      <c r="B126">
        <v>0</v>
      </c>
      <c r="C126">
        <v>1</v>
      </c>
      <c r="D126">
        <v>6</v>
      </c>
      <c r="E126">
        <v>3</v>
      </c>
      <c r="F126">
        <v>11.07319605</v>
      </c>
      <c r="G126">
        <v>88</v>
      </c>
      <c r="H126">
        <v>6</v>
      </c>
      <c r="I126">
        <v>45</v>
      </c>
      <c r="J126">
        <v>3</v>
      </c>
      <c r="K126">
        <v>0</v>
      </c>
    </row>
    <row r="127" spans="1:11" x14ac:dyDescent="0.25">
      <c r="A127">
        <v>47</v>
      </c>
      <c r="B127">
        <v>1</v>
      </c>
      <c r="C127">
        <v>2</v>
      </c>
      <c r="D127">
        <v>0</v>
      </c>
      <c r="E127">
        <v>2</v>
      </c>
      <c r="F127">
        <v>14.26042685</v>
      </c>
      <c r="G127">
        <v>25</v>
      </c>
      <c r="H127">
        <v>96</v>
      </c>
      <c r="I127">
        <v>13</v>
      </c>
      <c r="J127">
        <v>1</v>
      </c>
      <c r="K127">
        <v>0</v>
      </c>
    </row>
    <row r="128" spans="1:11" x14ac:dyDescent="0.25">
      <c r="A128">
        <v>47</v>
      </c>
      <c r="B128">
        <v>1</v>
      </c>
      <c r="C128">
        <v>2</v>
      </c>
      <c r="D128">
        <v>8</v>
      </c>
      <c r="E128">
        <v>5</v>
      </c>
      <c r="F128">
        <v>9.4879600699999997</v>
      </c>
      <c r="G128">
        <v>54</v>
      </c>
      <c r="H128">
        <v>68</v>
      </c>
      <c r="I128">
        <v>7</v>
      </c>
      <c r="J128">
        <v>2</v>
      </c>
      <c r="K128">
        <v>0</v>
      </c>
    </row>
    <row r="129" spans="1:11" x14ac:dyDescent="0.25">
      <c r="A129">
        <v>47</v>
      </c>
      <c r="B129">
        <v>1</v>
      </c>
      <c r="C129">
        <v>2</v>
      </c>
      <c r="D129">
        <v>3</v>
      </c>
      <c r="E129">
        <v>1</v>
      </c>
      <c r="F129">
        <v>5.782034801</v>
      </c>
      <c r="G129">
        <v>38</v>
      </c>
      <c r="H129">
        <v>91</v>
      </c>
      <c r="I129">
        <v>47</v>
      </c>
      <c r="J129">
        <v>2</v>
      </c>
      <c r="K129">
        <v>0</v>
      </c>
    </row>
    <row r="130" spans="1:11" x14ac:dyDescent="0.25">
      <c r="A130">
        <v>32</v>
      </c>
      <c r="B130">
        <v>1</v>
      </c>
      <c r="C130">
        <v>2</v>
      </c>
      <c r="D130">
        <v>2</v>
      </c>
      <c r="E130">
        <v>3</v>
      </c>
      <c r="F130">
        <v>21.956808720000002</v>
      </c>
      <c r="G130">
        <v>83</v>
      </c>
      <c r="H130">
        <v>71</v>
      </c>
      <c r="I130">
        <v>13</v>
      </c>
      <c r="J130">
        <v>1</v>
      </c>
      <c r="K130">
        <v>1</v>
      </c>
    </row>
    <row r="131" spans="1:11" x14ac:dyDescent="0.25">
      <c r="A131">
        <v>28</v>
      </c>
      <c r="B131">
        <v>0</v>
      </c>
      <c r="C131">
        <v>2</v>
      </c>
      <c r="D131">
        <v>0</v>
      </c>
      <c r="E131">
        <v>2</v>
      </c>
      <c r="F131">
        <v>6.6649802200000003</v>
      </c>
      <c r="G131">
        <v>32</v>
      </c>
      <c r="H131">
        <v>78</v>
      </c>
      <c r="I131">
        <v>64</v>
      </c>
      <c r="J131">
        <v>1</v>
      </c>
      <c r="K131">
        <v>1</v>
      </c>
    </row>
    <row r="132" spans="1:11" x14ac:dyDescent="0.25">
      <c r="A132">
        <v>48</v>
      </c>
      <c r="B132">
        <v>0</v>
      </c>
      <c r="C132">
        <v>2</v>
      </c>
      <c r="D132">
        <v>9</v>
      </c>
      <c r="E132">
        <v>2</v>
      </c>
      <c r="F132">
        <v>9.5956278860000008</v>
      </c>
      <c r="G132">
        <v>13</v>
      </c>
      <c r="H132">
        <v>51</v>
      </c>
      <c r="I132">
        <v>79</v>
      </c>
      <c r="J132">
        <v>2</v>
      </c>
      <c r="K132">
        <v>0</v>
      </c>
    </row>
    <row r="133" spans="1:11" x14ac:dyDescent="0.25">
      <c r="A133">
        <v>34</v>
      </c>
      <c r="B133">
        <v>0</v>
      </c>
      <c r="C133">
        <v>3</v>
      </c>
      <c r="D133">
        <v>3</v>
      </c>
      <c r="E133">
        <v>2</v>
      </c>
      <c r="F133">
        <v>28.366234219999999</v>
      </c>
      <c r="G133">
        <v>55</v>
      </c>
      <c r="H133">
        <v>3</v>
      </c>
      <c r="I133">
        <v>81</v>
      </c>
      <c r="J133">
        <v>3</v>
      </c>
      <c r="K133">
        <v>0</v>
      </c>
    </row>
    <row r="134" spans="1:11" x14ac:dyDescent="0.25">
      <c r="A134">
        <v>32</v>
      </c>
      <c r="B134">
        <v>0</v>
      </c>
      <c r="C134">
        <v>2</v>
      </c>
      <c r="D134">
        <v>8</v>
      </c>
      <c r="E134">
        <v>5</v>
      </c>
      <c r="F134">
        <v>9.2299636849999995</v>
      </c>
      <c r="G134">
        <v>99</v>
      </c>
      <c r="H134">
        <v>33</v>
      </c>
      <c r="I134">
        <v>6</v>
      </c>
      <c r="J134">
        <v>1</v>
      </c>
      <c r="K134">
        <v>1</v>
      </c>
    </row>
    <row r="135" spans="1:11" x14ac:dyDescent="0.25">
      <c r="A135">
        <v>20</v>
      </c>
      <c r="B135">
        <v>1</v>
      </c>
      <c r="C135">
        <v>4</v>
      </c>
      <c r="D135">
        <v>12</v>
      </c>
      <c r="E135">
        <v>5</v>
      </c>
      <c r="F135">
        <v>4.1939883719999997</v>
      </c>
      <c r="G135">
        <v>80</v>
      </c>
      <c r="H135">
        <v>68</v>
      </c>
      <c r="I135">
        <v>78</v>
      </c>
      <c r="J135">
        <v>2</v>
      </c>
      <c r="K135">
        <v>1</v>
      </c>
    </row>
    <row r="136" spans="1:11" x14ac:dyDescent="0.25">
      <c r="A136">
        <v>44</v>
      </c>
      <c r="B136">
        <v>0</v>
      </c>
      <c r="C136">
        <v>3</v>
      </c>
      <c r="D136">
        <v>13</v>
      </c>
      <c r="E136">
        <v>5</v>
      </c>
      <c r="F136">
        <v>16.869442500000002</v>
      </c>
      <c r="G136">
        <v>20</v>
      </c>
      <c r="H136">
        <v>32</v>
      </c>
      <c r="I136">
        <v>87</v>
      </c>
      <c r="J136">
        <v>2</v>
      </c>
      <c r="K136">
        <v>0</v>
      </c>
    </row>
    <row r="137" spans="1:11" x14ac:dyDescent="0.25">
      <c r="A137">
        <v>26</v>
      </c>
      <c r="B137">
        <v>0</v>
      </c>
      <c r="C137">
        <v>1</v>
      </c>
      <c r="D137">
        <v>9</v>
      </c>
      <c r="E137">
        <v>4</v>
      </c>
      <c r="F137">
        <v>12.015954929999999</v>
      </c>
      <c r="G137">
        <v>45</v>
      </c>
      <c r="H137">
        <v>68</v>
      </c>
      <c r="I137">
        <v>48</v>
      </c>
      <c r="J137">
        <v>1</v>
      </c>
      <c r="K137">
        <v>1</v>
      </c>
    </row>
    <row r="138" spans="1:11" x14ac:dyDescent="0.25">
      <c r="A138">
        <v>28</v>
      </c>
      <c r="B138">
        <v>1</v>
      </c>
      <c r="C138">
        <v>3</v>
      </c>
      <c r="D138">
        <v>15</v>
      </c>
      <c r="E138">
        <v>2</v>
      </c>
      <c r="F138">
        <v>26.765259400000001</v>
      </c>
      <c r="G138">
        <v>15</v>
      </c>
      <c r="H138">
        <v>37</v>
      </c>
      <c r="I138">
        <v>54</v>
      </c>
      <c r="J138">
        <v>2</v>
      </c>
      <c r="K138">
        <v>0</v>
      </c>
    </row>
    <row r="139" spans="1:11" x14ac:dyDescent="0.25">
      <c r="A139">
        <v>43</v>
      </c>
      <c r="B139">
        <v>1</v>
      </c>
      <c r="C139">
        <v>2</v>
      </c>
      <c r="D139">
        <v>15</v>
      </c>
      <c r="E139">
        <v>3</v>
      </c>
      <c r="F139">
        <v>6.1183542290000004</v>
      </c>
      <c r="G139">
        <v>15</v>
      </c>
      <c r="H139">
        <v>97</v>
      </c>
      <c r="I139">
        <v>12</v>
      </c>
      <c r="J139">
        <v>3</v>
      </c>
      <c r="K139">
        <v>0</v>
      </c>
    </row>
    <row r="140" spans="1:11" x14ac:dyDescent="0.25">
      <c r="A140">
        <v>20</v>
      </c>
      <c r="B140">
        <v>1</v>
      </c>
      <c r="C140">
        <v>2</v>
      </c>
      <c r="D140">
        <v>5</v>
      </c>
      <c r="E140">
        <v>5</v>
      </c>
      <c r="F140">
        <v>38.58853938</v>
      </c>
      <c r="G140">
        <v>83</v>
      </c>
      <c r="H140">
        <v>25</v>
      </c>
      <c r="I140">
        <v>72</v>
      </c>
      <c r="J140">
        <v>2</v>
      </c>
      <c r="K140">
        <v>0</v>
      </c>
    </row>
    <row r="141" spans="1:11" x14ac:dyDescent="0.25">
      <c r="A141">
        <v>31</v>
      </c>
      <c r="B141">
        <v>1</v>
      </c>
      <c r="C141">
        <v>2</v>
      </c>
      <c r="D141">
        <v>15</v>
      </c>
      <c r="E141">
        <v>5</v>
      </c>
      <c r="F141">
        <v>46.311675970000003</v>
      </c>
      <c r="G141">
        <v>28</v>
      </c>
      <c r="H141">
        <v>0</v>
      </c>
      <c r="I141">
        <v>55</v>
      </c>
      <c r="J141">
        <v>3</v>
      </c>
      <c r="K141">
        <v>0</v>
      </c>
    </row>
    <row r="142" spans="1:11" x14ac:dyDescent="0.25">
      <c r="A142">
        <v>27</v>
      </c>
      <c r="B142">
        <v>0</v>
      </c>
      <c r="C142">
        <v>2</v>
      </c>
      <c r="D142">
        <v>5</v>
      </c>
      <c r="E142">
        <v>2</v>
      </c>
      <c r="F142">
        <v>38.171758699999998</v>
      </c>
      <c r="G142">
        <v>91</v>
      </c>
      <c r="H142">
        <v>3</v>
      </c>
      <c r="I142">
        <v>55</v>
      </c>
      <c r="J142">
        <v>1</v>
      </c>
      <c r="K142">
        <v>0</v>
      </c>
    </row>
    <row r="143" spans="1:11" x14ac:dyDescent="0.25">
      <c r="A143">
        <v>43</v>
      </c>
      <c r="B143">
        <v>0</v>
      </c>
      <c r="C143">
        <v>2</v>
      </c>
      <c r="D143">
        <v>0</v>
      </c>
      <c r="E143">
        <v>5</v>
      </c>
      <c r="F143">
        <v>27.641351870000001</v>
      </c>
      <c r="G143">
        <v>7</v>
      </c>
      <c r="H143">
        <v>38</v>
      </c>
      <c r="I143">
        <v>14</v>
      </c>
      <c r="J143">
        <v>2</v>
      </c>
      <c r="K143">
        <v>0</v>
      </c>
    </row>
    <row r="144" spans="1:11" x14ac:dyDescent="0.25">
      <c r="A144">
        <v>50</v>
      </c>
      <c r="B144">
        <v>1</v>
      </c>
      <c r="C144">
        <v>2</v>
      </c>
      <c r="D144">
        <v>9</v>
      </c>
      <c r="E144">
        <v>4</v>
      </c>
      <c r="F144">
        <v>44.033391090000002</v>
      </c>
      <c r="G144">
        <v>87</v>
      </c>
      <c r="H144">
        <v>53</v>
      </c>
      <c r="I144">
        <v>56</v>
      </c>
      <c r="J144">
        <v>2</v>
      </c>
      <c r="K144">
        <v>0</v>
      </c>
    </row>
    <row r="145" spans="1:11" x14ac:dyDescent="0.25">
      <c r="A145">
        <v>30</v>
      </c>
      <c r="B145">
        <v>0</v>
      </c>
      <c r="C145">
        <v>2</v>
      </c>
      <c r="D145">
        <v>1</v>
      </c>
      <c r="E145">
        <v>4</v>
      </c>
      <c r="F145">
        <v>35.74591899</v>
      </c>
      <c r="G145">
        <v>2</v>
      </c>
      <c r="H145">
        <v>89</v>
      </c>
      <c r="I145">
        <v>57</v>
      </c>
      <c r="J145">
        <v>2</v>
      </c>
      <c r="K145">
        <v>0</v>
      </c>
    </row>
    <row r="146" spans="1:11" x14ac:dyDescent="0.25">
      <c r="A146">
        <v>38</v>
      </c>
      <c r="B146">
        <v>0</v>
      </c>
      <c r="C146">
        <v>2</v>
      </c>
      <c r="D146">
        <v>10</v>
      </c>
      <c r="E146">
        <v>5</v>
      </c>
      <c r="F146">
        <v>1.5275561230000001</v>
      </c>
      <c r="G146">
        <v>88</v>
      </c>
      <c r="H146">
        <v>32</v>
      </c>
      <c r="I146">
        <v>34</v>
      </c>
      <c r="J146">
        <v>2</v>
      </c>
      <c r="K146">
        <v>0</v>
      </c>
    </row>
    <row r="147" spans="1:11" x14ac:dyDescent="0.25">
      <c r="A147">
        <v>36</v>
      </c>
      <c r="B147">
        <v>0</v>
      </c>
      <c r="C147">
        <v>2</v>
      </c>
      <c r="D147">
        <v>5</v>
      </c>
      <c r="E147">
        <v>2</v>
      </c>
      <c r="F147">
        <v>20.704507639999999</v>
      </c>
      <c r="G147">
        <v>18</v>
      </c>
      <c r="H147">
        <v>32</v>
      </c>
      <c r="I147">
        <v>87</v>
      </c>
      <c r="J147">
        <v>1</v>
      </c>
      <c r="K147">
        <v>0</v>
      </c>
    </row>
    <row r="148" spans="1:11" x14ac:dyDescent="0.25">
      <c r="A148">
        <v>27</v>
      </c>
      <c r="B148">
        <v>1</v>
      </c>
      <c r="C148">
        <v>3</v>
      </c>
      <c r="D148">
        <v>1</v>
      </c>
      <c r="E148">
        <v>2</v>
      </c>
      <c r="F148">
        <v>43.547594969999999</v>
      </c>
      <c r="G148">
        <v>96</v>
      </c>
      <c r="H148">
        <v>71</v>
      </c>
      <c r="I148">
        <v>96</v>
      </c>
      <c r="J148">
        <v>2</v>
      </c>
      <c r="K148">
        <v>1</v>
      </c>
    </row>
    <row r="149" spans="1:11" x14ac:dyDescent="0.25">
      <c r="A149">
        <v>22</v>
      </c>
      <c r="B149">
        <v>0</v>
      </c>
      <c r="C149">
        <v>1</v>
      </c>
      <c r="D149">
        <v>2</v>
      </c>
      <c r="E149">
        <v>2</v>
      </c>
      <c r="F149">
        <v>18.2929429</v>
      </c>
      <c r="G149">
        <v>65</v>
      </c>
      <c r="H149">
        <v>19</v>
      </c>
      <c r="I149">
        <v>15</v>
      </c>
      <c r="J149">
        <v>2</v>
      </c>
      <c r="K149">
        <v>0</v>
      </c>
    </row>
    <row r="150" spans="1:11" x14ac:dyDescent="0.25">
      <c r="A150">
        <v>22</v>
      </c>
      <c r="B150">
        <v>1</v>
      </c>
      <c r="C150">
        <v>2</v>
      </c>
      <c r="D150">
        <v>3</v>
      </c>
      <c r="E150">
        <v>1</v>
      </c>
      <c r="F150">
        <v>2.760758676</v>
      </c>
      <c r="G150">
        <v>78</v>
      </c>
      <c r="H150">
        <v>15</v>
      </c>
      <c r="I150">
        <v>7</v>
      </c>
      <c r="J150">
        <v>1</v>
      </c>
      <c r="K150">
        <v>0</v>
      </c>
    </row>
    <row r="151" spans="1:11" x14ac:dyDescent="0.25">
      <c r="A151">
        <v>20</v>
      </c>
      <c r="B151">
        <v>0</v>
      </c>
      <c r="C151">
        <v>3</v>
      </c>
      <c r="D151">
        <v>10</v>
      </c>
      <c r="E151">
        <v>5</v>
      </c>
      <c r="F151">
        <v>38.308981930000002</v>
      </c>
      <c r="G151">
        <v>85</v>
      </c>
      <c r="H151">
        <v>20</v>
      </c>
      <c r="I151">
        <v>92</v>
      </c>
      <c r="J151">
        <v>3</v>
      </c>
      <c r="K151">
        <v>1</v>
      </c>
    </row>
    <row r="152" spans="1:11" x14ac:dyDescent="0.25">
      <c r="A152">
        <v>46</v>
      </c>
      <c r="B152">
        <v>0</v>
      </c>
      <c r="C152">
        <v>2</v>
      </c>
      <c r="D152">
        <v>4</v>
      </c>
      <c r="E152">
        <v>2</v>
      </c>
      <c r="F152">
        <v>41.101913510000003</v>
      </c>
      <c r="G152">
        <v>73</v>
      </c>
      <c r="H152">
        <v>44</v>
      </c>
      <c r="I152">
        <v>86</v>
      </c>
      <c r="J152">
        <v>2</v>
      </c>
      <c r="K152">
        <v>0</v>
      </c>
    </row>
    <row r="153" spans="1:11" x14ac:dyDescent="0.25">
      <c r="A153">
        <v>24</v>
      </c>
      <c r="B153">
        <v>0</v>
      </c>
      <c r="C153">
        <v>1</v>
      </c>
      <c r="D153">
        <v>14</v>
      </c>
      <c r="E153">
        <v>4</v>
      </c>
      <c r="F153">
        <v>9.0296847519999996</v>
      </c>
      <c r="G153">
        <v>81</v>
      </c>
      <c r="H153">
        <v>89</v>
      </c>
      <c r="I153">
        <v>44</v>
      </c>
      <c r="J153">
        <v>2</v>
      </c>
      <c r="K153">
        <v>0</v>
      </c>
    </row>
    <row r="154" spans="1:11" x14ac:dyDescent="0.25">
      <c r="A154">
        <v>29</v>
      </c>
      <c r="B154">
        <v>1</v>
      </c>
      <c r="C154">
        <v>1</v>
      </c>
      <c r="D154">
        <v>8</v>
      </c>
      <c r="E154">
        <v>3</v>
      </c>
      <c r="F154">
        <v>27.867024839999999</v>
      </c>
      <c r="G154">
        <v>21</v>
      </c>
      <c r="H154">
        <v>86</v>
      </c>
      <c r="I154">
        <v>94</v>
      </c>
      <c r="J154">
        <v>1</v>
      </c>
      <c r="K154">
        <v>1</v>
      </c>
    </row>
    <row r="155" spans="1:11" x14ac:dyDescent="0.25">
      <c r="A155">
        <v>26</v>
      </c>
      <c r="B155">
        <v>0</v>
      </c>
      <c r="C155">
        <v>2</v>
      </c>
      <c r="D155">
        <v>11</v>
      </c>
      <c r="E155">
        <v>3</v>
      </c>
      <c r="F155">
        <v>10.59777195</v>
      </c>
      <c r="G155">
        <v>45</v>
      </c>
      <c r="H155">
        <v>81</v>
      </c>
      <c r="I155">
        <v>39</v>
      </c>
      <c r="J155">
        <v>1</v>
      </c>
      <c r="K155">
        <v>1</v>
      </c>
    </row>
    <row r="156" spans="1:11" x14ac:dyDescent="0.25">
      <c r="A156">
        <v>45</v>
      </c>
      <c r="B156">
        <v>1</v>
      </c>
      <c r="C156">
        <v>4</v>
      </c>
      <c r="D156">
        <v>14</v>
      </c>
      <c r="E156">
        <v>2</v>
      </c>
      <c r="F156">
        <v>36.96172095</v>
      </c>
      <c r="G156">
        <v>90</v>
      </c>
      <c r="H156">
        <v>61</v>
      </c>
      <c r="I156">
        <v>53</v>
      </c>
      <c r="J156">
        <v>2</v>
      </c>
      <c r="K156">
        <v>1</v>
      </c>
    </row>
    <row r="157" spans="1:11" x14ac:dyDescent="0.25">
      <c r="A157">
        <v>28</v>
      </c>
      <c r="B157">
        <v>1</v>
      </c>
      <c r="C157">
        <v>2</v>
      </c>
      <c r="D157">
        <v>14</v>
      </c>
      <c r="E157">
        <v>3</v>
      </c>
      <c r="F157">
        <v>14.577522760000001</v>
      </c>
      <c r="G157">
        <v>12</v>
      </c>
      <c r="H157">
        <v>30</v>
      </c>
      <c r="I157">
        <v>13</v>
      </c>
      <c r="J157">
        <v>2</v>
      </c>
      <c r="K157">
        <v>0</v>
      </c>
    </row>
    <row r="158" spans="1:11" x14ac:dyDescent="0.25">
      <c r="A158">
        <v>47</v>
      </c>
      <c r="B158">
        <v>1</v>
      </c>
      <c r="C158">
        <v>4</v>
      </c>
      <c r="D158">
        <v>3</v>
      </c>
      <c r="E158">
        <v>3</v>
      </c>
      <c r="F158">
        <v>16.810756130000001</v>
      </c>
      <c r="G158">
        <v>32</v>
      </c>
      <c r="H158">
        <v>41</v>
      </c>
      <c r="I158">
        <v>58</v>
      </c>
      <c r="J158">
        <v>2</v>
      </c>
      <c r="K158">
        <v>0</v>
      </c>
    </row>
    <row r="159" spans="1:11" x14ac:dyDescent="0.25">
      <c r="A159">
        <v>26</v>
      </c>
      <c r="B159">
        <v>0</v>
      </c>
      <c r="C159">
        <v>2</v>
      </c>
      <c r="D159">
        <v>12</v>
      </c>
      <c r="E159">
        <v>1</v>
      </c>
      <c r="F159">
        <v>43.24854268</v>
      </c>
      <c r="G159">
        <v>4</v>
      </c>
      <c r="H159">
        <v>11</v>
      </c>
      <c r="I159">
        <v>93</v>
      </c>
      <c r="J159">
        <v>2</v>
      </c>
      <c r="K159">
        <v>0</v>
      </c>
    </row>
    <row r="160" spans="1:11" x14ac:dyDescent="0.25">
      <c r="A160">
        <v>28</v>
      </c>
      <c r="B160">
        <v>0</v>
      </c>
      <c r="C160">
        <v>2</v>
      </c>
      <c r="D160">
        <v>10</v>
      </c>
      <c r="E160">
        <v>4</v>
      </c>
      <c r="F160">
        <v>24.816117609999999</v>
      </c>
      <c r="G160">
        <v>89</v>
      </c>
      <c r="H160">
        <v>64</v>
      </c>
      <c r="I160">
        <v>52</v>
      </c>
      <c r="J160">
        <v>1</v>
      </c>
      <c r="K160">
        <v>1</v>
      </c>
    </row>
    <row r="161" spans="1:11" x14ac:dyDescent="0.25">
      <c r="A161">
        <v>27</v>
      </c>
      <c r="B161">
        <v>0</v>
      </c>
      <c r="C161">
        <v>2</v>
      </c>
      <c r="D161">
        <v>8</v>
      </c>
      <c r="E161">
        <v>4</v>
      </c>
      <c r="F161">
        <v>34.487722560000002</v>
      </c>
      <c r="G161">
        <v>76</v>
      </c>
      <c r="H161">
        <v>72</v>
      </c>
      <c r="I161">
        <v>26</v>
      </c>
      <c r="J161">
        <v>2</v>
      </c>
      <c r="K161">
        <v>0</v>
      </c>
    </row>
    <row r="162" spans="1:11" x14ac:dyDescent="0.25">
      <c r="A162">
        <v>31</v>
      </c>
      <c r="B162">
        <v>0</v>
      </c>
      <c r="C162">
        <v>2</v>
      </c>
      <c r="D162">
        <v>10</v>
      </c>
      <c r="E162">
        <v>1</v>
      </c>
      <c r="F162">
        <v>21.118652539999999</v>
      </c>
      <c r="G162">
        <v>26</v>
      </c>
      <c r="H162">
        <v>2</v>
      </c>
      <c r="I162">
        <v>46</v>
      </c>
      <c r="J162">
        <v>2</v>
      </c>
      <c r="K162">
        <v>0</v>
      </c>
    </row>
    <row r="163" spans="1:11" x14ac:dyDescent="0.25">
      <c r="A163">
        <v>21</v>
      </c>
      <c r="B163">
        <v>1</v>
      </c>
      <c r="C163">
        <v>1</v>
      </c>
      <c r="D163">
        <v>9</v>
      </c>
      <c r="E163">
        <v>1</v>
      </c>
      <c r="F163">
        <v>15.90034286</v>
      </c>
      <c r="G163">
        <v>77</v>
      </c>
      <c r="H163">
        <v>89</v>
      </c>
      <c r="I163">
        <v>79</v>
      </c>
      <c r="J163">
        <v>2</v>
      </c>
      <c r="K163">
        <v>1</v>
      </c>
    </row>
    <row r="164" spans="1:11" x14ac:dyDescent="0.25">
      <c r="A164">
        <v>20</v>
      </c>
      <c r="B164">
        <v>1</v>
      </c>
      <c r="C164">
        <v>3</v>
      </c>
      <c r="D164">
        <v>2</v>
      </c>
      <c r="E164">
        <v>3</v>
      </c>
      <c r="F164">
        <v>32.273903019999999</v>
      </c>
      <c r="G164">
        <v>23</v>
      </c>
      <c r="H164">
        <v>8</v>
      </c>
      <c r="I164">
        <v>5</v>
      </c>
      <c r="J164">
        <v>1</v>
      </c>
      <c r="K164">
        <v>0</v>
      </c>
    </row>
    <row r="165" spans="1:11" x14ac:dyDescent="0.25">
      <c r="A165">
        <v>35</v>
      </c>
      <c r="B165">
        <v>1</v>
      </c>
      <c r="C165">
        <v>3</v>
      </c>
      <c r="D165">
        <v>7</v>
      </c>
      <c r="E165">
        <v>5</v>
      </c>
      <c r="F165">
        <v>8.7428787040000007</v>
      </c>
      <c r="G165">
        <v>66</v>
      </c>
      <c r="H165">
        <v>50</v>
      </c>
      <c r="I165">
        <v>54</v>
      </c>
      <c r="J165">
        <v>1</v>
      </c>
      <c r="K165">
        <v>1</v>
      </c>
    </row>
    <row r="166" spans="1:11" x14ac:dyDescent="0.25">
      <c r="A166">
        <v>42</v>
      </c>
      <c r="B166">
        <v>0</v>
      </c>
      <c r="C166">
        <v>2</v>
      </c>
      <c r="D166">
        <v>11</v>
      </c>
      <c r="E166">
        <v>3</v>
      </c>
      <c r="F166">
        <v>19.649991780000001</v>
      </c>
      <c r="G166">
        <v>62</v>
      </c>
      <c r="H166">
        <v>15</v>
      </c>
      <c r="I166">
        <v>96</v>
      </c>
      <c r="J166">
        <v>2</v>
      </c>
      <c r="K166">
        <v>0</v>
      </c>
    </row>
    <row r="167" spans="1:11" x14ac:dyDescent="0.25">
      <c r="A167">
        <v>42</v>
      </c>
      <c r="B167">
        <v>1</v>
      </c>
      <c r="C167">
        <v>4</v>
      </c>
      <c r="D167">
        <v>0</v>
      </c>
      <c r="E167">
        <v>1</v>
      </c>
      <c r="F167">
        <v>11.45185187</v>
      </c>
      <c r="G167">
        <v>93</v>
      </c>
      <c r="H167">
        <v>87</v>
      </c>
      <c r="I167">
        <v>43</v>
      </c>
      <c r="J167">
        <v>1</v>
      </c>
      <c r="K167">
        <v>1</v>
      </c>
    </row>
    <row r="168" spans="1:11" x14ac:dyDescent="0.25">
      <c r="A168">
        <v>49</v>
      </c>
      <c r="B168">
        <v>0</v>
      </c>
      <c r="C168">
        <v>3</v>
      </c>
      <c r="D168">
        <v>10</v>
      </c>
      <c r="E168">
        <v>4</v>
      </c>
      <c r="F168">
        <v>35.789748350000004</v>
      </c>
      <c r="G168">
        <v>98</v>
      </c>
      <c r="H168">
        <v>77</v>
      </c>
      <c r="I168">
        <v>17</v>
      </c>
      <c r="J168">
        <v>1</v>
      </c>
      <c r="K168">
        <v>1</v>
      </c>
    </row>
    <row r="169" spans="1:11" x14ac:dyDescent="0.25">
      <c r="A169">
        <v>43</v>
      </c>
      <c r="B169">
        <v>1</v>
      </c>
      <c r="C169">
        <v>2</v>
      </c>
      <c r="D169">
        <v>8</v>
      </c>
      <c r="E169">
        <v>3</v>
      </c>
      <c r="F169">
        <v>48.210441920000001</v>
      </c>
      <c r="G169">
        <v>47</v>
      </c>
      <c r="H169">
        <v>2</v>
      </c>
      <c r="I169">
        <v>15</v>
      </c>
      <c r="J169">
        <v>1</v>
      </c>
      <c r="K169">
        <v>0</v>
      </c>
    </row>
    <row r="170" spans="1:11" x14ac:dyDescent="0.25">
      <c r="A170">
        <v>24</v>
      </c>
      <c r="B170">
        <v>0</v>
      </c>
      <c r="C170">
        <v>1</v>
      </c>
      <c r="D170">
        <v>8</v>
      </c>
      <c r="E170">
        <v>5</v>
      </c>
      <c r="F170">
        <v>50.775548399999998</v>
      </c>
      <c r="G170">
        <v>62</v>
      </c>
      <c r="H170">
        <v>97</v>
      </c>
      <c r="I170">
        <v>11</v>
      </c>
      <c r="J170">
        <v>2</v>
      </c>
      <c r="K170">
        <v>0</v>
      </c>
    </row>
    <row r="171" spans="1:11" x14ac:dyDescent="0.25">
      <c r="A171">
        <v>22</v>
      </c>
      <c r="B171">
        <v>0</v>
      </c>
      <c r="C171">
        <v>2</v>
      </c>
      <c r="D171">
        <v>9</v>
      </c>
      <c r="E171">
        <v>3</v>
      </c>
      <c r="F171">
        <v>23.513840519999999</v>
      </c>
      <c r="G171">
        <v>77</v>
      </c>
      <c r="H171">
        <v>96</v>
      </c>
      <c r="I171">
        <v>19</v>
      </c>
      <c r="J171">
        <v>2</v>
      </c>
      <c r="K171">
        <v>0</v>
      </c>
    </row>
    <row r="172" spans="1:11" x14ac:dyDescent="0.25">
      <c r="A172">
        <v>31</v>
      </c>
      <c r="B172">
        <v>1</v>
      </c>
      <c r="C172">
        <v>2</v>
      </c>
      <c r="D172">
        <v>1</v>
      </c>
      <c r="E172">
        <v>2</v>
      </c>
      <c r="F172">
        <v>13.626519480000001</v>
      </c>
      <c r="G172">
        <v>11</v>
      </c>
      <c r="H172">
        <v>23</v>
      </c>
      <c r="I172">
        <v>44</v>
      </c>
      <c r="J172">
        <v>2</v>
      </c>
      <c r="K172">
        <v>0</v>
      </c>
    </row>
    <row r="173" spans="1:11" x14ac:dyDescent="0.25">
      <c r="A173">
        <v>27</v>
      </c>
      <c r="B173">
        <v>1</v>
      </c>
      <c r="C173">
        <v>2</v>
      </c>
      <c r="D173">
        <v>3</v>
      </c>
      <c r="E173">
        <v>3</v>
      </c>
      <c r="F173">
        <v>23.14146852</v>
      </c>
      <c r="G173">
        <v>27</v>
      </c>
      <c r="H173">
        <v>72</v>
      </c>
      <c r="I173">
        <v>63</v>
      </c>
      <c r="J173">
        <v>1</v>
      </c>
      <c r="K173">
        <v>1</v>
      </c>
    </row>
    <row r="174" spans="1:11" x14ac:dyDescent="0.25">
      <c r="A174">
        <v>41</v>
      </c>
      <c r="B174">
        <v>1</v>
      </c>
      <c r="C174">
        <v>1</v>
      </c>
      <c r="D174">
        <v>12</v>
      </c>
      <c r="E174">
        <v>1</v>
      </c>
      <c r="F174">
        <v>43.363470499999998</v>
      </c>
      <c r="G174">
        <v>43</v>
      </c>
      <c r="H174">
        <v>12</v>
      </c>
      <c r="I174">
        <v>58</v>
      </c>
      <c r="J174">
        <v>2</v>
      </c>
      <c r="K174">
        <v>0</v>
      </c>
    </row>
    <row r="175" spans="1:11" x14ac:dyDescent="0.25">
      <c r="A175">
        <v>46</v>
      </c>
      <c r="B175">
        <v>1</v>
      </c>
      <c r="C175">
        <v>3</v>
      </c>
      <c r="D175">
        <v>7</v>
      </c>
      <c r="E175">
        <v>4</v>
      </c>
      <c r="F175">
        <v>11.300283930000001</v>
      </c>
      <c r="G175">
        <v>92</v>
      </c>
      <c r="H175">
        <v>1</v>
      </c>
      <c r="I175">
        <v>92</v>
      </c>
      <c r="J175">
        <v>1</v>
      </c>
      <c r="K175">
        <v>1</v>
      </c>
    </row>
    <row r="176" spans="1:11" x14ac:dyDescent="0.25">
      <c r="A176">
        <v>22</v>
      </c>
      <c r="B176">
        <v>0</v>
      </c>
      <c r="C176">
        <v>1</v>
      </c>
      <c r="D176">
        <v>6</v>
      </c>
      <c r="E176">
        <v>4</v>
      </c>
      <c r="F176">
        <v>48.604782579999998</v>
      </c>
      <c r="G176">
        <v>42</v>
      </c>
      <c r="H176">
        <v>70</v>
      </c>
      <c r="I176">
        <v>93</v>
      </c>
      <c r="J176">
        <v>3</v>
      </c>
      <c r="K176">
        <v>0</v>
      </c>
    </row>
    <row r="177" spans="1:11" x14ac:dyDescent="0.25">
      <c r="A177">
        <v>20</v>
      </c>
      <c r="B177">
        <v>1</v>
      </c>
      <c r="C177">
        <v>2</v>
      </c>
      <c r="D177">
        <v>0</v>
      </c>
      <c r="E177">
        <v>1</v>
      </c>
      <c r="F177">
        <v>18.093288439999998</v>
      </c>
      <c r="G177">
        <v>16</v>
      </c>
      <c r="H177">
        <v>20</v>
      </c>
      <c r="I177">
        <v>89</v>
      </c>
      <c r="J177">
        <v>2</v>
      </c>
      <c r="K177">
        <v>0</v>
      </c>
    </row>
    <row r="178" spans="1:11" x14ac:dyDescent="0.25">
      <c r="A178">
        <v>22</v>
      </c>
      <c r="B178">
        <v>1</v>
      </c>
      <c r="C178">
        <v>4</v>
      </c>
      <c r="D178">
        <v>4</v>
      </c>
      <c r="E178">
        <v>2</v>
      </c>
      <c r="F178">
        <v>50.290182969999996</v>
      </c>
      <c r="G178">
        <v>39</v>
      </c>
      <c r="H178">
        <v>18</v>
      </c>
      <c r="I178">
        <v>21</v>
      </c>
      <c r="J178">
        <v>2</v>
      </c>
      <c r="K178">
        <v>0</v>
      </c>
    </row>
    <row r="179" spans="1:11" x14ac:dyDescent="0.25">
      <c r="A179">
        <v>24</v>
      </c>
      <c r="B179">
        <v>1</v>
      </c>
      <c r="C179">
        <v>3</v>
      </c>
      <c r="D179">
        <v>6</v>
      </c>
      <c r="E179">
        <v>1</v>
      </c>
      <c r="F179">
        <v>42.930444379999997</v>
      </c>
      <c r="G179">
        <v>48</v>
      </c>
      <c r="H179">
        <v>88</v>
      </c>
      <c r="I179">
        <v>96</v>
      </c>
      <c r="J179">
        <v>1</v>
      </c>
      <c r="K179">
        <v>1</v>
      </c>
    </row>
    <row r="180" spans="1:11" x14ac:dyDescent="0.25">
      <c r="A180">
        <v>34</v>
      </c>
      <c r="B180">
        <v>0</v>
      </c>
      <c r="C180">
        <v>2</v>
      </c>
      <c r="D180">
        <v>14</v>
      </c>
      <c r="E180">
        <v>3</v>
      </c>
      <c r="F180">
        <v>41.42852671</v>
      </c>
      <c r="G180">
        <v>84</v>
      </c>
      <c r="H180">
        <v>46</v>
      </c>
      <c r="I180">
        <v>46</v>
      </c>
      <c r="J180">
        <v>1</v>
      </c>
      <c r="K180">
        <v>1</v>
      </c>
    </row>
    <row r="181" spans="1:11" x14ac:dyDescent="0.25">
      <c r="A181">
        <v>33</v>
      </c>
      <c r="B181">
        <v>0</v>
      </c>
      <c r="C181">
        <v>3</v>
      </c>
      <c r="D181">
        <v>15</v>
      </c>
      <c r="E181">
        <v>1</v>
      </c>
      <c r="F181">
        <v>16.895233690000001</v>
      </c>
      <c r="G181">
        <v>56</v>
      </c>
      <c r="H181">
        <v>21</v>
      </c>
      <c r="I181">
        <v>28</v>
      </c>
      <c r="J181">
        <v>2</v>
      </c>
      <c r="K181">
        <v>0</v>
      </c>
    </row>
    <row r="182" spans="1:11" x14ac:dyDescent="0.25">
      <c r="A182">
        <v>22</v>
      </c>
      <c r="B182">
        <v>1</v>
      </c>
      <c r="C182">
        <v>1</v>
      </c>
      <c r="D182">
        <v>3</v>
      </c>
      <c r="E182">
        <v>1</v>
      </c>
      <c r="F182">
        <v>1.4388605969999999</v>
      </c>
      <c r="G182">
        <v>86</v>
      </c>
      <c r="H182">
        <v>74</v>
      </c>
      <c r="I182">
        <v>85</v>
      </c>
      <c r="J182">
        <v>2</v>
      </c>
      <c r="K182">
        <v>0</v>
      </c>
    </row>
    <row r="183" spans="1:11" x14ac:dyDescent="0.25">
      <c r="A183">
        <v>20</v>
      </c>
      <c r="B183">
        <v>0</v>
      </c>
      <c r="C183">
        <v>1</v>
      </c>
      <c r="D183">
        <v>14</v>
      </c>
      <c r="E183">
        <v>2</v>
      </c>
      <c r="F183">
        <v>20.106645440000001</v>
      </c>
      <c r="G183">
        <v>83</v>
      </c>
      <c r="H183">
        <v>32</v>
      </c>
      <c r="I183">
        <v>44</v>
      </c>
      <c r="J183">
        <v>1</v>
      </c>
      <c r="K183">
        <v>1</v>
      </c>
    </row>
    <row r="184" spans="1:11" x14ac:dyDescent="0.25">
      <c r="A184">
        <v>24</v>
      </c>
      <c r="B184">
        <v>1</v>
      </c>
      <c r="C184">
        <v>2</v>
      </c>
      <c r="D184">
        <v>15</v>
      </c>
      <c r="E184">
        <v>3</v>
      </c>
      <c r="F184">
        <v>16.090468479999998</v>
      </c>
      <c r="G184">
        <v>63</v>
      </c>
      <c r="H184">
        <v>31</v>
      </c>
      <c r="I184">
        <v>76</v>
      </c>
      <c r="J184">
        <v>3</v>
      </c>
      <c r="K184">
        <v>0</v>
      </c>
    </row>
    <row r="185" spans="1:11" x14ac:dyDescent="0.25">
      <c r="A185">
        <v>45</v>
      </c>
      <c r="B185">
        <v>0</v>
      </c>
      <c r="C185">
        <v>2</v>
      </c>
      <c r="D185">
        <v>14</v>
      </c>
      <c r="E185">
        <v>5</v>
      </c>
      <c r="F185">
        <v>2.8698495199999998</v>
      </c>
      <c r="G185">
        <v>74</v>
      </c>
      <c r="H185">
        <v>63</v>
      </c>
      <c r="I185">
        <v>8</v>
      </c>
      <c r="J185">
        <v>3</v>
      </c>
      <c r="K185">
        <v>0</v>
      </c>
    </row>
    <row r="186" spans="1:11" x14ac:dyDescent="0.25">
      <c r="A186">
        <v>42</v>
      </c>
      <c r="B186">
        <v>0</v>
      </c>
      <c r="C186">
        <v>2</v>
      </c>
      <c r="D186">
        <v>0</v>
      </c>
      <c r="E186">
        <v>5</v>
      </c>
      <c r="F186">
        <v>26.268262830000001</v>
      </c>
      <c r="G186">
        <v>56</v>
      </c>
      <c r="H186">
        <v>84</v>
      </c>
      <c r="I186">
        <v>23</v>
      </c>
      <c r="J186">
        <v>2</v>
      </c>
      <c r="K186">
        <v>0</v>
      </c>
    </row>
    <row r="187" spans="1:11" x14ac:dyDescent="0.25">
      <c r="A187">
        <v>50</v>
      </c>
      <c r="B187">
        <v>0</v>
      </c>
      <c r="C187">
        <v>2</v>
      </c>
      <c r="D187">
        <v>8</v>
      </c>
      <c r="E187">
        <v>4</v>
      </c>
      <c r="F187">
        <v>21.151565560000002</v>
      </c>
      <c r="G187">
        <v>97</v>
      </c>
      <c r="H187">
        <v>38</v>
      </c>
      <c r="I187">
        <v>14</v>
      </c>
      <c r="J187">
        <v>3</v>
      </c>
      <c r="K187">
        <v>0</v>
      </c>
    </row>
    <row r="188" spans="1:11" x14ac:dyDescent="0.25">
      <c r="A188">
        <v>33</v>
      </c>
      <c r="B188">
        <v>0</v>
      </c>
      <c r="C188">
        <v>1</v>
      </c>
      <c r="D188">
        <v>13</v>
      </c>
      <c r="E188">
        <v>1</v>
      </c>
      <c r="F188">
        <v>32.727823389999998</v>
      </c>
      <c r="G188">
        <v>73</v>
      </c>
      <c r="H188">
        <v>83</v>
      </c>
      <c r="I188">
        <v>35</v>
      </c>
      <c r="J188">
        <v>1</v>
      </c>
      <c r="K188">
        <v>1</v>
      </c>
    </row>
    <row r="189" spans="1:11" x14ac:dyDescent="0.25">
      <c r="A189">
        <v>26</v>
      </c>
      <c r="B189">
        <v>1</v>
      </c>
      <c r="C189">
        <v>2</v>
      </c>
      <c r="D189">
        <v>4</v>
      </c>
      <c r="E189">
        <v>4</v>
      </c>
      <c r="F189">
        <v>32.059316109999997</v>
      </c>
      <c r="G189">
        <v>73</v>
      </c>
      <c r="H189">
        <v>71</v>
      </c>
      <c r="I189">
        <v>12</v>
      </c>
      <c r="J189">
        <v>1</v>
      </c>
      <c r="K189">
        <v>1</v>
      </c>
    </row>
    <row r="190" spans="1:11" x14ac:dyDescent="0.25">
      <c r="A190">
        <v>46</v>
      </c>
      <c r="B190">
        <v>1</v>
      </c>
      <c r="C190">
        <v>2</v>
      </c>
      <c r="D190">
        <v>10</v>
      </c>
      <c r="E190">
        <v>2</v>
      </c>
      <c r="F190">
        <v>7.0373317950000001</v>
      </c>
      <c r="G190">
        <v>69</v>
      </c>
      <c r="H190">
        <v>41</v>
      </c>
      <c r="I190">
        <v>90</v>
      </c>
      <c r="J190">
        <v>1</v>
      </c>
      <c r="K190">
        <v>1</v>
      </c>
    </row>
    <row r="191" spans="1:11" x14ac:dyDescent="0.25">
      <c r="A191">
        <v>28</v>
      </c>
      <c r="B191">
        <v>1</v>
      </c>
      <c r="C191">
        <v>3</v>
      </c>
      <c r="D191">
        <v>15</v>
      </c>
      <c r="E191">
        <v>5</v>
      </c>
      <c r="F191">
        <v>49.84827731</v>
      </c>
      <c r="G191">
        <v>99</v>
      </c>
      <c r="H191">
        <v>100</v>
      </c>
      <c r="I191">
        <v>43</v>
      </c>
      <c r="J191">
        <v>2</v>
      </c>
      <c r="K191">
        <v>1</v>
      </c>
    </row>
    <row r="192" spans="1:11" x14ac:dyDescent="0.25">
      <c r="A192">
        <v>34</v>
      </c>
      <c r="B192">
        <v>0</v>
      </c>
      <c r="C192">
        <v>2</v>
      </c>
      <c r="D192">
        <v>1</v>
      </c>
      <c r="E192">
        <v>1</v>
      </c>
      <c r="F192">
        <v>10.346571470000001</v>
      </c>
      <c r="G192">
        <v>87</v>
      </c>
      <c r="H192">
        <v>8</v>
      </c>
      <c r="I192">
        <v>100</v>
      </c>
      <c r="J192">
        <v>1</v>
      </c>
      <c r="K192">
        <v>1</v>
      </c>
    </row>
    <row r="193" spans="1:11" x14ac:dyDescent="0.25">
      <c r="A193">
        <v>34</v>
      </c>
      <c r="B193">
        <v>1</v>
      </c>
      <c r="C193">
        <v>2</v>
      </c>
      <c r="D193">
        <v>7</v>
      </c>
      <c r="E193">
        <v>2</v>
      </c>
      <c r="F193">
        <v>23.26370124</v>
      </c>
      <c r="G193">
        <v>75</v>
      </c>
      <c r="H193">
        <v>24</v>
      </c>
      <c r="I193">
        <v>70</v>
      </c>
      <c r="J193">
        <v>3</v>
      </c>
      <c r="K193">
        <v>0</v>
      </c>
    </row>
    <row r="194" spans="1:11" x14ac:dyDescent="0.25">
      <c r="A194">
        <v>45</v>
      </c>
      <c r="B194">
        <v>1</v>
      </c>
      <c r="C194">
        <v>2</v>
      </c>
      <c r="D194">
        <v>10</v>
      </c>
      <c r="E194">
        <v>2</v>
      </c>
      <c r="F194">
        <v>25.40587717</v>
      </c>
      <c r="G194">
        <v>42</v>
      </c>
      <c r="H194">
        <v>88</v>
      </c>
      <c r="I194">
        <v>71</v>
      </c>
      <c r="J194">
        <v>1</v>
      </c>
      <c r="K194">
        <v>1</v>
      </c>
    </row>
    <row r="195" spans="1:11" x14ac:dyDescent="0.25">
      <c r="A195">
        <v>29</v>
      </c>
      <c r="B195">
        <v>1</v>
      </c>
      <c r="C195">
        <v>1</v>
      </c>
      <c r="D195">
        <v>12</v>
      </c>
      <c r="E195">
        <v>1</v>
      </c>
      <c r="F195">
        <v>41.653139860000003</v>
      </c>
      <c r="G195">
        <v>22</v>
      </c>
      <c r="H195">
        <v>96</v>
      </c>
      <c r="I195">
        <v>100</v>
      </c>
      <c r="J195">
        <v>2</v>
      </c>
      <c r="K195">
        <v>0</v>
      </c>
    </row>
    <row r="196" spans="1:11" x14ac:dyDescent="0.25">
      <c r="A196">
        <v>47</v>
      </c>
      <c r="B196">
        <v>0</v>
      </c>
      <c r="C196">
        <v>1</v>
      </c>
      <c r="D196">
        <v>1</v>
      </c>
      <c r="E196">
        <v>2</v>
      </c>
      <c r="F196">
        <v>5.9614798049999997</v>
      </c>
      <c r="G196">
        <v>26</v>
      </c>
      <c r="H196">
        <v>1</v>
      </c>
      <c r="I196">
        <v>77</v>
      </c>
      <c r="J196">
        <v>3</v>
      </c>
      <c r="K196">
        <v>0</v>
      </c>
    </row>
    <row r="197" spans="1:11" x14ac:dyDescent="0.25">
      <c r="A197">
        <v>32</v>
      </c>
      <c r="B197">
        <v>0</v>
      </c>
      <c r="C197">
        <v>3</v>
      </c>
      <c r="D197">
        <v>2</v>
      </c>
      <c r="E197">
        <v>1</v>
      </c>
      <c r="F197">
        <v>22.432213959999999</v>
      </c>
      <c r="G197">
        <v>57</v>
      </c>
      <c r="H197">
        <v>18</v>
      </c>
      <c r="I197">
        <v>75</v>
      </c>
      <c r="J197">
        <v>1</v>
      </c>
      <c r="K197">
        <v>1</v>
      </c>
    </row>
    <row r="198" spans="1:11" x14ac:dyDescent="0.25">
      <c r="A198">
        <v>38</v>
      </c>
      <c r="B198">
        <v>0</v>
      </c>
      <c r="C198">
        <v>2</v>
      </c>
      <c r="D198">
        <v>13</v>
      </c>
      <c r="E198">
        <v>1</v>
      </c>
      <c r="F198">
        <v>32.425108510000001</v>
      </c>
      <c r="G198">
        <v>36</v>
      </c>
      <c r="H198">
        <v>19</v>
      </c>
      <c r="I198">
        <v>35</v>
      </c>
      <c r="J198">
        <v>1</v>
      </c>
      <c r="K198">
        <v>0</v>
      </c>
    </row>
    <row r="199" spans="1:11" x14ac:dyDescent="0.25">
      <c r="A199">
        <v>50</v>
      </c>
      <c r="B199">
        <v>1</v>
      </c>
      <c r="C199">
        <v>1</v>
      </c>
      <c r="D199">
        <v>9</v>
      </c>
      <c r="E199">
        <v>3</v>
      </c>
      <c r="F199">
        <v>11.757781080000001</v>
      </c>
      <c r="G199">
        <v>5</v>
      </c>
      <c r="H199">
        <v>92</v>
      </c>
      <c r="I199">
        <v>60</v>
      </c>
      <c r="J199">
        <v>2</v>
      </c>
      <c r="K199">
        <v>0</v>
      </c>
    </row>
    <row r="200" spans="1:11" x14ac:dyDescent="0.25">
      <c r="A200">
        <v>26</v>
      </c>
      <c r="B200">
        <v>1</v>
      </c>
      <c r="C200">
        <v>2</v>
      </c>
      <c r="D200">
        <v>0</v>
      </c>
      <c r="E200">
        <v>4</v>
      </c>
      <c r="F200">
        <v>32.373394939999997</v>
      </c>
      <c r="G200">
        <v>64</v>
      </c>
      <c r="H200">
        <v>69</v>
      </c>
      <c r="I200">
        <v>80</v>
      </c>
      <c r="J200">
        <v>1</v>
      </c>
      <c r="K200">
        <v>1</v>
      </c>
    </row>
    <row r="201" spans="1:11" x14ac:dyDescent="0.25">
      <c r="A201">
        <v>36</v>
      </c>
      <c r="B201">
        <v>1</v>
      </c>
      <c r="C201">
        <v>2</v>
      </c>
      <c r="D201">
        <v>10</v>
      </c>
      <c r="E201">
        <v>2</v>
      </c>
      <c r="F201">
        <v>47.183241879999997</v>
      </c>
      <c r="G201">
        <v>5</v>
      </c>
      <c r="H201">
        <v>16</v>
      </c>
      <c r="I201">
        <v>39</v>
      </c>
      <c r="J201">
        <v>1</v>
      </c>
      <c r="K201">
        <v>0</v>
      </c>
    </row>
    <row r="202" spans="1:11" x14ac:dyDescent="0.25">
      <c r="A202">
        <v>39</v>
      </c>
      <c r="B202">
        <v>0</v>
      </c>
      <c r="C202">
        <v>2</v>
      </c>
      <c r="D202">
        <v>15</v>
      </c>
      <c r="E202">
        <v>2</v>
      </c>
      <c r="F202">
        <v>50.875906559999997</v>
      </c>
      <c r="G202">
        <v>49</v>
      </c>
      <c r="H202">
        <v>88</v>
      </c>
      <c r="I202">
        <v>92</v>
      </c>
      <c r="J202">
        <v>1</v>
      </c>
      <c r="K202">
        <v>1</v>
      </c>
    </row>
    <row r="203" spans="1:11" x14ac:dyDescent="0.25">
      <c r="A203">
        <v>48</v>
      </c>
      <c r="B203">
        <v>0</v>
      </c>
      <c r="C203">
        <v>2</v>
      </c>
      <c r="D203">
        <v>1</v>
      </c>
      <c r="E203">
        <v>3</v>
      </c>
      <c r="F203">
        <v>2.6225538400000001</v>
      </c>
      <c r="G203">
        <v>21</v>
      </c>
      <c r="H203">
        <v>67</v>
      </c>
      <c r="I203">
        <v>26</v>
      </c>
      <c r="J203">
        <v>2</v>
      </c>
      <c r="K203">
        <v>0</v>
      </c>
    </row>
    <row r="204" spans="1:11" x14ac:dyDescent="0.25">
      <c r="A204">
        <v>23</v>
      </c>
      <c r="B204">
        <v>1</v>
      </c>
      <c r="C204">
        <v>2</v>
      </c>
      <c r="D204">
        <v>13</v>
      </c>
      <c r="E204">
        <v>3</v>
      </c>
      <c r="F204">
        <v>12.77941141</v>
      </c>
      <c r="G204">
        <v>87</v>
      </c>
      <c r="H204">
        <v>93</v>
      </c>
      <c r="I204">
        <v>0</v>
      </c>
      <c r="J204">
        <v>3</v>
      </c>
      <c r="K204">
        <v>0</v>
      </c>
    </row>
    <row r="205" spans="1:11" x14ac:dyDescent="0.25">
      <c r="A205">
        <v>49</v>
      </c>
      <c r="B205">
        <v>0</v>
      </c>
      <c r="C205">
        <v>2</v>
      </c>
      <c r="D205">
        <v>15</v>
      </c>
      <c r="E205">
        <v>3</v>
      </c>
      <c r="F205">
        <v>16.515355790000001</v>
      </c>
      <c r="G205">
        <v>24</v>
      </c>
      <c r="H205">
        <v>83</v>
      </c>
      <c r="I205">
        <v>33</v>
      </c>
      <c r="J205">
        <v>3</v>
      </c>
      <c r="K205">
        <v>0</v>
      </c>
    </row>
    <row r="206" spans="1:11" x14ac:dyDescent="0.25">
      <c r="A206">
        <v>24</v>
      </c>
      <c r="B206">
        <v>0</v>
      </c>
      <c r="C206">
        <v>1</v>
      </c>
      <c r="D206">
        <v>6</v>
      </c>
      <c r="E206">
        <v>5</v>
      </c>
      <c r="F206">
        <v>20.956305019999999</v>
      </c>
      <c r="G206">
        <v>78</v>
      </c>
      <c r="H206">
        <v>2</v>
      </c>
      <c r="I206">
        <v>67</v>
      </c>
      <c r="J206">
        <v>1</v>
      </c>
      <c r="K206">
        <v>1</v>
      </c>
    </row>
    <row r="207" spans="1:11" x14ac:dyDescent="0.25">
      <c r="A207">
        <v>42</v>
      </c>
      <c r="B207">
        <v>0</v>
      </c>
      <c r="C207">
        <v>2</v>
      </c>
      <c r="D207">
        <v>9</v>
      </c>
      <c r="E207">
        <v>5</v>
      </c>
      <c r="F207">
        <v>13.11285788</v>
      </c>
      <c r="G207">
        <v>89</v>
      </c>
      <c r="H207">
        <v>86</v>
      </c>
      <c r="I207">
        <v>87</v>
      </c>
      <c r="J207">
        <v>2</v>
      </c>
      <c r="K207">
        <v>1</v>
      </c>
    </row>
    <row r="208" spans="1:11" x14ac:dyDescent="0.25">
      <c r="A208">
        <v>26</v>
      </c>
      <c r="B208">
        <v>0</v>
      </c>
      <c r="C208">
        <v>3</v>
      </c>
      <c r="D208">
        <v>1</v>
      </c>
      <c r="E208">
        <v>5</v>
      </c>
      <c r="F208">
        <v>11.174399729999999</v>
      </c>
      <c r="G208">
        <v>71</v>
      </c>
      <c r="H208">
        <v>50</v>
      </c>
      <c r="I208">
        <v>20</v>
      </c>
      <c r="J208">
        <v>2</v>
      </c>
      <c r="K208">
        <v>0</v>
      </c>
    </row>
    <row r="209" spans="1:11" x14ac:dyDescent="0.25">
      <c r="A209">
        <v>32</v>
      </c>
      <c r="B209">
        <v>1</v>
      </c>
      <c r="C209">
        <v>3</v>
      </c>
      <c r="D209">
        <v>5</v>
      </c>
      <c r="E209">
        <v>1</v>
      </c>
      <c r="F209">
        <v>48.72769212</v>
      </c>
      <c r="G209">
        <v>50</v>
      </c>
      <c r="H209">
        <v>81</v>
      </c>
      <c r="I209">
        <v>32</v>
      </c>
      <c r="J209">
        <v>3</v>
      </c>
      <c r="K209">
        <v>0</v>
      </c>
    </row>
    <row r="210" spans="1:11" x14ac:dyDescent="0.25">
      <c r="A210">
        <v>34</v>
      </c>
      <c r="B210">
        <v>0</v>
      </c>
      <c r="C210">
        <v>3</v>
      </c>
      <c r="D210">
        <v>14</v>
      </c>
      <c r="E210">
        <v>2</v>
      </c>
      <c r="F210">
        <v>46.926080140000003</v>
      </c>
      <c r="G210">
        <v>87</v>
      </c>
      <c r="H210">
        <v>25</v>
      </c>
      <c r="I210">
        <v>6</v>
      </c>
      <c r="J210">
        <v>1</v>
      </c>
      <c r="K210">
        <v>1</v>
      </c>
    </row>
    <row r="211" spans="1:11" x14ac:dyDescent="0.25">
      <c r="A211">
        <v>30</v>
      </c>
      <c r="B211">
        <v>0</v>
      </c>
      <c r="C211">
        <v>2</v>
      </c>
      <c r="D211">
        <v>2</v>
      </c>
      <c r="E211">
        <v>4</v>
      </c>
      <c r="F211">
        <v>3.3496250500000002</v>
      </c>
      <c r="G211">
        <v>47</v>
      </c>
      <c r="H211">
        <v>55</v>
      </c>
      <c r="I211">
        <v>64</v>
      </c>
      <c r="J211">
        <v>2</v>
      </c>
      <c r="K211">
        <v>0</v>
      </c>
    </row>
    <row r="212" spans="1:11" x14ac:dyDescent="0.25">
      <c r="A212">
        <v>48</v>
      </c>
      <c r="B212">
        <v>0</v>
      </c>
      <c r="C212">
        <v>2</v>
      </c>
      <c r="D212">
        <v>3</v>
      </c>
      <c r="E212">
        <v>1</v>
      </c>
      <c r="F212">
        <v>17.940651079999999</v>
      </c>
      <c r="G212">
        <v>69</v>
      </c>
      <c r="H212">
        <v>99</v>
      </c>
      <c r="I212">
        <v>2</v>
      </c>
      <c r="J212">
        <v>2</v>
      </c>
      <c r="K212">
        <v>0</v>
      </c>
    </row>
    <row r="213" spans="1:11" x14ac:dyDescent="0.25">
      <c r="A213">
        <v>23</v>
      </c>
      <c r="B213">
        <v>0</v>
      </c>
      <c r="C213">
        <v>2</v>
      </c>
      <c r="D213">
        <v>10</v>
      </c>
      <c r="E213">
        <v>2</v>
      </c>
      <c r="F213">
        <v>21.257427679999999</v>
      </c>
      <c r="G213">
        <v>98</v>
      </c>
      <c r="H213">
        <v>63</v>
      </c>
      <c r="I213">
        <v>50</v>
      </c>
      <c r="J213">
        <v>3</v>
      </c>
      <c r="K213">
        <v>0</v>
      </c>
    </row>
    <row r="214" spans="1:11" x14ac:dyDescent="0.25">
      <c r="A214">
        <v>32</v>
      </c>
      <c r="B214">
        <v>1</v>
      </c>
      <c r="C214">
        <v>2</v>
      </c>
      <c r="D214">
        <v>14</v>
      </c>
      <c r="E214">
        <v>2</v>
      </c>
      <c r="F214">
        <v>12.95072673</v>
      </c>
      <c r="G214">
        <v>64</v>
      </c>
      <c r="H214">
        <v>7</v>
      </c>
      <c r="I214">
        <v>78</v>
      </c>
      <c r="J214">
        <v>1</v>
      </c>
      <c r="K214">
        <v>1</v>
      </c>
    </row>
    <row r="215" spans="1:11" x14ac:dyDescent="0.25">
      <c r="A215">
        <v>26</v>
      </c>
      <c r="B215">
        <v>1</v>
      </c>
      <c r="C215">
        <v>2</v>
      </c>
      <c r="D215">
        <v>12</v>
      </c>
      <c r="E215">
        <v>3</v>
      </c>
      <c r="F215">
        <v>32.443644849999998</v>
      </c>
      <c r="G215">
        <v>59</v>
      </c>
      <c r="H215">
        <v>80</v>
      </c>
      <c r="I215">
        <v>94</v>
      </c>
      <c r="J215">
        <v>1</v>
      </c>
      <c r="K215">
        <v>1</v>
      </c>
    </row>
    <row r="216" spans="1:11" x14ac:dyDescent="0.25">
      <c r="A216">
        <v>46</v>
      </c>
      <c r="B216">
        <v>0</v>
      </c>
      <c r="C216">
        <v>1</v>
      </c>
      <c r="D216">
        <v>7</v>
      </c>
      <c r="E216">
        <v>3</v>
      </c>
      <c r="F216">
        <v>33.019037330000003</v>
      </c>
      <c r="G216">
        <v>45</v>
      </c>
      <c r="H216">
        <v>94</v>
      </c>
      <c r="I216">
        <v>53</v>
      </c>
      <c r="J216">
        <v>1</v>
      </c>
      <c r="K216">
        <v>1</v>
      </c>
    </row>
    <row r="217" spans="1:11" x14ac:dyDescent="0.25">
      <c r="A217">
        <v>38</v>
      </c>
      <c r="B217">
        <v>0</v>
      </c>
      <c r="C217">
        <v>2</v>
      </c>
      <c r="D217">
        <v>13</v>
      </c>
      <c r="E217">
        <v>1</v>
      </c>
      <c r="F217">
        <v>43.525211419999998</v>
      </c>
      <c r="G217">
        <v>35</v>
      </c>
      <c r="H217">
        <v>36</v>
      </c>
      <c r="I217">
        <v>79</v>
      </c>
      <c r="J217">
        <v>1</v>
      </c>
      <c r="K217">
        <v>1</v>
      </c>
    </row>
    <row r="218" spans="1:11" x14ac:dyDescent="0.25">
      <c r="A218">
        <v>41</v>
      </c>
      <c r="B218">
        <v>0</v>
      </c>
      <c r="C218">
        <v>4</v>
      </c>
      <c r="D218">
        <v>2</v>
      </c>
      <c r="E218">
        <v>3</v>
      </c>
      <c r="F218">
        <v>38.043463420000002</v>
      </c>
      <c r="G218">
        <v>57</v>
      </c>
      <c r="H218">
        <v>96</v>
      </c>
      <c r="I218">
        <v>73</v>
      </c>
      <c r="J218">
        <v>2</v>
      </c>
      <c r="K218">
        <v>0</v>
      </c>
    </row>
    <row r="219" spans="1:11" x14ac:dyDescent="0.25">
      <c r="A219">
        <v>47</v>
      </c>
      <c r="B219">
        <v>0</v>
      </c>
      <c r="C219">
        <v>2</v>
      </c>
      <c r="D219">
        <v>9</v>
      </c>
      <c r="E219">
        <v>2</v>
      </c>
      <c r="F219">
        <v>28.12866635</v>
      </c>
      <c r="G219">
        <v>75</v>
      </c>
      <c r="H219">
        <v>26</v>
      </c>
      <c r="I219">
        <v>92</v>
      </c>
      <c r="J219">
        <v>2</v>
      </c>
      <c r="K219">
        <v>0</v>
      </c>
    </row>
    <row r="220" spans="1:11" x14ac:dyDescent="0.25">
      <c r="A220">
        <v>21</v>
      </c>
      <c r="B220">
        <v>0</v>
      </c>
      <c r="C220">
        <v>1</v>
      </c>
      <c r="D220">
        <v>5</v>
      </c>
      <c r="E220">
        <v>3</v>
      </c>
      <c r="F220">
        <v>33.6793385</v>
      </c>
      <c r="G220">
        <v>37</v>
      </c>
      <c r="H220">
        <v>44</v>
      </c>
      <c r="I220">
        <v>58</v>
      </c>
      <c r="J220">
        <v>2</v>
      </c>
      <c r="K220">
        <v>0</v>
      </c>
    </row>
    <row r="221" spans="1:11" x14ac:dyDescent="0.25">
      <c r="A221">
        <v>29</v>
      </c>
      <c r="B221">
        <v>0</v>
      </c>
      <c r="C221">
        <v>2</v>
      </c>
      <c r="D221">
        <v>0</v>
      </c>
      <c r="E221">
        <v>5</v>
      </c>
      <c r="F221">
        <v>14.699439079999999</v>
      </c>
      <c r="G221">
        <v>10</v>
      </c>
      <c r="H221">
        <v>3</v>
      </c>
      <c r="I221">
        <v>5</v>
      </c>
      <c r="J221">
        <v>1</v>
      </c>
      <c r="K221">
        <v>0</v>
      </c>
    </row>
    <row r="222" spans="1:11" x14ac:dyDescent="0.25">
      <c r="A222">
        <v>32</v>
      </c>
      <c r="B222">
        <v>1</v>
      </c>
      <c r="C222">
        <v>3</v>
      </c>
      <c r="D222">
        <v>6</v>
      </c>
      <c r="E222">
        <v>3</v>
      </c>
      <c r="F222">
        <v>30.6528095</v>
      </c>
      <c r="G222">
        <v>11</v>
      </c>
      <c r="H222">
        <v>85</v>
      </c>
      <c r="I222">
        <v>28</v>
      </c>
      <c r="J222">
        <v>1</v>
      </c>
      <c r="K222">
        <v>1</v>
      </c>
    </row>
    <row r="223" spans="1:11" x14ac:dyDescent="0.25">
      <c r="A223">
        <v>49</v>
      </c>
      <c r="B223">
        <v>0</v>
      </c>
      <c r="C223">
        <v>2</v>
      </c>
      <c r="D223">
        <v>7</v>
      </c>
      <c r="E223">
        <v>2</v>
      </c>
      <c r="F223">
        <v>25.461362739999998</v>
      </c>
      <c r="G223">
        <v>41</v>
      </c>
      <c r="H223">
        <v>89</v>
      </c>
      <c r="I223">
        <v>16</v>
      </c>
      <c r="J223">
        <v>1</v>
      </c>
      <c r="K223">
        <v>1</v>
      </c>
    </row>
    <row r="224" spans="1:11" x14ac:dyDescent="0.25">
      <c r="A224">
        <v>44</v>
      </c>
      <c r="B224">
        <v>1</v>
      </c>
      <c r="C224">
        <v>2</v>
      </c>
      <c r="D224">
        <v>10</v>
      </c>
      <c r="E224">
        <v>1</v>
      </c>
      <c r="F224">
        <v>7.667223366</v>
      </c>
      <c r="G224">
        <v>38</v>
      </c>
      <c r="H224">
        <v>95</v>
      </c>
      <c r="I224">
        <v>59</v>
      </c>
      <c r="J224">
        <v>1</v>
      </c>
      <c r="K224">
        <v>1</v>
      </c>
    </row>
    <row r="225" spans="1:11" x14ac:dyDescent="0.25">
      <c r="A225">
        <v>40</v>
      </c>
      <c r="B225">
        <v>1</v>
      </c>
      <c r="C225">
        <v>1</v>
      </c>
      <c r="D225">
        <v>13</v>
      </c>
      <c r="E225">
        <v>4</v>
      </c>
      <c r="F225">
        <v>13.127213830000001</v>
      </c>
      <c r="G225">
        <v>70</v>
      </c>
      <c r="H225">
        <v>87</v>
      </c>
      <c r="I225">
        <v>21</v>
      </c>
      <c r="J225">
        <v>2</v>
      </c>
      <c r="K225">
        <v>0</v>
      </c>
    </row>
    <row r="226" spans="1:11" x14ac:dyDescent="0.25">
      <c r="A226">
        <v>25</v>
      </c>
      <c r="B226">
        <v>0</v>
      </c>
      <c r="C226">
        <v>2</v>
      </c>
      <c r="D226">
        <v>7</v>
      </c>
      <c r="E226">
        <v>3</v>
      </c>
      <c r="F226">
        <v>15.58467254</v>
      </c>
      <c r="G226">
        <v>10</v>
      </c>
      <c r="H226">
        <v>98</v>
      </c>
      <c r="I226">
        <v>23</v>
      </c>
      <c r="J226">
        <v>1</v>
      </c>
      <c r="K226">
        <v>1</v>
      </c>
    </row>
    <row r="227" spans="1:11" x14ac:dyDescent="0.25">
      <c r="A227">
        <v>47</v>
      </c>
      <c r="B227">
        <v>1</v>
      </c>
      <c r="C227">
        <v>2</v>
      </c>
      <c r="D227">
        <v>2</v>
      </c>
      <c r="E227">
        <v>2</v>
      </c>
      <c r="F227">
        <v>47.215478349999998</v>
      </c>
      <c r="G227">
        <v>35</v>
      </c>
      <c r="H227">
        <v>36</v>
      </c>
      <c r="I227">
        <v>80</v>
      </c>
      <c r="J227">
        <v>1</v>
      </c>
      <c r="K227">
        <v>0</v>
      </c>
    </row>
    <row r="228" spans="1:11" x14ac:dyDescent="0.25">
      <c r="A228">
        <v>47</v>
      </c>
      <c r="B228">
        <v>1</v>
      </c>
      <c r="C228">
        <v>3</v>
      </c>
      <c r="D228">
        <v>13</v>
      </c>
      <c r="E228">
        <v>4</v>
      </c>
      <c r="F228">
        <v>12.51933197</v>
      </c>
      <c r="G228">
        <v>51</v>
      </c>
      <c r="H228">
        <v>95</v>
      </c>
      <c r="I228">
        <v>84</v>
      </c>
      <c r="J228">
        <v>2</v>
      </c>
      <c r="K228">
        <v>1</v>
      </c>
    </row>
    <row r="229" spans="1:11" x14ac:dyDescent="0.25">
      <c r="A229">
        <v>31</v>
      </c>
      <c r="B229">
        <v>1</v>
      </c>
      <c r="C229">
        <v>2</v>
      </c>
      <c r="D229">
        <v>9</v>
      </c>
      <c r="E229">
        <v>4</v>
      </c>
      <c r="F229">
        <v>15.46219514</v>
      </c>
      <c r="G229">
        <v>30</v>
      </c>
      <c r="H229">
        <v>70</v>
      </c>
      <c r="I229">
        <v>50</v>
      </c>
      <c r="J229">
        <v>2</v>
      </c>
      <c r="K229">
        <v>0</v>
      </c>
    </row>
    <row r="230" spans="1:11" x14ac:dyDescent="0.25">
      <c r="A230">
        <v>31</v>
      </c>
      <c r="B230">
        <v>1</v>
      </c>
      <c r="C230">
        <v>1</v>
      </c>
      <c r="D230">
        <v>0</v>
      </c>
      <c r="E230">
        <v>5</v>
      </c>
      <c r="F230">
        <v>19.467706499999998</v>
      </c>
      <c r="G230">
        <v>32</v>
      </c>
      <c r="H230">
        <v>32</v>
      </c>
      <c r="I230">
        <v>49</v>
      </c>
      <c r="J230">
        <v>2</v>
      </c>
      <c r="K230">
        <v>0</v>
      </c>
    </row>
    <row r="231" spans="1:11" x14ac:dyDescent="0.25">
      <c r="A231">
        <v>39</v>
      </c>
      <c r="B231">
        <v>1</v>
      </c>
      <c r="C231">
        <v>1</v>
      </c>
      <c r="D231">
        <v>8</v>
      </c>
      <c r="E231">
        <v>4</v>
      </c>
      <c r="F231">
        <v>34.187136930000001</v>
      </c>
      <c r="G231">
        <v>12</v>
      </c>
      <c r="H231">
        <v>30</v>
      </c>
      <c r="I231">
        <v>10</v>
      </c>
      <c r="J231">
        <v>3</v>
      </c>
      <c r="K231">
        <v>0</v>
      </c>
    </row>
    <row r="232" spans="1:11" x14ac:dyDescent="0.25">
      <c r="A232">
        <v>49</v>
      </c>
      <c r="B232">
        <v>1</v>
      </c>
      <c r="C232">
        <v>1</v>
      </c>
      <c r="D232">
        <v>12</v>
      </c>
      <c r="E232">
        <v>2</v>
      </c>
      <c r="F232">
        <v>6.9119196240000003</v>
      </c>
      <c r="G232">
        <v>17</v>
      </c>
      <c r="H232">
        <v>54</v>
      </c>
      <c r="I232">
        <v>55</v>
      </c>
      <c r="J232">
        <v>1</v>
      </c>
      <c r="K232">
        <v>1</v>
      </c>
    </row>
    <row r="233" spans="1:11" x14ac:dyDescent="0.25">
      <c r="A233">
        <v>49</v>
      </c>
      <c r="B233">
        <v>0</v>
      </c>
      <c r="C233">
        <v>2</v>
      </c>
      <c r="D233">
        <v>5</v>
      </c>
      <c r="E233">
        <v>2</v>
      </c>
      <c r="F233">
        <v>48.697260620000002</v>
      </c>
      <c r="G233">
        <v>40</v>
      </c>
      <c r="H233">
        <v>11</v>
      </c>
      <c r="I233">
        <v>70</v>
      </c>
      <c r="J233">
        <v>2</v>
      </c>
      <c r="K233">
        <v>0</v>
      </c>
    </row>
    <row r="234" spans="1:11" x14ac:dyDescent="0.25">
      <c r="A234">
        <v>30</v>
      </c>
      <c r="B234">
        <v>1</v>
      </c>
      <c r="C234">
        <v>2</v>
      </c>
      <c r="D234">
        <v>10</v>
      </c>
      <c r="E234">
        <v>3</v>
      </c>
      <c r="F234">
        <v>44.278561000000003</v>
      </c>
      <c r="G234">
        <v>57</v>
      </c>
      <c r="H234">
        <v>10</v>
      </c>
      <c r="I234">
        <v>41</v>
      </c>
      <c r="J234">
        <v>2</v>
      </c>
      <c r="K234">
        <v>0</v>
      </c>
    </row>
    <row r="235" spans="1:11" x14ac:dyDescent="0.25">
      <c r="A235">
        <v>45</v>
      </c>
      <c r="B235">
        <v>1</v>
      </c>
      <c r="C235">
        <v>2</v>
      </c>
      <c r="D235">
        <v>8</v>
      </c>
      <c r="E235">
        <v>3</v>
      </c>
      <c r="F235">
        <v>29.860803650000001</v>
      </c>
      <c r="G235">
        <v>55</v>
      </c>
      <c r="H235">
        <v>87</v>
      </c>
      <c r="I235">
        <v>38</v>
      </c>
      <c r="J235">
        <v>2</v>
      </c>
      <c r="K235">
        <v>0</v>
      </c>
    </row>
    <row r="236" spans="1:11" x14ac:dyDescent="0.25">
      <c r="A236">
        <v>42</v>
      </c>
      <c r="B236">
        <v>1</v>
      </c>
      <c r="C236">
        <v>2</v>
      </c>
      <c r="D236">
        <v>6</v>
      </c>
      <c r="E236">
        <v>3</v>
      </c>
      <c r="F236">
        <v>34.701893370000001</v>
      </c>
      <c r="G236">
        <v>23</v>
      </c>
      <c r="H236">
        <v>71</v>
      </c>
      <c r="I236">
        <v>68</v>
      </c>
      <c r="J236">
        <v>3</v>
      </c>
      <c r="K236">
        <v>0</v>
      </c>
    </row>
    <row r="237" spans="1:11" x14ac:dyDescent="0.25">
      <c r="A237">
        <v>47</v>
      </c>
      <c r="B237">
        <v>0</v>
      </c>
      <c r="C237">
        <v>2</v>
      </c>
      <c r="D237">
        <v>0</v>
      </c>
      <c r="E237">
        <v>4</v>
      </c>
      <c r="F237">
        <v>1.8330235619999999</v>
      </c>
      <c r="G237">
        <v>72</v>
      </c>
      <c r="H237">
        <v>31</v>
      </c>
      <c r="I237">
        <v>47</v>
      </c>
      <c r="J237">
        <v>1</v>
      </c>
      <c r="K237">
        <v>0</v>
      </c>
    </row>
    <row r="238" spans="1:11" x14ac:dyDescent="0.25">
      <c r="A238">
        <v>44</v>
      </c>
      <c r="B238">
        <v>1</v>
      </c>
      <c r="C238">
        <v>1</v>
      </c>
      <c r="D238">
        <v>11</v>
      </c>
      <c r="E238">
        <v>4</v>
      </c>
      <c r="F238">
        <v>17.947238769999998</v>
      </c>
      <c r="G238">
        <v>30</v>
      </c>
      <c r="H238">
        <v>56</v>
      </c>
      <c r="I238">
        <v>56</v>
      </c>
      <c r="J238">
        <v>2</v>
      </c>
      <c r="K238">
        <v>0</v>
      </c>
    </row>
    <row r="239" spans="1:11" x14ac:dyDescent="0.25">
      <c r="A239">
        <v>26</v>
      </c>
      <c r="B239">
        <v>0</v>
      </c>
      <c r="C239">
        <v>1</v>
      </c>
      <c r="D239">
        <v>11</v>
      </c>
      <c r="E239">
        <v>5</v>
      </c>
      <c r="F239">
        <v>40.783011530000003</v>
      </c>
      <c r="G239">
        <v>54</v>
      </c>
      <c r="H239">
        <v>37</v>
      </c>
      <c r="I239">
        <v>20</v>
      </c>
      <c r="J239">
        <v>1</v>
      </c>
      <c r="K239">
        <v>0</v>
      </c>
    </row>
    <row r="240" spans="1:11" x14ac:dyDescent="0.25">
      <c r="A240">
        <v>49</v>
      </c>
      <c r="B240">
        <v>1</v>
      </c>
      <c r="C240">
        <v>3</v>
      </c>
      <c r="D240">
        <v>0</v>
      </c>
      <c r="E240">
        <v>3</v>
      </c>
      <c r="F240">
        <v>4.8741486900000002</v>
      </c>
      <c r="G240">
        <v>9</v>
      </c>
      <c r="H240">
        <v>59</v>
      </c>
      <c r="I240">
        <v>81</v>
      </c>
      <c r="J240">
        <v>2</v>
      </c>
      <c r="K240">
        <v>0</v>
      </c>
    </row>
    <row r="241" spans="1:11" x14ac:dyDescent="0.25">
      <c r="A241">
        <v>20</v>
      </c>
      <c r="B241">
        <v>0</v>
      </c>
      <c r="C241">
        <v>2</v>
      </c>
      <c r="D241">
        <v>5</v>
      </c>
      <c r="E241">
        <v>1</v>
      </c>
      <c r="F241">
        <v>15.11569171</v>
      </c>
      <c r="G241">
        <v>59</v>
      </c>
      <c r="H241">
        <v>85</v>
      </c>
      <c r="I241">
        <v>98</v>
      </c>
      <c r="J241">
        <v>2</v>
      </c>
      <c r="K241">
        <v>0</v>
      </c>
    </row>
    <row r="242" spans="1:11" x14ac:dyDescent="0.25">
      <c r="A242">
        <v>20</v>
      </c>
      <c r="B242">
        <v>0</v>
      </c>
      <c r="C242">
        <v>2</v>
      </c>
      <c r="D242">
        <v>4</v>
      </c>
      <c r="E242">
        <v>5</v>
      </c>
      <c r="F242">
        <v>30.26484142</v>
      </c>
      <c r="G242">
        <v>1</v>
      </c>
      <c r="H242">
        <v>97</v>
      </c>
      <c r="I242">
        <v>19</v>
      </c>
      <c r="J242">
        <v>3</v>
      </c>
      <c r="K242">
        <v>0</v>
      </c>
    </row>
    <row r="243" spans="1:11" x14ac:dyDescent="0.25">
      <c r="A243">
        <v>44</v>
      </c>
      <c r="B243">
        <v>1</v>
      </c>
      <c r="C243">
        <v>3</v>
      </c>
      <c r="D243">
        <v>8</v>
      </c>
      <c r="E243">
        <v>1</v>
      </c>
      <c r="F243">
        <v>13.820651379999999</v>
      </c>
      <c r="G243">
        <v>14</v>
      </c>
      <c r="H243">
        <v>18</v>
      </c>
      <c r="I243">
        <v>14</v>
      </c>
      <c r="J243">
        <v>3</v>
      </c>
      <c r="K243">
        <v>0</v>
      </c>
    </row>
    <row r="244" spans="1:11" x14ac:dyDescent="0.25">
      <c r="A244">
        <v>46</v>
      </c>
      <c r="B244">
        <v>1</v>
      </c>
      <c r="C244">
        <v>2</v>
      </c>
      <c r="D244">
        <v>1</v>
      </c>
      <c r="E244">
        <v>4</v>
      </c>
      <c r="F244">
        <v>47.698898710000002</v>
      </c>
      <c r="G244">
        <v>2</v>
      </c>
      <c r="H244">
        <v>83</v>
      </c>
      <c r="I244">
        <v>68</v>
      </c>
      <c r="J244">
        <v>2</v>
      </c>
      <c r="K244">
        <v>0</v>
      </c>
    </row>
    <row r="245" spans="1:11" x14ac:dyDescent="0.25">
      <c r="A245">
        <v>49</v>
      </c>
      <c r="B245">
        <v>0</v>
      </c>
      <c r="C245">
        <v>3</v>
      </c>
      <c r="D245">
        <v>7</v>
      </c>
      <c r="E245">
        <v>5</v>
      </c>
      <c r="F245">
        <v>7.5529315400000003</v>
      </c>
      <c r="G245">
        <v>42</v>
      </c>
      <c r="H245">
        <v>55</v>
      </c>
      <c r="I245">
        <v>76</v>
      </c>
      <c r="J245">
        <v>1</v>
      </c>
      <c r="K245">
        <v>1</v>
      </c>
    </row>
    <row r="246" spans="1:11" x14ac:dyDescent="0.25">
      <c r="A246">
        <v>44</v>
      </c>
      <c r="B246">
        <v>1</v>
      </c>
      <c r="C246">
        <v>2</v>
      </c>
      <c r="D246">
        <v>10</v>
      </c>
      <c r="E246">
        <v>5</v>
      </c>
      <c r="F246">
        <v>40.869717899999998</v>
      </c>
      <c r="G246">
        <v>30</v>
      </c>
      <c r="H246">
        <v>13</v>
      </c>
      <c r="I246">
        <v>50</v>
      </c>
      <c r="J246">
        <v>2</v>
      </c>
      <c r="K246">
        <v>0</v>
      </c>
    </row>
    <row r="247" spans="1:11" x14ac:dyDescent="0.25">
      <c r="A247">
        <v>39</v>
      </c>
      <c r="B247">
        <v>0</v>
      </c>
      <c r="C247">
        <v>4</v>
      </c>
      <c r="D247">
        <v>4</v>
      </c>
      <c r="E247">
        <v>2</v>
      </c>
      <c r="F247">
        <v>26.3974346</v>
      </c>
      <c r="G247">
        <v>69</v>
      </c>
      <c r="H247">
        <v>32</v>
      </c>
      <c r="I247">
        <v>75</v>
      </c>
      <c r="J247">
        <v>2</v>
      </c>
      <c r="K247">
        <v>0</v>
      </c>
    </row>
    <row r="248" spans="1:11" x14ac:dyDescent="0.25">
      <c r="A248">
        <v>32</v>
      </c>
      <c r="B248">
        <v>0</v>
      </c>
      <c r="C248">
        <v>1</v>
      </c>
      <c r="D248">
        <v>1</v>
      </c>
      <c r="E248">
        <v>4</v>
      </c>
      <c r="F248">
        <v>38.516538789999998</v>
      </c>
      <c r="G248">
        <v>66</v>
      </c>
      <c r="H248">
        <v>9</v>
      </c>
      <c r="I248">
        <v>61</v>
      </c>
      <c r="J248">
        <v>1</v>
      </c>
      <c r="K248">
        <v>0</v>
      </c>
    </row>
    <row r="249" spans="1:11" x14ac:dyDescent="0.25">
      <c r="A249">
        <v>28</v>
      </c>
      <c r="B249">
        <v>0</v>
      </c>
      <c r="C249">
        <v>1</v>
      </c>
      <c r="D249">
        <v>12</v>
      </c>
      <c r="E249">
        <v>4</v>
      </c>
      <c r="F249">
        <v>16.535766420000002</v>
      </c>
      <c r="G249">
        <v>55</v>
      </c>
      <c r="H249">
        <v>79</v>
      </c>
      <c r="I249">
        <v>84</v>
      </c>
      <c r="J249">
        <v>2</v>
      </c>
      <c r="K249">
        <v>0</v>
      </c>
    </row>
    <row r="250" spans="1:11" x14ac:dyDescent="0.25">
      <c r="A250">
        <v>22</v>
      </c>
      <c r="B250">
        <v>0</v>
      </c>
      <c r="C250">
        <v>2</v>
      </c>
      <c r="D250">
        <v>9</v>
      </c>
      <c r="E250">
        <v>5</v>
      </c>
      <c r="F250">
        <v>26.724480119999999</v>
      </c>
      <c r="G250">
        <v>62</v>
      </c>
      <c r="H250">
        <v>63</v>
      </c>
      <c r="I250">
        <v>36</v>
      </c>
      <c r="J250">
        <v>3</v>
      </c>
      <c r="K250">
        <v>0</v>
      </c>
    </row>
    <row r="251" spans="1:11" x14ac:dyDescent="0.25">
      <c r="A251">
        <v>26</v>
      </c>
      <c r="B251">
        <v>0</v>
      </c>
      <c r="C251">
        <v>4</v>
      </c>
      <c r="D251">
        <v>10</v>
      </c>
      <c r="E251">
        <v>4</v>
      </c>
      <c r="F251">
        <v>43.841767490000002</v>
      </c>
      <c r="G251">
        <v>74</v>
      </c>
      <c r="H251">
        <v>63</v>
      </c>
      <c r="I251">
        <v>5</v>
      </c>
      <c r="J251">
        <v>2</v>
      </c>
      <c r="K251">
        <v>1</v>
      </c>
    </row>
    <row r="252" spans="1:11" x14ac:dyDescent="0.25">
      <c r="A252">
        <v>25</v>
      </c>
      <c r="B252">
        <v>1</v>
      </c>
      <c r="C252">
        <v>3</v>
      </c>
      <c r="D252">
        <v>10</v>
      </c>
      <c r="E252">
        <v>5</v>
      </c>
      <c r="F252">
        <v>24.34390496</v>
      </c>
      <c r="G252">
        <v>14</v>
      </c>
      <c r="H252">
        <v>61</v>
      </c>
      <c r="I252">
        <v>70</v>
      </c>
      <c r="J252">
        <v>2</v>
      </c>
      <c r="K252">
        <v>1</v>
      </c>
    </row>
    <row r="253" spans="1:11" x14ac:dyDescent="0.25">
      <c r="A253">
        <v>27</v>
      </c>
      <c r="B253">
        <v>0</v>
      </c>
      <c r="C253">
        <v>1</v>
      </c>
      <c r="D253">
        <v>11</v>
      </c>
      <c r="E253">
        <v>2</v>
      </c>
      <c r="F253">
        <v>18.985993100000002</v>
      </c>
      <c r="G253">
        <v>91</v>
      </c>
      <c r="H253">
        <v>67</v>
      </c>
      <c r="I253">
        <v>25</v>
      </c>
      <c r="J253">
        <v>3</v>
      </c>
      <c r="K253">
        <v>0</v>
      </c>
    </row>
    <row r="254" spans="1:11" x14ac:dyDescent="0.25">
      <c r="A254">
        <v>46</v>
      </c>
      <c r="B254">
        <v>0</v>
      </c>
      <c r="C254">
        <v>2</v>
      </c>
      <c r="D254">
        <v>5</v>
      </c>
      <c r="E254">
        <v>5</v>
      </c>
      <c r="F254">
        <v>27.807769310000001</v>
      </c>
      <c r="G254">
        <v>9</v>
      </c>
      <c r="H254">
        <v>90</v>
      </c>
      <c r="I254">
        <v>7</v>
      </c>
      <c r="J254">
        <v>1</v>
      </c>
      <c r="K254">
        <v>0</v>
      </c>
    </row>
    <row r="255" spans="1:11" x14ac:dyDescent="0.25">
      <c r="A255">
        <v>28</v>
      </c>
      <c r="B255">
        <v>1</v>
      </c>
      <c r="C255">
        <v>4</v>
      </c>
      <c r="D255">
        <v>9</v>
      </c>
      <c r="E255">
        <v>4</v>
      </c>
      <c r="F255">
        <v>36.868137650000001</v>
      </c>
      <c r="G255">
        <v>37</v>
      </c>
      <c r="H255">
        <v>91</v>
      </c>
      <c r="I255">
        <v>72</v>
      </c>
      <c r="J255">
        <v>1</v>
      </c>
      <c r="K255">
        <v>1</v>
      </c>
    </row>
    <row r="256" spans="1:11" x14ac:dyDescent="0.25">
      <c r="A256">
        <v>49</v>
      </c>
      <c r="B256">
        <v>0</v>
      </c>
      <c r="C256">
        <v>2</v>
      </c>
      <c r="D256">
        <v>7</v>
      </c>
      <c r="E256">
        <v>4</v>
      </c>
      <c r="F256">
        <v>23.178167269999999</v>
      </c>
      <c r="G256">
        <v>46</v>
      </c>
      <c r="H256">
        <v>42</v>
      </c>
      <c r="I256">
        <v>90</v>
      </c>
      <c r="J256">
        <v>2</v>
      </c>
      <c r="K256">
        <v>0</v>
      </c>
    </row>
    <row r="257" spans="1:11" x14ac:dyDescent="0.25">
      <c r="A257">
        <v>24</v>
      </c>
      <c r="B257">
        <v>1</v>
      </c>
      <c r="C257">
        <v>3</v>
      </c>
      <c r="D257">
        <v>3</v>
      </c>
      <c r="E257">
        <v>5</v>
      </c>
      <c r="F257">
        <v>47.943848760000002</v>
      </c>
      <c r="G257">
        <v>56</v>
      </c>
      <c r="H257">
        <v>79</v>
      </c>
      <c r="I257">
        <v>3</v>
      </c>
      <c r="J257">
        <v>2</v>
      </c>
      <c r="K257">
        <v>0</v>
      </c>
    </row>
    <row r="258" spans="1:11" x14ac:dyDescent="0.25">
      <c r="A258">
        <v>20</v>
      </c>
      <c r="B258">
        <v>1</v>
      </c>
      <c r="C258">
        <v>3</v>
      </c>
      <c r="D258">
        <v>1</v>
      </c>
      <c r="E258">
        <v>5</v>
      </c>
      <c r="F258">
        <v>15.747291199999999</v>
      </c>
      <c r="G258">
        <v>49</v>
      </c>
      <c r="H258">
        <v>58</v>
      </c>
      <c r="I258">
        <v>20</v>
      </c>
      <c r="J258">
        <v>2</v>
      </c>
      <c r="K258">
        <v>0</v>
      </c>
    </row>
    <row r="259" spans="1:11" x14ac:dyDescent="0.25">
      <c r="A259">
        <v>38</v>
      </c>
      <c r="B259">
        <v>1</v>
      </c>
      <c r="C259">
        <v>2</v>
      </c>
      <c r="D259">
        <v>11</v>
      </c>
      <c r="E259">
        <v>5</v>
      </c>
      <c r="F259">
        <v>24.773180310000001</v>
      </c>
      <c r="G259">
        <v>70</v>
      </c>
      <c r="H259">
        <v>51</v>
      </c>
      <c r="I259">
        <v>30</v>
      </c>
      <c r="J259">
        <v>1</v>
      </c>
      <c r="K259">
        <v>1</v>
      </c>
    </row>
    <row r="260" spans="1:11" x14ac:dyDescent="0.25">
      <c r="A260">
        <v>29</v>
      </c>
      <c r="B260">
        <v>0</v>
      </c>
      <c r="C260">
        <v>2</v>
      </c>
      <c r="D260">
        <v>10</v>
      </c>
      <c r="E260">
        <v>3</v>
      </c>
      <c r="F260">
        <v>38.846382970000001</v>
      </c>
      <c r="G260">
        <v>14</v>
      </c>
      <c r="H260">
        <v>96</v>
      </c>
      <c r="I260">
        <v>20</v>
      </c>
      <c r="J260">
        <v>1</v>
      </c>
      <c r="K260">
        <v>1</v>
      </c>
    </row>
    <row r="261" spans="1:11" x14ac:dyDescent="0.25">
      <c r="A261">
        <v>31</v>
      </c>
      <c r="B261">
        <v>0</v>
      </c>
      <c r="C261">
        <v>2</v>
      </c>
      <c r="D261">
        <v>4</v>
      </c>
      <c r="E261">
        <v>4</v>
      </c>
      <c r="F261">
        <v>35.456054520000002</v>
      </c>
      <c r="G261">
        <v>17</v>
      </c>
      <c r="H261">
        <v>18</v>
      </c>
      <c r="I261">
        <v>24</v>
      </c>
      <c r="J261">
        <v>1</v>
      </c>
      <c r="K261">
        <v>0</v>
      </c>
    </row>
    <row r="262" spans="1:11" x14ac:dyDescent="0.25">
      <c r="A262">
        <v>43</v>
      </c>
      <c r="B262">
        <v>0</v>
      </c>
      <c r="C262">
        <v>2</v>
      </c>
      <c r="D262">
        <v>14</v>
      </c>
      <c r="E262">
        <v>4</v>
      </c>
      <c r="F262">
        <v>44.18205262</v>
      </c>
      <c r="G262">
        <v>81</v>
      </c>
      <c r="H262">
        <v>20</v>
      </c>
      <c r="I262">
        <v>14</v>
      </c>
      <c r="J262">
        <v>3</v>
      </c>
      <c r="K262">
        <v>0</v>
      </c>
    </row>
    <row r="263" spans="1:11" x14ac:dyDescent="0.25">
      <c r="A263">
        <v>34</v>
      </c>
      <c r="B263">
        <v>1</v>
      </c>
      <c r="C263">
        <v>3</v>
      </c>
      <c r="D263">
        <v>11</v>
      </c>
      <c r="E263">
        <v>3</v>
      </c>
      <c r="F263">
        <v>50.840459029999998</v>
      </c>
      <c r="G263">
        <v>87</v>
      </c>
      <c r="H263">
        <v>21</v>
      </c>
      <c r="I263">
        <v>34</v>
      </c>
      <c r="J263">
        <v>2</v>
      </c>
      <c r="K263">
        <v>0</v>
      </c>
    </row>
    <row r="264" spans="1:11" x14ac:dyDescent="0.25">
      <c r="A264">
        <v>46</v>
      </c>
      <c r="B264">
        <v>0</v>
      </c>
      <c r="C264">
        <v>2</v>
      </c>
      <c r="D264">
        <v>1</v>
      </c>
      <c r="E264">
        <v>5</v>
      </c>
      <c r="F264">
        <v>22.34291644</v>
      </c>
      <c r="G264">
        <v>1</v>
      </c>
      <c r="H264">
        <v>8</v>
      </c>
      <c r="I264">
        <v>48</v>
      </c>
      <c r="J264">
        <v>2</v>
      </c>
      <c r="K264">
        <v>0</v>
      </c>
    </row>
    <row r="265" spans="1:11" x14ac:dyDescent="0.25">
      <c r="A265">
        <v>41</v>
      </c>
      <c r="B265">
        <v>1</v>
      </c>
      <c r="C265">
        <v>3</v>
      </c>
      <c r="D265">
        <v>1</v>
      </c>
      <c r="E265">
        <v>2</v>
      </c>
      <c r="F265">
        <v>6.557543989</v>
      </c>
      <c r="G265">
        <v>83</v>
      </c>
      <c r="H265">
        <v>8</v>
      </c>
      <c r="I265">
        <v>42</v>
      </c>
      <c r="J265">
        <v>1</v>
      </c>
      <c r="K265">
        <v>1</v>
      </c>
    </row>
    <row r="266" spans="1:11" x14ac:dyDescent="0.25">
      <c r="A266">
        <v>43</v>
      </c>
      <c r="B266">
        <v>0</v>
      </c>
      <c r="C266">
        <v>1</v>
      </c>
      <c r="D266">
        <v>14</v>
      </c>
      <c r="E266">
        <v>5</v>
      </c>
      <c r="F266">
        <v>2.5207940400000002</v>
      </c>
      <c r="G266">
        <v>97</v>
      </c>
      <c r="H266">
        <v>72</v>
      </c>
      <c r="I266">
        <v>40</v>
      </c>
      <c r="J266">
        <v>1</v>
      </c>
      <c r="K266">
        <v>1</v>
      </c>
    </row>
    <row r="267" spans="1:11" x14ac:dyDescent="0.25">
      <c r="A267">
        <v>28</v>
      </c>
      <c r="B267">
        <v>1</v>
      </c>
      <c r="C267">
        <v>4</v>
      </c>
      <c r="D267">
        <v>5</v>
      </c>
      <c r="E267">
        <v>5</v>
      </c>
      <c r="F267">
        <v>37.343845309999999</v>
      </c>
      <c r="G267">
        <v>42</v>
      </c>
      <c r="H267">
        <v>26</v>
      </c>
      <c r="I267">
        <v>36</v>
      </c>
      <c r="J267">
        <v>2</v>
      </c>
      <c r="K267">
        <v>0</v>
      </c>
    </row>
    <row r="268" spans="1:11" x14ac:dyDescent="0.25">
      <c r="A268">
        <v>39</v>
      </c>
      <c r="B268">
        <v>0</v>
      </c>
      <c r="C268">
        <v>2</v>
      </c>
      <c r="D268">
        <v>15</v>
      </c>
      <c r="E268">
        <v>3</v>
      </c>
      <c r="F268">
        <v>44.700683570000002</v>
      </c>
      <c r="G268">
        <v>25</v>
      </c>
      <c r="H268">
        <v>16</v>
      </c>
      <c r="I268">
        <v>56</v>
      </c>
      <c r="J268">
        <v>1</v>
      </c>
      <c r="K268">
        <v>0</v>
      </c>
    </row>
    <row r="269" spans="1:11" x14ac:dyDescent="0.25">
      <c r="A269">
        <v>36</v>
      </c>
      <c r="B269">
        <v>0</v>
      </c>
      <c r="C269">
        <v>1</v>
      </c>
      <c r="D269">
        <v>10</v>
      </c>
      <c r="E269">
        <v>4</v>
      </c>
      <c r="F269">
        <v>12.0356293</v>
      </c>
      <c r="G269">
        <v>70</v>
      </c>
      <c r="H269">
        <v>43</v>
      </c>
      <c r="I269">
        <v>41</v>
      </c>
      <c r="J269">
        <v>2</v>
      </c>
      <c r="K269">
        <v>0</v>
      </c>
    </row>
    <row r="270" spans="1:11" x14ac:dyDescent="0.25">
      <c r="A270">
        <v>49</v>
      </c>
      <c r="B270">
        <v>0</v>
      </c>
      <c r="C270">
        <v>1</v>
      </c>
      <c r="D270">
        <v>9</v>
      </c>
      <c r="E270">
        <v>5</v>
      </c>
      <c r="F270">
        <v>8.9224018590000007</v>
      </c>
      <c r="G270">
        <v>37</v>
      </c>
      <c r="H270">
        <v>44</v>
      </c>
      <c r="I270">
        <v>46</v>
      </c>
      <c r="J270">
        <v>2</v>
      </c>
      <c r="K270">
        <v>0</v>
      </c>
    </row>
    <row r="271" spans="1:11" x14ac:dyDescent="0.25">
      <c r="A271">
        <v>36</v>
      </c>
      <c r="B271">
        <v>1</v>
      </c>
      <c r="C271">
        <v>3</v>
      </c>
      <c r="D271">
        <v>8</v>
      </c>
      <c r="E271">
        <v>4</v>
      </c>
      <c r="F271">
        <v>4.110254576</v>
      </c>
      <c r="G271">
        <v>93</v>
      </c>
      <c r="H271">
        <v>7</v>
      </c>
      <c r="I271">
        <v>91</v>
      </c>
      <c r="J271">
        <v>2</v>
      </c>
      <c r="K271">
        <v>1</v>
      </c>
    </row>
    <row r="272" spans="1:11" x14ac:dyDescent="0.25">
      <c r="A272">
        <v>45</v>
      </c>
      <c r="B272">
        <v>1</v>
      </c>
      <c r="C272">
        <v>2</v>
      </c>
      <c r="D272">
        <v>12</v>
      </c>
      <c r="E272">
        <v>1</v>
      </c>
      <c r="F272">
        <v>42.135146089999999</v>
      </c>
      <c r="G272">
        <v>41</v>
      </c>
      <c r="H272">
        <v>79</v>
      </c>
      <c r="I272">
        <v>60</v>
      </c>
      <c r="J272">
        <v>2</v>
      </c>
      <c r="K272">
        <v>0</v>
      </c>
    </row>
    <row r="273" spans="1:11" x14ac:dyDescent="0.25">
      <c r="A273">
        <v>39</v>
      </c>
      <c r="B273">
        <v>0</v>
      </c>
      <c r="C273">
        <v>3</v>
      </c>
      <c r="D273">
        <v>3</v>
      </c>
      <c r="E273">
        <v>4</v>
      </c>
      <c r="F273">
        <v>16.569096989999998</v>
      </c>
      <c r="G273">
        <v>4</v>
      </c>
      <c r="H273">
        <v>17</v>
      </c>
      <c r="I273">
        <v>13</v>
      </c>
      <c r="J273">
        <v>2</v>
      </c>
      <c r="K273">
        <v>0</v>
      </c>
    </row>
    <row r="274" spans="1:11" x14ac:dyDescent="0.25">
      <c r="A274">
        <v>31</v>
      </c>
      <c r="B274">
        <v>0</v>
      </c>
      <c r="C274">
        <v>1</v>
      </c>
      <c r="D274">
        <v>5</v>
      </c>
      <c r="E274">
        <v>2</v>
      </c>
      <c r="F274">
        <v>21.08484464</v>
      </c>
      <c r="G274">
        <v>10</v>
      </c>
      <c r="H274">
        <v>32</v>
      </c>
      <c r="I274">
        <v>67</v>
      </c>
      <c r="J274">
        <v>1</v>
      </c>
      <c r="K274">
        <v>0</v>
      </c>
    </row>
    <row r="275" spans="1:11" x14ac:dyDescent="0.25">
      <c r="A275">
        <v>49</v>
      </c>
      <c r="B275">
        <v>1</v>
      </c>
      <c r="C275">
        <v>1</v>
      </c>
      <c r="D275">
        <v>15</v>
      </c>
      <c r="E275">
        <v>2</v>
      </c>
      <c r="F275">
        <v>26.13750958</v>
      </c>
      <c r="G275">
        <v>64</v>
      </c>
      <c r="H275">
        <v>0</v>
      </c>
      <c r="I275">
        <v>52</v>
      </c>
      <c r="J275">
        <v>2</v>
      </c>
      <c r="K275">
        <v>0</v>
      </c>
    </row>
    <row r="276" spans="1:11" x14ac:dyDescent="0.25">
      <c r="A276">
        <v>26</v>
      </c>
      <c r="B276">
        <v>1</v>
      </c>
      <c r="C276">
        <v>2</v>
      </c>
      <c r="D276">
        <v>6</v>
      </c>
      <c r="E276">
        <v>5</v>
      </c>
      <c r="F276">
        <v>42.972661709999997</v>
      </c>
      <c r="G276">
        <v>33</v>
      </c>
      <c r="H276">
        <v>75</v>
      </c>
      <c r="I276">
        <v>83</v>
      </c>
      <c r="J276">
        <v>2</v>
      </c>
      <c r="K276">
        <v>0</v>
      </c>
    </row>
    <row r="277" spans="1:11" x14ac:dyDescent="0.25">
      <c r="A277">
        <v>21</v>
      </c>
      <c r="B277">
        <v>1</v>
      </c>
      <c r="C277">
        <v>2</v>
      </c>
      <c r="D277">
        <v>12</v>
      </c>
      <c r="E277">
        <v>4</v>
      </c>
      <c r="F277">
        <v>33.541661079999997</v>
      </c>
      <c r="G277">
        <v>0</v>
      </c>
      <c r="H277">
        <v>5</v>
      </c>
      <c r="I277">
        <v>33</v>
      </c>
      <c r="J277">
        <v>1</v>
      </c>
      <c r="K277">
        <v>0</v>
      </c>
    </row>
    <row r="278" spans="1:11" x14ac:dyDescent="0.25">
      <c r="A278">
        <v>22</v>
      </c>
      <c r="B278">
        <v>0</v>
      </c>
      <c r="C278">
        <v>2</v>
      </c>
      <c r="D278">
        <v>10</v>
      </c>
      <c r="E278">
        <v>5</v>
      </c>
      <c r="F278">
        <v>31.753231490000001</v>
      </c>
      <c r="G278">
        <v>82</v>
      </c>
      <c r="H278">
        <v>40</v>
      </c>
      <c r="I278">
        <v>75</v>
      </c>
      <c r="J278">
        <v>3</v>
      </c>
      <c r="K278">
        <v>0</v>
      </c>
    </row>
    <row r="279" spans="1:11" x14ac:dyDescent="0.25">
      <c r="A279">
        <v>36</v>
      </c>
      <c r="B279">
        <v>1</v>
      </c>
      <c r="C279">
        <v>4</v>
      </c>
      <c r="D279">
        <v>5</v>
      </c>
      <c r="E279">
        <v>3</v>
      </c>
      <c r="F279">
        <v>9.7836049979999995</v>
      </c>
      <c r="G279">
        <v>1</v>
      </c>
      <c r="H279">
        <v>54</v>
      </c>
      <c r="I279">
        <v>96</v>
      </c>
      <c r="J279">
        <v>1</v>
      </c>
      <c r="K279">
        <v>1</v>
      </c>
    </row>
    <row r="280" spans="1:11" x14ac:dyDescent="0.25">
      <c r="A280">
        <v>24</v>
      </c>
      <c r="B280">
        <v>0</v>
      </c>
      <c r="C280">
        <v>4</v>
      </c>
      <c r="D280">
        <v>7</v>
      </c>
      <c r="E280">
        <v>2</v>
      </c>
      <c r="F280">
        <v>26.659494590000001</v>
      </c>
      <c r="G280">
        <v>84</v>
      </c>
      <c r="H280">
        <v>4</v>
      </c>
      <c r="I280">
        <v>23</v>
      </c>
      <c r="J280">
        <v>1</v>
      </c>
      <c r="K280">
        <v>1</v>
      </c>
    </row>
    <row r="281" spans="1:11" x14ac:dyDescent="0.25">
      <c r="A281">
        <v>36</v>
      </c>
      <c r="B281">
        <v>1</v>
      </c>
      <c r="C281">
        <v>4</v>
      </c>
      <c r="D281">
        <v>3</v>
      </c>
      <c r="E281">
        <v>5</v>
      </c>
      <c r="F281">
        <v>36.76905086</v>
      </c>
      <c r="G281">
        <v>19</v>
      </c>
      <c r="H281">
        <v>58</v>
      </c>
      <c r="I281">
        <v>19</v>
      </c>
      <c r="J281">
        <v>1</v>
      </c>
      <c r="K281">
        <v>1</v>
      </c>
    </row>
    <row r="282" spans="1:11" x14ac:dyDescent="0.25">
      <c r="A282">
        <v>43</v>
      </c>
      <c r="B282">
        <v>0</v>
      </c>
      <c r="C282">
        <v>3</v>
      </c>
      <c r="D282">
        <v>11</v>
      </c>
      <c r="E282">
        <v>3</v>
      </c>
      <c r="F282">
        <v>49.663044149999998</v>
      </c>
      <c r="G282">
        <v>60</v>
      </c>
      <c r="H282">
        <v>79</v>
      </c>
      <c r="I282">
        <v>68</v>
      </c>
      <c r="J282">
        <v>3</v>
      </c>
      <c r="K282">
        <v>1</v>
      </c>
    </row>
    <row r="283" spans="1:11" x14ac:dyDescent="0.25">
      <c r="A283">
        <v>36</v>
      </c>
      <c r="B283">
        <v>1</v>
      </c>
      <c r="C283">
        <v>2</v>
      </c>
      <c r="D283">
        <v>14</v>
      </c>
      <c r="E283">
        <v>5</v>
      </c>
      <c r="F283">
        <v>11.07031546</v>
      </c>
      <c r="G283">
        <v>86</v>
      </c>
      <c r="H283">
        <v>17</v>
      </c>
      <c r="I283">
        <v>29</v>
      </c>
      <c r="J283">
        <v>2</v>
      </c>
      <c r="K283">
        <v>0</v>
      </c>
    </row>
    <row r="284" spans="1:11" x14ac:dyDescent="0.25">
      <c r="A284">
        <v>46</v>
      </c>
      <c r="B284">
        <v>1</v>
      </c>
      <c r="C284">
        <v>2</v>
      </c>
      <c r="D284">
        <v>0</v>
      </c>
      <c r="E284">
        <v>4</v>
      </c>
      <c r="F284">
        <v>1.477167653</v>
      </c>
      <c r="G284">
        <v>20</v>
      </c>
      <c r="H284">
        <v>48</v>
      </c>
      <c r="I284">
        <v>87</v>
      </c>
      <c r="J284">
        <v>2</v>
      </c>
      <c r="K284">
        <v>0</v>
      </c>
    </row>
    <row r="285" spans="1:11" x14ac:dyDescent="0.25">
      <c r="A285">
        <v>36</v>
      </c>
      <c r="B285">
        <v>1</v>
      </c>
      <c r="C285">
        <v>2</v>
      </c>
      <c r="D285">
        <v>6</v>
      </c>
      <c r="E285">
        <v>4</v>
      </c>
      <c r="F285">
        <v>4.7650716800000001</v>
      </c>
      <c r="G285">
        <v>87</v>
      </c>
      <c r="H285">
        <v>81</v>
      </c>
      <c r="I285">
        <v>6</v>
      </c>
      <c r="J285">
        <v>1</v>
      </c>
      <c r="K285">
        <v>1</v>
      </c>
    </row>
    <row r="286" spans="1:11" x14ac:dyDescent="0.25">
      <c r="A286">
        <v>21</v>
      </c>
      <c r="B286">
        <v>1</v>
      </c>
      <c r="C286">
        <v>3</v>
      </c>
      <c r="D286">
        <v>2</v>
      </c>
      <c r="E286">
        <v>4</v>
      </c>
      <c r="F286">
        <v>19.792623259999999</v>
      </c>
      <c r="G286">
        <v>67</v>
      </c>
      <c r="H286">
        <v>64</v>
      </c>
      <c r="I286">
        <v>35</v>
      </c>
      <c r="J286">
        <v>2</v>
      </c>
      <c r="K286">
        <v>0</v>
      </c>
    </row>
    <row r="287" spans="1:11" x14ac:dyDescent="0.25">
      <c r="A287">
        <v>21</v>
      </c>
      <c r="B287">
        <v>1</v>
      </c>
      <c r="C287">
        <v>1</v>
      </c>
      <c r="D287">
        <v>13</v>
      </c>
      <c r="E287">
        <v>4</v>
      </c>
      <c r="F287">
        <v>42.027232390000002</v>
      </c>
      <c r="G287">
        <v>11</v>
      </c>
      <c r="H287">
        <v>82</v>
      </c>
      <c r="I287">
        <v>37</v>
      </c>
      <c r="J287">
        <v>2</v>
      </c>
      <c r="K287">
        <v>0</v>
      </c>
    </row>
    <row r="288" spans="1:11" x14ac:dyDescent="0.25">
      <c r="A288">
        <v>47</v>
      </c>
      <c r="B288">
        <v>0</v>
      </c>
      <c r="C288">
        <v>2</v>
      </c>
      <c r="D288">
        <v>5</v>
      </c>
      <c r="E288">
        <v>1</v>
      </c>
      <c r="F288">
        <v>1.357104088</v>
      </c>
      <c r="G288">
        <v>21</v>
      </c>
      <c r="H288">
        <v>53</v>
      </c>
      <c r="I288">
        <v>79</v>
      </c>
      <c r="J288">
        <v>3</v>
      </c>
      <c r="K288">
        <v>0</v>
      </c>
    </row>
    <row r="289" spans="1:11" x14ac:dyDescent="0.25">
      <c r="A289">
        <v>41</v>
      </c>
      <c r="B289">
        <v>1</v>
      </c>
      <c r="C289">
        <v>1</v>
      </c>
      <c r="D289">
        <v>1</v>
      </c>
      <c r="E289">
        <v>3</v>
      </c>
      <c r="F289">
        <v>23.836529639999998</v>
      </c>
      <c r="G289">
        <v>19</v>
      </c>
      <c r="H289">
        <v>60</v>
      </c>
      <c r="I289">
        <v>51</v>
      </c>
      <c r="J289">
        <v>1</v>
      </c>
      <c r="K289">
        <v>0</v>
      </c>
    </row>
    <row r="290" spans="1:11" x14ac:dyDescent="0.25">
      <c r="A290">
        <v>42</v>
      </c>
      <c r="B290">
        <v>1</v>
      </c>
      <c r="C290">
        <v>2</v>
      </c>
      <c r="D290">
        <v>8</v>
      </c>
      <c r="E290">
        <v>3</v>
      </c>
      <c r="F290">
        <v>17.46153077</v>
      </c>
      <c r="G290">
        <v>81</v>
      </c>
      <c r="H290">
        <v>7</v>
      </c>
      <c r="I290">
        <v>14</v>
      </c>
      <c r="J290">
        <v>1</v>
      </c>
      <c r="K290">
        <v>1</v>
      </c>
    </row>
    <row r="291" spans="1:11" x14ac:dyDescent="0.25">
      <c r="A291">
        <v>24</v>
      </c>
      <c r="B291">
        <v>1</v>
      </c>
      <c r="C291">
        <v>3</v>
      </c>
      <c r="D291">
        <v>0</v>
      </c>
      <c r="E291">
        <v>4</v>
      </c>
      <c r="F291">
        <v>3.624085505</v>
      </c>
      <c r="G291">
        <v>0</v>
      </c>
      <c r="H291">
        <v>2</v>
      </c>
      <c r="I291">
        <v>45</v>
      </c>
      <c r="J291">
        <v>1</v>
      </c>
      <c r="K291">
        <v>0</v>
      </c>
    </row>
    <row r="292" spans="1:11" x14ac:dyDescent="0.25">
      <c r="A292">
        <v>20</v>
      </c>
      <c r="B292">
        <v>0</v>
      </c>
      <c r="C292">
        <v>3</v>
      </c>
      <c r="D292">
        <v>5</v>
      </c>
      <c r="E292">
        <v>1</v>
      </c>
      <c r="F292">
        <v>23.51181433</v>
      </c>
      <c r="G292">
        <v>29</v>
      </c>
      <c r="H292">
        <v>24</v>
      </c>
      <c r="I292">
        <v>22</v>
      </c>
      <c r="J292">
        <v>3</v>
      </c>
      <c r="K292">
        <v>0</v>
      </c>
    </row>
    <row r="293" spans="1:11" x14ac:dyDescent="0.25">
      <c r="A293">
        <v>20</v>
      </c>
      <c r="B293">
        <v>1</v>
      </c>
      <c r="C293">
        <v>2</v>
      </c>
      <c r="D293">
        <v>5</v>
      </c>
      <c r="E293">
        <v>4</v>
      </c>
      <c r="F293">
        <v>13.73743537</v>
      </c>
      <c r="G293">
        <v>96</v>
      </c>
      <c r="H293">
        <v>68</v>
      </c>
      <c r="I293">
        <v>11</v>
      </c>
      <c r="J293">
        <v>2</v>
      </c>
      <c r="K293">
        <v>0</v>
      </c>
    </row>
    <row r="294" spans="1:11" x14ac:dyDescent="0.25">
      <c r="A294">
        <v>38</v>
      </c>
      <c r="B294">
        <v>0</v>
      </c>
      <c r="C294">
        <v>4</v>
      </c>
      <c r="D294">
        <v>4</v>
      </c>
      <c r="E294">
        <v>1</v>
      </c>
      <c r="F294">
        <v>18.594241719999999</v>
      </c>
      <c r="G294">
        <v>23</v>
      </c>
      <c r="H294">
        <v>54</v>
      </c>
      <c r="I294">
        <v>92</v>
      </c>
      <c r="J294">
        <v>2</v>
      </c>
      <c r="K294">
        <v>0</v>
      </c>
    </row>
    <row r="295" spans="1:11" x14ac:dyDescent="0.25">
      <c r="A295">
        <v>49</v>
      </c>
      <c r="B295">
        <v>1</v>
      </c>
      <c r="C295">
        <v>2</v>
      </c>
      <c r="D295">
        <v>15</v>
      </c>
      <c r="E295">
        <v>4</v>
      </c>
      <c r="F295">
        <v>36.280765240000001</v>
      </c>
      <c r="G295">
        <v>13</v>
      </c>
      <c r="H295">
        <v>39</v>
      </c>
      <c r="I295">
        <v>43</v>
      </c>
      <c r="J295">
        <v>2</v>
      </c>
      <c r="K295">
        <v>0</v>
      </c>
    </row>
    <row r="296" spans="1:11" x14ac:dyDescent="0.25">
      <c r="A296">
        <v>21</v>
      </c>
      <c r="B296">
        <v>1</v>
      </c>
      <c r="C296">
        <v>1</v>
      </c>
      <c r="D296">
        <v>12</v>
      </c>
      <c r="E296">
        <v>2</v>
      </c>
      <c r="F296">
        <v>27.0775492</v>
      </c>
      <c r="G296">
        <v>35</v>
      </c>
      <c r="H296">
        <v>82</v>
      </c>
      <c r="I296">
        <v>14</v>
      </c>
      <c r="J296">
        <v>3</v>
      </c>
      <c r="K296">
        <v>0</v>
      </c>
    </row>
    <row r="297" spans="1:11" x14ac:dyDescent="0.25">
      <c r="A297">
        <v>40</v>
      </c>
      <c r="B297">
        <v>0</v>
      </c>
      <c r="C297">
        <v>2</v>
      </c>
      <c r="D297">
        <v>4</v>
      </c>
      <c r="E297">
        <v>2</v>
      </c>
      <c r="F297">
        <v>7.2323714499999996</v>
      </c>
      <c r="G297">
        <v>68</v>
      </c>
      <c r="H297">
        <v>81</v>
      </c>
      <c r="I297">
        <v>92</v>
      </c>
      <c r="J297">
        <v>3</v>
      </c>
      <c r="K297">
        <v>0</v>
      </c>
    </row>
    <row r="298" spans="1:11" x14ac:dyDescent="0.25">
      <c r="A298">
        <v>31</v>
      </c>
      <c r="B298">
        <v>1</v>
      </c>
      <c r="C298">
        <v>2</v>
      </c>
      <c r="D298">
        <v>0</v>
      </c>
      <c r="E298">
        <v>5</v>
      </c>
      <c r="F298">
        <v>49.07072702</v>
      </c>
      <c r="G298">
        <v>74</v>
      </c>
      <c r="H298">
        <v>49</v>
      </c>
      <c r="I298">
        <v>48</v>
      </c>
      <c r="J298">
        <v>2</v>
      </c>
      <c r="K298">
        <v>0</v>
      </c>
    </row>
    <row r="299" spans="1:11" x14ac:dyDescent="0.25">
      <c r="A299">
        <v>45</v>
      </c>
      <c r="B299">
        <v>0</v>
      </c>
      <c r="C299">
        <v>1</v>
      </c>
      <c r="D299">
        <v>9</v>
      </c>
      <c r="E299">
        <v>4</v>
      </c>
      <c r="F299">
        <v>32.795538290000003</v>
      </c>
      <c r="G299">
        <v>23</v>
      </c>
      <c r="H299">
        <v>94</v>
      </c>
      <c r="I299">
        <v>20</v>
      </c>
      <c r="J299">
        <v>1</v>
      </c>
      <c r="K299">
        <v>1</v>
      </c>
    </row>
    <row r="300" spans="1:11" x14ac:dyDescent="0.25">
      <c r="A300">
        <v>25</v>
      </c>
      <c r="B300">
        <v>0</v>
      </c>
      <c r="C300">
        <v>4</v>
      </c>
      <c r="D300">
        <v>11</v>
      </c>
      <c r="E300">
        <v>3</v>
      </c>
      <c r="F300">
        <v>39.293421279999997</v>
      </c>
      <c r="G300">
        <v>59</v>
      </c>
      <c r="H300">
        <v>32</v>
      </c>
      <c r="I300">
        <v>14</v>
      </c>
      <c r="J300">
        <v>1</v>
      </c>
      <c r="K300">
        <v>1</v>
      </c>
    </row>
    <row r="301" spans="1:11" x14ac:dyDescent="0.25">
      <c r="A301">
        <v>42</v>
      </c>
      <c r="B301">
        <v>1</v>
      </c>
      <c r="C301">
        <v>2</v>
      </c>
      <c r="D301">
        <v>4</v>
      </c>
      <c r="E301">
        <v>5</v>
      </c>
      <c r="F301">
        <v>4.9606574999999999</v>
      </c>
      <c r="G301">
        <v>94</v>
      </c>
      <c r="H301">
        <v>17</v>
      </c>
      <c r="I301">
        <v>13</v>
      </c>
      <c r="J301">
        <v>3</v>
      </c>
      <c r="K301">
        <v>0</v>
      </c>
    </row>
    <row r="302" spans="1:11" x14ac:dyDescent="0.25">
      <c r="A302">
        <v>23</v>
      </c>
      <c r="B302">
        <v>0</v>
      </c>
      <c r="C302">
        <v>3</v>
      </c>
      <c r="D302">
        <v>1</v>
      </c>
      <c r="E302">
        <v>2</v>
      </c>
      <c r="F302">
        <v>3.352918973</v>
      </c>
      <c r="G302">
        <v>54</v>
      </c>
      <c r="H302">
        <v>56</v>
      </c>
      <c r="I302">
        <v>41</v>
      </c>
      <c r="J302">
        <v>2</v>
      </c>
      <c r="K302">
        <v>0</v>
      </c>
    </row>
    <row r="303" spans="1:11" x14ac:dyDescent="0.25">
      <c r="A303">
        <v>42</v>
      </c>
      <c r="B303">
        <v>1</v>
      </c>
      <c r="C303">
        <v>2</v>
      </c>
      <c r="D303">
        <v>6</v>
      </c>
      <c r="E303">
        <v>4</v>
      </c>
      <c r="F303">
        <v>1.972402518</v>
      </c>
      <c r="G303">
        <v>76</v>
      </c>
      <c r="H303">
        <v>15</v>
      </c>
      <c r="I303">
        <v>79</v>
      </c>
      <c r="J303">
        <v>1</v>
      </c>
      <c r="K303">
        <v>1</v>
      </c>
    </row>
    <row r="304" spans="1:11" x14ac:dyDescent="0.25">
      <c r="A304">
        <v>30</v>
      </c>
      <c r="B304">
        <v>1</v>
      </c>
      <c r="C304">
        <v>1</v>
      </c>
      <c r="D304">
        <v>2</v>
      </c>
      <c r="E304">
        <v>5</v>
      </c>
      <c r="F304">
        <v>10.43970139</v>
      </c>
      <c r="G304">
        <v>79</v>
      </c>
      <c r="H304">
        <v>79</v>
      </c>
      <c r="I304">
        <v>14</v>
      </c>
      <c r="J304">
        <v>2</v>
      </c>
      <c r="K304">
        <v>0</v>
      </c>
    </row>
    <row r="305" spans="1:11" x14ac:dyDescent="0.25">
      <c r="A305">
        <v>43</v>
      </c>
      <c r="B305">
        <v>0</v>
      </c>
      <c r="C305">
        <v>2</v>
      </c>
      <c r="D305">
        <v>12</v>
      </c>
      <c r="E305">
        <v>4</v>
      </c>
      <c r="F305">
        <v>21.720419889999999</v>
      </c>
      <c r="G305">
        <v>23</v>
      </c>
      <c r="H305">
        <v>37</v>
      </c>
      <c r="I305">
        <v>62</v>
      </c>
      <c r="J305">
        <v>3</v>
      </c>
      <c r="K305">
        <v>0</v>
      </c>
    </row>
    <row r="306" spans="1:11" x14ac:dyDescent="0.25">
      <c r="A306">
        <v>46</v>
      </c>
      <c r="B306">
        <v>0</v>
      </c>
      <c r="C306">
        <v>1</v>
      </c>
      <c r="D306">
        <v>14</v>
      </c>
      <c r="E306">
        <v>2</v>
      </c>
      <c r="F306">
        <v>47.791306669999997</v>
      </c>
      <c r="G306">
        <v>76</v>
      </c>
      <c r="H306">
        <v>40</v>
      </c>
      <c r="I306">
        <v>67</v>
      </c>
      <c r="J306">
        <v>2</v>
      </c>
      <c r="K306">
        <v>0</v>
      </c>
    </row>
    <row r="307" spans="1:11" x14ac:dyDescent="0.25">
      <c r="A307">
        <v>36</v>
      </c>
      <c r="B307">
        <v>0</v>
      </c>
      <c r="C307">
        <v>2</v>
      </c>
      <c r="D307">
        <v>3</v>
      </c>
      <c r="E307">
        <v>5</v>
      </c>
      <c r="F307">
        <v>23.852982959999999</v>
      </c>
      <c r="G307">
        <v>23</v>
      </c>
      <c r="H307">
        <v>6</v>
      </c>
      <c r="I307">
        <v>26</v>
      </c>
      <c r="J307">
        <v>2</v>
      </c>
      <c r="K307">
        <v>0</v>
      </c>
    </row>
    <row r="308" spans="1:11" x14ac:dyDescent="0.25">
      <c r="A308">
        <v>50</v>
      </c>
      <c r="B308">
        <v>0</v>
      </c>
      <c r="C308">
        <v>4</v>
      </c>
      <c r="D308">
        <v>2</v>
      </c>
      <c r="E308">
        <v>2</v>
      </c>
      <c r="F308">
        <v>15.51275527</v>
      </c>
      <c r="G308">
        <v>53</v>
      </c>
      <c r="H308">
        <v>77</v>
      </c>
      <c r="I308">
        <v>86</v>
      </c>
      <c r="J308">
        <v>3</v>
      </c>
      <c r="K308">
        <v>0</v>
      </c>
    </row>
    <row r="309" spans="1:11" x14ac:dyDescent="0.25">
      <c r="A309">
        <v>25</v>
      </c>
      <c r="B309">
        <v>1</v>
      </c>
      <c r="C309">
        <v>2</v>
      </c>
      <c r="D309">
        <v>2</v>
      </c>
      <c r="E309">
        <v>1</v>
      </c>
      <c r="F309">
        <v>29.096762680000001</v>
      </c>
      <c r="G309">
        <v>25</v>
      </c>
      <c r="H309">
        <v>52</v>
      </c>
      <c r="I309">
        <v>92</v>
      </c>
      <c r="J309">
        <v>2</v>
      </c>
      <c r="K309">
        <v>0</v>
      </c>
    </row>
    <row r="310" spans="1:11" x14ac:dyDescent="0.25">
      <c r="A310">
        <v>43</v>
      </c>
      <c r="B310">
        <v>1</v>
      </c>
      <c r="C310">
        <v>2</v>
      </c>
      <c r="D310">
        <v>3</v>
      </c>
      <c r="E310">
        <v>2</v>
      </c>
      <c r="F310">
        <v>6.5967289070000001</v>
      </c>
      <c r="G310">
        <v>65</v>
      </c>
      <c r="H310">
        <v>62</v>
      </c>
      <c r="I310">
        <v>52</v>
      </c>
      <c r="J310">
        <v>1</v>
      </c>
      <c r="K310">
        <v>0</v>
      </c>
    </row>
    <row r="311" spans="1:11" x14ac:dyDescent="0.25">
      <c r="A311">
        <v>24</v>
      </c>
      <c r="B311">
        <v>0</v>
      </c>
      <c r="C311">
        <v>1</v>
      </c>
      <c r="D311">
        <v>4</v>
      </c>
      <c r="E311">
        <v>4</v>
      </c>
      <c r="F311">
        <v>31.475294550000001</v>
      </c>
      <c r="G311">
        <v>79</v>
      </c>
      <c r="H311">
        <v>88</v>
      </c>
      <c r="I311">
        <v>51</v>
      </c>
      <c r="J311">
        <v>3</v>
      </c>
      <c r="K311">
        <v>0</v>
      </c>
    </row>
    <row r="312" spans="1:11" x14ac:dyDescent="0.25">
      <c r="A312">
        <v>39</v>
      </c>
      <c r="B312">
        <v>1</v>
      </c>
      <c r="C312">
        <v>1</v>
      </c>
      <c r="D312">
        <v>0</v>
      </c>
      <c r="E312">
        <v>3</v>
      </c>
      <c r="F312">
        <v>29.421597720000001</v>
      </c>
      <c r="G312">
        <v>37</v>
      </c>
      <c r="H312">
        <v>31</v>
      </c>
      <c r="I312">
        <v>62</v>
      </c>
      <c r="J312">
        <v>3</v>
      </c>
      <c r="K312">
        <v>0</v>
      </c>
    </row>
    <row r="313" spans="1:11" x14ac:dyDescent="0.25">
      <c r="A313">
        <v>21</v>
      </c>
      <c r="B313">
        <v>1</v>
      </c>
      <c r="C313">
        <v>1</v>
      </c>
      <c r="D313">
        <v>3</v>
      </c>
      <c r="E313">
        <v>2</v>
      </c>
      <c r="F313">
        <v>40.59965167</v>
      </c>
      <c r="G313">
        <v>64</v>
      </c>
      <c r="H313">
        <v>37</v>
      </c>
      <c r="I313">
        <v>72</v>
      </c>
      <c r="J313">
        <v>3</v>
      </c>
      <c r="K313">
        <v>0</v>
      </c>
    </row>
    <row r="314" spans="1:11" x14ac:dyDescent="0.25">
      <c r="A314">
        <v>25</v>
      </c>
      <c r="B314">
        <v>1</v>
      </c>
      <c r="C314">
        <v>2</v>
      </c>
      <c r="D314">
        <v>11</v>
      </c>
      <c r="E314">
        <v>3</v>
      </c>
      <c r="F314">
        <v>50.334380580000001</v>
      </c>
      <c r="G314">
        <v>74</v>
      </c>
      <c r="H314">
        <v>21</v>
      </c>
      <c r="I314">
        <v>52</v>
      </c>
      <c r="J314">
        <v>2</v>
      </c>
      <c r="K314">
        <v>0</v>
      </c>
    </row>
    <row r="315" spans="1:11" x14ac:dyDescent="0.25">
      <c r="A315">
        <v>41</v>
      </c>
      <c r="B315">
        <v>1</v>
      </c>
      <c r="C315">
        <v>1</v>
      </c>
      <c r="D315">
        <v>11</v>
      </c>
      <c r="E315">
        <v>1</v>
      </c>
      <c r="F315">
        <v>13.543673589999999</v>
      </c>
      <c r="G315">
        <v>50</v>
      </c>
      <c r="H315">
        <v>15</v>
      </c>
      <c r="I315">
        <v>56</v>
      </c>
      <c r="J315">
        <v>1</v>
      </c>
      <c r="K315">
        <v>0</v>
      </c>
    </row>
    <row r="316" spans="1:11" x14ac:dyDescent="0.25">
      <c r="A316">
        <v>30</v>
      </c>
      <c r="B316">
        <v>0</v>
      </c>
      <c r="C316">
        <v>2</v>
      </c>
      <c r="D316">
        <v>10</v>
      </c>
      <c r="E316">
        <v>5</v>
      </c>
      <c r="F316">
        <v>26.482822540000001</v>
      </c>
      <c r="G316">
        <v>34</v>
      </c>
      <c r="H316">
        <v>51</v>
      </c>
      <c r="I316">
        <v>51</v>
      </c>
      <c r="J316">
        <v>3</v>
      </c>
      <c r="K316">
        <v>0</v>
      </c>
    </row>
    <row r="317" spans="1:11" x14ac:dyDescent="0.25">
      <c r="A317">
        <v>50</v>
      </c>
      <c r="B317">
        <v>0</v>
      </c>
      <c r="C317">
        <v>2</v>
      </c>
      <c r="D317">
        <v>7</v>
      </c>
      <c r="E317">
        <v>5</v>
      </c>
      <c r="F317">
        <v>46.443270320000003</v>
      </c>
      <c r="G317">
        <v>42</v>
      </c>
      <c r="H317">
        <v>28</v>
      </c>
      <c r="I317">
        <v>42</v>
      </c>
      <c r="J317">
        <v>1</v>
      </c>
      <c r="K317">
        <v>0</v>
      </c>
    </row>
    <row r="318" spans="1:11" x14ac:dyDescent="0.25">
      <c r="A318">
        <v>35</v>
      </c>
      <c r="B318">
        <v>1</v>
      </c>
      <c r="C318">
        <v>2</v>
      </c>
      <c r="D318">
        <v>9</v>
      </c>
      <c r="E318">
        <v>3</v>
      </c>
      <c r="F318">
        <v>40.259494220000001</v>
      </c>
      <c r="G318">
        <v>28</v>
      </c>
      <c r="H318">
        <v>15</v>
      </c>
      <c r="I318">
        <v>6</v>
      </c>
      <c r="J318">
        <v>3</v>
      </c>
      <c r="K318">
        <v>0</v>
      </c>
    </row>
    <row r="319" spans="1:11" x14ac:dyDescent="0.25">
      <c r="A319">
        <v>35</v>
      </c>
      <c r="B319">
        <v>0</v>
      </c>
      <c r="C319">
        <v>1</v>
      </c>
      <c r="D319">
        <v>6</v>
      </c>
      <c r="E319">
        <v>5</v>
      </c>
      <c r="F319">
        <v>25.370315160000001</v>
      </c>
      <c r="G319">
        <v>36</v>
      </c>
      <c r="H319">
        <v>75</v>
      </c>
      <c r="I319">
        <v>41</v>
      </c>
      <c r="J319">
        <v>3</v>
      </c>
      <c r="K319">
        <v>0</v>
      </c>
    </row>
    <row r="320" spans="1:11" x14ac:dyDescent="0.25">
      <c r="A320">
        <v>20</v>
      </c>
      <c r="B320">
        <v>0</v>
      </c>
      <c r="C320">
        <v>2</v>
      </c>
      <c r="D320">
        <v>8</v>
      </c>
      <c r="E320">
        <v>2</v>
      </c>
      <c r="F320">
        <v>48.268582479999999</v>
      </c>
      <c r="G320">
        <v>80</v>
      </c>
      <c r="H320">
        <v>16</v>
      </c>
      <c r="I320">
        <v>3</v>
      </c>
      <c r="J320">
        <v>2</v>
      </c>
      <c r="K320">
        <v>0</v>
      </c>
    </row>
    <row r="321" spans="1:11" x14ac:dyDescent="0.25">
      <c r="A321">
        <v>28</v>
      </c>
      <c r="B321">
        <v>0</v>
      </c>
      <c r="C321">
        <v>4</v>
      </c>
      <c r="D321">
        <v>4</v>
      </c>
      <c r="E321">
        <v>3</v>
      </c>
      <c r="F321">
        <v>3.861834676</v>
      </c>
      <c r="G321">
        <v>57</v>
      </c>
      <c r="H321">
        <v>100</v>
      </c>
      <c r="I321">
        <v>68</v>
      </c>
      <c r="J321">
        <v>3</v>
      </c>
      <c r="K321">
        <v>0</v>
      </c>
    </row>
    <row r="322" spans="1:11" x14ac:dyDescent="0.25">
      <c r="A322">
        <v>47</v>
      </c>
      <c r="B322">
        <v>1</v>
      </c>
      <c r="C322">
        <v>2</v>
      </c>
      <c r="D322">
        <v>12</v>
      </c>
      <c r="E322">
        <v>4</v>
      </c>
      <c r="F322">
        <v>47.54993099</v>
      </c>
      <c r="G322">
        <v>53</v>
      </c>
      <c r="H322">
        <v>63</v>
      </c>
      <c r="I322">
        <v>4</v>
      </c>
      <c r="J322">
        <v>2</v>
      </c>
      <c r="K322">
        <v>0</v>
      </c>
    </row>
    <row r="323" spans="1:11" x14ac:dyDescent="0.25">
      <c r="A323">
        <v>46</v>
      </c>
      <c r="B323">
        <v>1</v>
      </c>
      <c r="C323">
        <v>2</v>
      </c>
      <c r="D323">
        <v>14</v>
      </c>
      <c r="E323">
        <v>2</v>
      </c>
      <c r="F323">
        <v>3.5253696190000001</v>
      </c>
      <c r="G323">
        <v>38</v>
      </c>
      <c r="H323">
        <v>90</v>
      </c>
      <c r="I323">
        <v>74</v>
      </c>
      <c r="J323">
        <v>1</v>
      </c>
      <c r="K323">
        <v>1</v>
      </c>
    </row>
    <row r="324" spans="1:11" x14ac:dyDescent="0.25">
      <c r="A324">
        <v>25</v>
      </c>
      <c r="B324">
        <v>1</v>
      </c>
      <c r="C324">
        <v>1</v>
      </c>
      <c r="D324">
        <v>9</v>
      </c>
      <c r="E324">
        <v>2</v>
      </c>
      <c r="F324">
        <v>28.36523721</v>
      </c>
      <c r="G324">
        <v>41</v>
      </c>
      <c r="H324">
        <v>88</v>
      </c>
      <c r="I324">
        <v>91</v>
      </c>
      <c r="J324">
        <v>2</v>
      </c>
      <c r="K324">
        <v>0</v>
      </c>
    </row>
    <row r="325" spans="1:11" x14ac:dyDescent="0.25">
      <c r="A325">
        <v>35</v>
      </c>
      <c r="B325">
        <v>0</v>
      </c>
      <c r="C325">
        <v>4</v>
      </c>
      <c r="D325">
        <v>3</v>
      </c>
      <c r="E325">
        <v>2</v>
      </c>
      <c r="F325">
        <v>45.522047399999998</v>
      </c>
      <c r="G325">
        <v>27</v>
      </c>
      <c r="H325">
        <v>12</v>
      </c>
      <c r="I325">
        <v>79</v>
      </c>
      <c r="J325">
        <v>1</v>
      </c>
      <c r="K325">
        <v>1</v>
      </c>
    </row>
    <row r="326" spans="1:11" x14ac:dyDescent="0.25">
      <c r="A326">
        <v>48</v>
      </c>
      <c r="B326">
        <v>1</v>
      </c>
      <c r="C326">
        <v>2</v>
      </c>
      <c r="D326">
        <v>7</v>
      </c>
      <c r="E326">
        <v>4</v>
      </c>
      <c r="F326">
        <v>14.13604718</v>
      </c>
      <c r="G326">
        <v>28</v>
      </c>
      <c r="H326">
        <v>71</v>
      </c>
      <c r="I326">
        <v>40</v>
      </c>
      <c r="J326">
        <v>2</v>
      </c>
      <c r="K326">
        <v>0</v>
      </c>
    </row>
    <row r="327" spans="1:11" x14ac:dyDescent="0.25">
      <c r="A327">
        <v>22</v>
      </c>
      <c r="B327">
        <v>1</v>
      </c>
      <c r="C327">
        <v>2</v>
      </c>
      <c r="D327">
        <v>8</v>
      </c>
      <c r="E327">
        <v>1</v>
      </c>
      <c r="F327">
        <v>24.612424950000001</v>
      </c>
      <c r="G327">
        <v>42</v>
      </c>
      <c r="H327">
        <v>55</v>
      </c>
      <c r="I327">
        <v>93</v>
      </c>
      <c r="J327">
        <v>1</v>
      </c>
      <c r="K327">
        <v>1</v>
      </c>
    </row>
    <row r="328" spans="1:11" x14ac:dyDescent="0.25">
      <c r="A328">
        <v>39</v>
      </c>
      <c r="B328">
        <v>0</v>
      </c>
      <c r="C328">
        <v>3</v>
      </c>
      <c r="D328">
        <v>12</v>
      </c>
      <c r="E328">
        <v>5</v>
      </c>
      <c r="F328">
        <v>17.216443959999999</v>
      </c>
      <c r="G328">
        <v>2</v>
      </c>
      <c r="H328">
        <v>4</v>
      </c>
      <c r="I328">
        <v>3</v>
      </c>
      <c r="J328">
        <v>2</v>
      </c>
      <c r="K328">
        <v>0</v>
      </c>
    </row>
    <row r="329" spans="1:11" x14ac:dyDescent="0.25">
      <c r="A329">
        <v>47</v>
      </c>
      <c r="B329">
        <v>1</v>
      </c>
      <c r="C329">
        <v>2</v>
      </c>
      <c r="D329">
        <v>6</v>
      </c>
      <c r="E329">
        <v>3</v>
      </c>
      <c r="F329">
        <v>48.607195849999997</v>
      </c>
      <c r="G329">
        <v>9</v>
      </c>
      <c r="H329">
        <v>11</v>
      </c>
      <c r="I329">
        <v>1</v>
      </c>
      <c r="J329">
        <v>3</v>
      </c>
      <c r="K329">
        <v>0</v>
      </c>
    </row>
    <row r="330" spans="1:11" x14ac:dyDescent="0.25">
      <c r="A330">
        <v>46</v>
      </c>
      <c r="B330">
        <v>1</v>
      </c>
      <c r="C330">
        <v>2</v>
      </c>
      <c r="D330">
        <v>13</v>
      </c>
      <c r="E330">
        <v>1</v>
      </c>
      <c r="F330">
        <v>42.182279739999998</v>
      </c>
      <c r="G330">
        <v>58</v>
      </c>
      <c r="H330">
        <v>40</v>
      </c>
      <c r="I330">
        <v>66</v>
      </c>
      <c r="J330">
        <v>3</v>
      </c>
      <c r="K330">
        <v>0</v>
      </c>
    </row>
    <row r="331" spans="1:11" x14ac:dyDescent="0.25">
      <c r="A331">
        <v>23</v>
      </c>
      <c r="B331">
        <v>0</v>
      </c>
      <c r="C331">
        <v>2</v>
      </c>
      <c r="D331">
        <v>15</v>
      </c>
      <c r="E331">
        <v>3</v>
      </c>
      <c r="F331">
        <v>36.450075570000003</v>
      </c>
      <c r="G331">
        <v>13</v>
      </c>
      <c r="H331">
        <v>2</v>
      </c>
      <c r="I331">
        <v>20</v>
      </c>
      <c r="J331">
        <v>2</v>
      </c>
      <c r="K331">
        <v>0</v>
      </c>
    </row>
    <row r="332" spans="1:11" x14ac:dyDescent="0.25">
      <c r="A332">
        <v>38</v>
      </c>
      <c r="B332">
        <v>0</v>
      </c>
      <c r="C332">
        <v>2</v>
      </c>
      <c r="D332">
        <v>6</v>
      </c>
      <c r="E332">
        <v>5</v>
      </c>
      <c r="F332">
        <v>30.381349329999999</v>
      </c>
      <c r="G332">
        <v>75</v>
      </c>
      <c r="H332">
        <v>98</v>
      </c>
      <c r="I332">
        <v>69</v>
      </c>
      <c r="J332">
        <v>2</v>
      </c>
      <c r="K332">
        <v>1</v>
      </c>
    </row>
    <row r="333" spans="1:11" x14ac:dyDescent="0.25">
      <c r="A333">
        <v>45</v>
      </c>
      <c r="B333">
        <v>0</v>
      </c>
      <c r="C333">
        <v>4</v>
      </c>
      <c r="D333">
        <v>15</v>
      </c>
      <c r="E333">
        <v>4</v>
      </c>
      <c r="F333">
        <v>42.029589469999998</v>
      </c>
      <c r="G333">
        <v>46</v>
      </c>
      <c r="H333">
        <v>32</v>
      </c>
      <c r="I333">
        <v>42</v>
      </c>
      <c r="J333">
        <v>2</v>
      </c>
      <c r="K333">
        <v>0</v>
      </c>
    </row>
    <row r="334" spans="1:11" x14ac:dyDescent="0.25">
      <c r="A334">
        <v>22</v>
      </c>
      <c r="B334">
        <v>1</v>
      </c>
      <c r="C334">
        <v>3</v>
      </c>
      <c r="D334">
        <v>4</v>
      </c>
      <c r="E334">
        <v>2</v>
      </c>
      <c r="F334">
        <v>20.613352079999999</v>
      </c>
      <c r="G334">
        <v>41</v>
      </c>
      <c r="H334">
        <v>85</v>
      </c>
      <c r="I334">
        <v>81</v>
      </c>
      <c r="J334">
        <v>3</v>
      </c>
      <c r="K334">
        <v>0</v>
      </c>
    </row>
    <row r="335" spans="1:11" x14ac:dyDescent="0.25">
      <c r="A335">
        <v>50</v>
      </c>
      <c r="B335">
        <v>1</v>
      </c>
      <c r="C335">
        <v>2</v>
      </c>
      <c r="D335">
        <v>3</v>
      </c>
      <c r="E335">
        <v>2</v>
      </c>
      <c r="F335">
        <v>23.377592759999999</v>
      </c>
      <c r="G335">
        <v>93</v>
      </c>
      <c r="H335">
        <v>49</v>
      </c>
      <c r="I335">
        <v>68</v>
      </c>
      <c r="J335">
        <v>2</v>
      </c>
      <c r="K335">
        <v>0</v>
      </c>
    </row>
    <row r="336" spans="1:11" x14ac:dyDescent="0.25">
      <c r="A336">
        <v>38</v>
      </c>
      <c r="B336">
        <v>1</v>
      </c>
      <c r="C336">
        <v>1</v>
      </c>
      <c r="D336">
        <v>13</v>
      </c>
      <c r="E336">
        <v>4</v>
      </c>
      <c r="F336">
        <v>37.50008605</v>
      </c>
      <c r="G336">
        <v>31</v>
      </c>
      <c r="H336">
        <v>55</v>
      </c>
      <c r="I336">
        <v>8</v>
      </c>
      <c r="J336">
        <v>2</v>
      </c>
      <c r="K336">
        <v>0</v>
      </c>
    </row>
    <row r="337" spans="1:11" x14ac:dyDescent="0.25">
      <c r="A337">
        <v>39</v>
      </c>
      <c r="B337">
        <v>0</v>
      </c>
      <c r="C337">
        <v>1</v>
      </c>
      <c r="D337">
        <v>9</v>
      </c>
      <c r="E337">
        <v>1</v>
      </c>
      <c r="F337">
        <v>18.887738160000001</v>
      </c>
      <c r="G337">
        <v>31</v>
      </c>
      <c r="H337">
        <v>8</v>
      </c>
      <c r="I337">
        <v>83</v>
      </c>
      <c r="J337">
        <v>3</v>
      </c>
      <c r="K337">
        <v>0</v>
      </c>
    </row>
    <row r="338" spans="1:11" x14ac:dyDescent="0.25">
      <c r="A338">
        <v>26</v>
      </c>
      <c r="B338">
        <v>0</v>
      </c>
      <c r="C338">
        <v>2</v>
      </c>
      <c r="D338">
        <v>0</v>
      </c>
      <c r="E338">
        <v>1</v>
      </c>
      <c r="F338">
        <v>4.1950471020000002</v>
      </c>
      <c r="G338">
        <v>41</v>
      </c>
      <c r="H338">
        <v>81</v>
      </c>
      <c r="I338">
        <v>27</v>
      </c>
      <c r="J338">
        <v>2</v>
      </c>
      <c r="K338">
        <v>0</v>
      </c>
    </row>
    <row r="339" spans="1:11" x14ac:dyDescent="0.25">
      <c r="A339">
        <v>39</v>
      </c>
      <c r="B339">
        <v>1</v>
      </c>
      <c r="C339">
        <v>3</v>
      </c>
      <c r="D339">
        <v>9</v>
      </c>
      <c r="E339">
        <v>3</v>
      </c>
      <c r="F339">
        <v>4.7167304440000004</v>
      </c>
      <c r="G339">
        <v>31</v>
      </c>
      <c r="H339">
        <v>49</v>
      </c>
      <c r="I339">
        <v>25</v>
      </c>
      <c r="J339">
        <v>3</v>
      </c>
      <c r="K339">
        <v>0</v>
      </c>
    </row>
    <row r="340" spans="1:11" x14ac:dyDescent="0.25">
      <c r="A340">
        <v>28</v>
      </c>
      <c r="B340">
        <v>1</v>
      </c>
      <c r="C340">
        <v>2</v>
      </c>
      <c r="D340">
        <v>9</v>
      </c>
      <c r="E340">
        <v>4</v>
      </c>
      <c r="F340">
        <v>6.7681400649999999</v>
      </c>
      <c r="G340">
        <v>25</v>
      </c>
      <c r="H340">
        <v>28</v>
      </c>
      <c r="I340">
        <v>81</v>
      </c>
      <c r="J340">
        <v>3</v>
      </c>
      <c r="K340">
        <v>0</v>
      </c>
    </row>
    <row r="341" spans="1:11" x14ac:dyDescent="0.25">
      <c r="A341">
        <v>20</v>
      </c>
      <c r="B341">
        <v>0</v>
      </c>
      <c r="C341">
        <v>2</v>
      </c>
      <c r="D341">
        <v>6</v>
      </c>
      <c r="E341">
        <v>1</v>
      </c>
      <c r="F341">
        <v>44.484066169999998</v>
      </c>
      <c r="G341">
        <v>0</v>
      </c>
      <c r="H341">
        <v>38</v>
      </c>
      <c r="I341">
        <v>82</v>
      </c>
      <c r="J341">
        <v>3</v>
      </c>
      <c r="K341">
        <v>0</v>
      </c>
    </row>
    <row r="342" spans="1:11" x14ac:dyDescent="0.25">
      <c r="A342">
        <v>27</v>
      </c>
      <c r="B342">
        <v>0</v>
      </c>
      <c r="C342">
        <v>3</v>
      </c>
      <c r="D342">
        <v>15</v>
      </c>
      <c r="E342">
        <v>4</v>
      </c>
      <c r="F342">
        <v>24.611321289999999</v>
      </c>
      <c r="G342">
        <v>55</v>
      </c>
      <c r="H342">
        <v>90</v>
      </c>
      <c r="I342">
        <v>2</v>
      </c>
      <c r="J342">
        <v>1</v>
      </c>
      <c r="K342">
        <v>1</v>
      </c>
    </row>
    <row r="343" spans="1:11" x14ac:dyDescent="0.25">
      <c r="A343">
        <v>26</v>
      </c>
      <c r="B343">
        <v>0</v>
      </c>
      <c r="C343">
        <v>1</v>
      </c>
      <c r="D343">
        <v>0</v>
      </c>
      <c r="E343">
        <v>5</v>
      </c>
      <c r="F343">
        <v>36.644118470000002</v>
      </c>
      <c r="G343">
        <v>1</v>
      </c>
      <c r="H343">
        <v>99</v>
      </c>
      <c r="I343">
        <v>72</v>
      </c>
      <c r="J343">
        <v>2</v>
      </c>
      <c r="K343">
        <v>0</v>
      </c>
    </row>
    <row r="344" spans="1:11" x14ac:dyDescent="0.25">
      <c r="A344">
        <v>37</v>
      </c>
      <c r="B344">
        <v>0</v>
      </c>
      <c r="C344">
        <v>2</v>
      </c>
      <c r="D344">
        <v>0</v>
      </c>
      <c r="E344">
        <v>2</v>
      </c>
      <c r="F344">
        <v>20.64546678</v>
      </c>
      <c r="G344">
        <v>80</v>
      </c>
      <c r="H344">
        <v>44</v>
      </c>
      <c r="I344">
        <v>99</v>
      </c>
      <c r="J344">
        <v>3</v>
      </c>
      <c r="K344">
        <v>0</v>
      </c>
    </row>
    <row r="345" spans="1:11" x14ac:dyDescent="0.25">
      <c r="A345">
        <v>27</v>
      </c>
      <c r="B345">
        <v>1</v>
      </c>
      <c r="C345">
        <v>1</v>
      </c>
      <c r="D345">
        <v>4</v>
      </c>
      <c r="E345">
        <v>2</v>
      </c>
      <c r="F345">
        <v>13.93554737</v>
      </c>
      <c r="G345">
        <v>29</v>
      </c>
      <c r="H345">
        <v>16</v>
      </c>
      <c r="I345">
        <v>94</v>
      </c>
      <c r="J345">
        <v>2</v>
      </c>
      <c r="K345">
        <v>0</v>
      </c>
    </row>
    <row r="346" spans="1:11" x14ac:dyDescent="0.25">
      <c r="A346">
        <v>20</v>
      </c>
      <c r="B346">
        <v>0</v>
      </c>
      <c r="C346">
        <v>4</v>
      </c>
      <c r="D346">
        <v>12</v>
      </c>
      <c r="E346">
        <v>2</v>
      </c>
      <c r="F346">
        <v>18.359608380000001</v>
      </c>
      <c r="G346">
        <v>70</v>
      </c>
      <c r="H346">
        <v>55</v>
      </c>
      <c r="I346">
        <v>48</v>
      </c>
      <c r="J346">
        <v>2</v>
      </c>
      <c r="K346">
        <v>0</v>
      </c>
    </row>
    <row r="347" spans="1:11" x14ac:dyDescent="0.25">
      <c r="A347">
        <v>30</v>
      </c>
      <c r="B347">
        <v>1</v>
      </c>
      <c r="C347">
        <v>2</v>
      </c>
      <c r="D347">
        <v>8</v>
      </c>
      <c r="E347">
        <v>4</v>
      </c>
      <c r="F347">
        <v>40.70911727</v>
      </c>
      <c r="G347">
        <v>51</v>
      </c>
      <c r="H347">
        <v>97</v>
      </c>
      <c r="I347">
        <v>16</v>
      </c>
      <c r="J347">
        <v>1</v>
      </c>
      <c r="K347">
        <v>1</v>
      </c>
    </row>
    <row r="348" spans="1:11" x14ac:dyDescent="0.25">
      <c r="A348">
        <v>47</v>
      </c>
      <c r="B348">
        <v>1</v>
      </c>
      <c r="C348">
        <v>1</v>
      </c>
      <c r="D348">
        <v>5</v>
      </c>
      <c r="E348">
        <v>4</v>
      </c>
      <c r="F348">
        <v>32.260806250000002</v>
      </c>
      <c r="G348">
        <v>90</v>
      </c>
      <c r="H348">
        <v>45</v>
      </c>
      <c r="I348">
        <v>62</v>
      </c>
      <c r="J348">
        <v>1</v>
      </c>
      <c r="K348">
        <v>1</v>
      </c>
    </row>
    <row r="349" spans="1:11" x14ac:dyDescent="0.25">
      <c r="A349">
        <v>44</v>
      </c>
      <c r="B349">
        <v>1</v>
      </c>
      <c r="C349">
        <v>2</v>
      </c>
      <c r="D349">
        <v>2</v>
      </c>
      <c r="E349">
        <v>3</v>
      </c>
      <c r="F349">
        <v>47.881988999999997</v>
      </c>
      <c r="G349">
        <v>8</v>
      </c>
      <c r="H349">
        <v>66</v>
      </c>
      <c r="I349">
        <v>54</v>
      </c>
      <c r="J349">
        <v>2</v>
      </c>
      <c r="K349">
        <v>0</v>
      </c>
    </row>
    <row r="350" spans="1:11" x14ac:dyDescent="0.25">
      <c r="A350">
        <v>44</v>
      </c>
      <c r="B350">
        <v>0</v>
      </c>
      <c r="C350">
        <v>2</v>
      </c>
      <c r="D350">
        <v>12</v>
      </c>
      <c r="E350">
        <v>2</v>
      </c>
      <c r="F350">
        <v>34.985238930000001</v>
      </c>
      <c r="G350">
        <v>21</v>
      </c>
      <c r="H350">
        <v>68</v>
      </c>
      <c r="I350">
        <v>22</v>
      </c>
      <c r="J350">
        <v>2</v>
      </c>
      <c r="K350">
        <v>0</v>
      </c>
    </row>
    <row r="351" spans="1:11" x14ac:dyDescent="0.25">
      <c r="A351">
        <v>37</v>
      </c>
      <c r="B351">
        <v>0</v>
      </c>
      <c r="C351">
        <v>3</v>
      </c>
      <c r="D351">
        <v>2</v>
      </c>
      <c r="E351">
        <v>3</v>
      </c>
      <c r="F351">
        <v>29.509081590000001</v>
      </c>
      <c r="G351">
        <v>33</v>
      </c>
      <c r="H351">
        <v>13</v>
      </c>
      <c r="I351">
        <v>33</v>
      </c>
      <c r="J351">
        <v>2</v>
      </c>
      <c r="K351">
        <v>0</v>
      </c>
    </row>
    <row r="352" spans="1:11" x14ac:dyDescent="0.25">
      <c r="A352">
        <v>42</v>
      </c>
      <c r="B352">
        <v>0</v>
      </c>
      <c r="C352">
        <v>3</v>
      </c>
      <c r="D352">
        <v>6</v>
      </c>
      <c r="E352">
        <v>2</v>
      </c>
      <c r="F352">
        <v>31.50980045</v>
      </c>
      <c r="G352">
        <v>48</v>
      </c>
      <c r="H352">
        <v>66</v>
      </c>
      <c r="I352">
        <v>68</v>
      </c>
      <c r="J352">
        <v>2</v>
      </c>
      <c r="K352">
        <v>1</v>
      </c>
    </row>
    <row r="353" spans="1:11" x14ac:dyDescent="0.25">
      <c r="A353">
        <v>50</v>
      </c>
      <c r="B353">
        <v>0</v>
      </c>
      <c r="C353">
        <v>2</v>
      </c>
      <c r="D353">
        <v>5</v>
      </c>
      <c r="E353">
        <v>3</v>
      </c>
      <c r="F353">
        <v>48.118571969999998</v>
      </c>
      <c r="G353">
        <v>0</v>
      </c>
      <c r="H353">
        <v>22</v>
      </c>
      <c r="I353">
        <v>14</v>
      </c>
      <c r="J353">
        <v>2</v>
      </c>
      <c r="K353">
        <v>0</v>
      </c>
    </row>
    <row r="354" spans="1:11" x14ac:dyDescent="0.25">
      <c r="A354">
        <v>49</v>
      </c>
      <c r="B354">
        <v>1</v>
      </c>
      <c r="C354">
        <v>1</v>
      </c>
      <c r="D354">
        <v>8</v>
      </c>
      <c r="E354">
        <v>3</v>
      </c>
      <c r="F354">
        <v>40.410046489999999</v>
      </c>
      <c r="G354">
        <v>72</v>
      </c>
      <c r="H354">
        <v>93</v>
      </c>
      <c r="I354">
        <v>46</v>
      </c>
      <c r="J354">
        <v>2</v>
      </c>
      <c r="K354">
        <v>0</v>
      </c>
    </row>
    <row r="355" spans="1:11" x14ac:dyDescent="0.25">
      <c r="A355">
        <v>29</v>
      </c>
      <c r="B355">
        <v>0</v>
      </c>
      <c r="C355">
        <v>1</v>
      </c>
      <c r="D355">
        <v>5</v>
      </c>
      <c r="E355">
        <v>5</v>
      </c>
      <c r="F355">
        <v>2.2020618679999999</v>
      </c>
      <c r="G355">
        <v>83</v>
      </c>
      <c r="H355">
        <v>60</v>
      </c>
      <c r="I355">
        <v>2</v>
      </c>
      <c r="J355">
        <v>2</v>
      </c>
      <c r="K355">
        <v>0</v>
      </c>
    </row>
    <row r="356" spans="1:11" x14ac:dyDescent="0.25">
      <c r="A356">
        <v>22</v>
      </c>
      <c r="B356">
        <v>0</v>
      </c>
      <c r="C356">
        <v>1</v>
      </c>
      <c r="D356">
        <v>4</v>
      </c>
      <c r="E356">
        <v>3</v>
      </c>
      <c r="F356">
        <v>27.706984810000002</v>
      </c>
      <c r="G356">
        <v>52</v>
      </c>
      <c r="H356">
        <v>22</v>
      </c>
      <c r="I356">
        <v>82</v>
      </c>
      <c r="J356">
        <v>2</v>
      </c>
      <c r="K356">
        <v>0</v>
      </c>
    </row>
    <row r="357" spans="1:11" x14ac:dyDescent="0.25">
      <c r="A357">
        <v>26</v>
      </c>
      <c r="B357">
        <v>1</v>
      </c>
      <c r="C357">
        <v>2</v>
      </c>
      <c r="D357">
        <v>9</v>
      </c>
      <c r="E357">
        <v>4</v>
      </c>
      <c r="F357">
        <v>35.416920580000003</v>
      </c>
      <c r="G357">
        <v>82</v>
      </c>
      <c r="H357">
        <v>26</v>
      </c>
      <c r="I357">
        <v>27</v>
      </c>
      <c r="J357">
        <v>2</v>
      </c>
      <c r="K357">
        <v>0</v>
      </c>
    </row>
    <row r="358" spans="1:11" x14ac:dyDescent="0.25">
      <c r="A358">
        <v>47</v>
      </c>
      <c r="B358">
        <v>0</v>
      </c>
      <c r="C358">
        <v>3</v>
      </c>
      <c r="D358">
        <v>6</v>
      </c>
      <c r="E358">
        <v>3</v>
      </c>
      <c r="F358">
        <v>38.434923920000003</v>
      </c>
      <c r="G358">
        <v>99</v>
      </c>
      <c r="H358">
        <v>53</v>
      </c>
      <c r="I358">
        <v>2</v>
      </c>
      <c r="J358">
        <v>1</v>
      </c>
      <c r="K358">
        <v>1</v>
      </c>
    </row>
    <row r="359" spans="1:11" x14ac:dyDescent="0.25">
      <c r="A359">
        <v>35</v>
      </c>
      <c r="B359">
        <v>1</v>
      </c>
      <c r="C359">
        <v>2</v>
      </c>
      <c r="D359">
        <v>0</v>
      </c>
      <c r="E359">
        <v>2</v>
      </c>
      <c r="F359">
        <v>11.65710597</v>
      </c>
      <c r="G359">
        <v>39</v>
      </c>
      <c r="H359">
        <v>9</v>
      </c>
      <c r="I359">
        <v>3</v>
      </c>
      <c r="J359">
        <v>2</v>
      </c>
      <c r="K359">
        <v>0</v>
      </c>
    </row>
    <row r="360" spans="1:11" x14ac:dyDescent="0.25">
      <c r="A360">
        <v>45</v>
      </c>
      <c r="B360">
        <v>1</v>
      </c>
      <c r="C360">
        <v>1</v>
      </c>
      <c r="D360">
        <v>11</v>
      </c>
      <c r="E360">
        <v>3</v>
      </c>
      <c r="F360">
        <v>44.358867719999999</v>
      </c>
      <c r="G360">
        <v>44</v>
      </c>
      <c r="H360">
        <v>88</v>
      </c>
      <c r="I360">
        <v>87</v>
      </c>
      <c r="J360">
        <v>2</v>
      </c>
      <c r="K360">
        <v>0</v>
      </c>
    </row>
    <row r="361" spans="1:11" x14ac:dyDescent="0.25">
      <c r="A361">
        <v>35</v>
      </c>
      <c r="B361">
        <v>1</v>
      </c>
      <c r="C361">
        <v>2</v>
      </c>
      <c r="D361">
        <v>6</v>
      </c>
      <c r="E361">
        <v>1</v>
      </c>
      <c r="F361">
        <v>48.792157359999997</v>
      </c>
      <c r="G361">
        <v>67</v>
      </c>
      <c r="H361">
        <v>76</v>
      </c>
      <c r="I361">
        <v>30</v>
      </c>
      <c r="J361">
        <v>2</v>
      </c>
      <c r="K361">
        <v>0</v>
      </c>
    </row>
    <row r="362" spans="1:11" x14ac:dyDescent="0.25">
      <c r="A362">
        <v>44</v>
      </c>
      <c r="B362">
        <v>1</v>
      </c>
      <c r="C362">
        <v>3</v>
      </c>
      <c r="D362">
        <v>15</v>
      </c>
      <c r="E362">
        <v>2</v>
      </c>
      <c r="F362">
        <v>12.835765289999999</v>
      </c>
      <c r="G362">
        <v>8</v>
      </c>
      <c r="H362">
        <v>15</v>
      </c>
      <c r="I362">
        <v>44</v>
      </c>
      <c r="J362">
        <v>2</v>
      </c>
      <c r="K362">
        <v>0</v>
      </c>
    </row>
    <row r="363" spans="1:11" x14ac:dyDescent="0.25">
      <c r="A363">
        <v>39</v>
      </c>
      <c r="B363">
        <v>1</v>
      </c>
      <c r="C363">
        <v>3</v>
      </c>
      <c r="D363">
        <v>2</v>
      </c>
      <c r="E363">
        <v>1</v>
      </c>
      <c r="F363">
        <v>45.130772880000002</v>
      </c>
      <c r="G363">
        <v>21</v>
      </c>
      <c r="H363">
        <v>40</v>
      </c>
      <c r="I363">
        <v>58</v>
      </c>
      <c r="J363">
        <v>2</v>
      </c>
      <c r="K363">
        <v>0</v>
      </c>
    </row>
    <row r="364" spans="1:11" x14ac:dyDescent="0.25">
      <c r="A364">
        <v>47</v>
      </c>
      <c r="B364">
        <v>1</v>
      </c>
      <c r="C364">
        <v>3</v>
      </c>
      <c r="D364">
        <v>13</v>
      </c>
      <c r="E364">
        <v>2</v>
      </c>
      <c r="F364">
        <v>5.8489381260000002</v>
      </c>
      <c r="G364">
        <v>17</v>
      </c>
      <c r="H364">
        <v>97</v>
      </c>
      <c r="I364">
        <v>44</v>
      </c>
      <c r="J364">
        <v>1</v>
      </c>
      <c r="K364">
        <v>1</v>
      </c>
    </row>
    <row r="365" spans="1:11" x14ac:dyDescent="0.25">
      <c r="A365">
        <v>36</v>
      </c>
      <c r="B365">
        <v>1</v>
      </c>
      <c r="C365">
        <v>2</v>
      </c>
      <c r="D365">
        <v>8</v>
      </c>
      <c r="E365">
        <v>4</v>
      </c>
      <c r="F365">
        <v>3.7853418059999999</v>
      </c>
      <c r="G365">
        <v>75</v>
      </c>
      <c r="H365">
        <v>54</v>
      </c>
      <c r="I365">
        <v>74</v>
      </c>
      <c r="J365">
        <v>3</v>
      </c>
      <c r="K365">
        <v>1</v>
      </c>
    </row>
    <row r="366" spans="1:11" x14ac:dyDescent="0.25">
      <c r="A366">
        <v>21</v>
      </c>
      <c r="B366">
        <v>1</v>
      </c>
      <c r="C366">
        <v>1</v>
      </c>
      <c r="D366">
        <v>14</v>
      </c>
      <c r="E366">
        <v>4</v>
      </c>
      <c r="F366">
        <v>7.4611900049999997</v>
      </c>
      <c r="G366">
        <v>42</v>
      </c>
      <c r="H366">
        <v>100</v>
      </c>
      <c r="I366">
        <v>36</v>
      </c>
      <c r="J366">
        <v>1</v>
      </c>
      <c r="K366">
        <v>1</v>
      </c>
    </row>
    <row r="367" spans="1:11" x14ac:dyDescent="0.25">
      <c r="A367">
        <v>20</v>
      </c>
      <c r="B367">
        <v>0</v>
      </c>
      <c r="C367">
        <v>3</v>
      </c>
      <c r="D367">
        <v>5</v>
      </c>
      <c r="E367">
        <v>4</v>
      </c>
      <c r="F367">
        <v>3.887053973</v>
      </c>
      <c r="G367">
        <v>38</v>
      </c>
      <c r="H367">
        <v>60</v>
      </c>
      <c r="I367">
        <v>64</v>
      </c>
      <c r="J367">
        <v>3</v>
      </c>
      <c r="K367">
        <v>0</v>
      </c>
    </row>
    <row r="368" spans="1:11" x14ac:dyDescent="0.25">
      <c r="A368">
        <v>35</v>
      </c>
      <c r="B368">
        <v>0</v>
      </c>
      <c r="C368">
        <v>2</v>
      </c>
      <c r="D368">
        <v>8</v>
      </c>
      <c r="E368">
        <v>1</v>
      </c>
      <c r="F368">
        <v>43.250611859999999</v>
      </c>
      <c r="G368">
        <v>72</v>
      </c>
      <c r="H368">
        <v>85</v>
      </c>
      <c r="I368">
        <v>8</v>
      </c>
      <c r="J368">
        <v>2</v>
      </c>
      <c r="K368">
        <v>0</v>
      </c>
    </row>
    <row r="369" spans="1:11" x14ac:dyDescent="0.25">
      <c r="A369">
        <v>49</v>
      </c>
      <c r="B369">
        <v>0</v>
      </c>
      <c r="C369">
        <v>2</v>
      </c>
      <c r="D369">
        <v>12</v>
      </c>
      <c r="E369">
        <v>5</v>
      </c>
      <c r="F369">
        <v>3.952507223</v>
      </c>
      <c r="G369">
        <v>5</v>
      </c>
      <c r="H369">
        <v>80</v>
      </c>
      <c r="I369">
        <v>16</v>
      </c>
      <c r="J369">
        <v>2</v>
      </c>
      <c r="K369">
        <v>0</v>
      </c>
    </row>
    <row r="370" spans="1:11" x14ac:dyDescent="0.25">
      <c r="A370">
        <v>31</v>
      </c>
      <c r="B370">
        <v>0</v>
      </c>
      <c r="C370">
        <v>3</v>
      </c>
      <c r="D370">
        <v>14</v>
      </c>
      <c r="E370">
        <v>2</v>
      </c>
      <c r="F370">
        <v>14.583209569999999</v>
      </c>
      <c r="G370">
        <v>82</v>
      </c>
      <c r="H370">
        <v>86</v>
      </c>
      <c r="I370">
        <v>64</v>
      </c>
      <c r="J370">
        <v>1</v>
      </c>
      <c r="K370">
        <v>1</v>
      </c>
    </row>
    <row r="371" spans="1:11" x14ac:dyDescent="0.25">
      <c r="A371">
        <v>24</v>
      </c>
      <c r="B371">
        <v>1</v>
      </c>
      <c r="C371">
        <v>3</v>
      </c>
      <c r="D371">
        <v>4</v>
      </c>
      <c r="E371">
        <v>4</v>
      </c>
      <c r="F371">
        <v>6.1878171770000003</v>
      </c>
      <c r="G371">
        <v>47</v>
      </c>
      <c r="H371">
        <v>99</v>
      </c>
      <c r="I371">
        <v>2</v>
      </c>
      <c r="J371">
        <v>1</v>
      </c>
      <c r="K371">
        <v>1</v>
      </c>
    </row>
    <row r="372" spans="1:11" x14ac:dyDescent="0.25">
      <c r="A372">
        <v>24</v>
      </c>
      <c r="B372">
        <v>0</v>
      </c>
      <c r="C372">
        <v>2</v>
      </c>
      <c r="D372">
        <v>6</v>
      </c>
      <c r="E372">
        <v>2</v>
      </c>
      <c r="F372">
        <v>15.77110182</v>
      </c>
      <c r="G372">
        <v>6</v>
      </c>
      <c r="H372">
        <v>48</v>
      </c>
      <c r="I372">
        <v>25</v>
      </c>
      <c r="J372">
        <v>1</v>
      </c>
      <c r="K372">
        <v>0</v>
      </c>
    </row>
    <row r="373" spans="1:11" x14ac:dyDescent="0.25">
      <c r="A373">
        <v>46</v>
      </c>
      <c r="B373">
        <v>1</v>
      </c>
      <c r="C373">
        <v>2</v>
      </c>
      <c r="D373">
        <v>12</v>
      </c>
      <c r="E373">
        <v>1</v>
      </c>
      <c r="F373">
        <v>5.5279733799999997</v>
      </c>
      <c r="G373">
        <v>79</v>
      </c>
      <c r="H373">
        <v>72</v>
      </c>
      <c r="I373">
        <v>52</v>
      </c>
      <c r="J373">
        <v>1</v>
      </c>
      <c r="K373">
        <v>1</v>
      </c>
    </row>
    <row r="374" spans="1:11" x14ac:dyDescent="0.25">
      <c r="A374">
        <v>42</v>
      </c>
      <c r="B374">
        <v>0</v>
      </c>
      <c r="C374">
        <v>2</v>
      </c>
      <c r="D374">
        <v>15</v>
      </c>
      <c r="E374">
        <v>5</v>
      </c>
      <c r="F374">
        <v>34.400162539999997</v>
      </c>
      <c r="G374">
        <v>68</v>
      </c>
      <c r="H374">
        <v>51</v>
      </c>
      <c r="I374">
        <v>30</v>
      </c>
      <c r="J374">
        <v>2</v>
      </c>
      <c r="K374">
        <v>0</v>
      </c>
    </row>
    <row r="375" spans="1:11" x14ac:dyDescent="0.25">
      <c r="A375">
        <v>28</v>
      </c>
      <c r="B375">
        <v>0</v>
      </c>
      <c r="C375">
        <v>2</v>
      </c>
      <c r="D375">
        <v>13</v>
      </c>
      <c r="E375">
        <v>1</v>
      </c>
      <c r="F375">
        <v>7.666340817</v>
      </c>
      <c r="G375">
        <v>15</v>
      </c>
      <c r="H375">
        <v>1</v>
      </c>
      <c r="I375">
        <v>25</v>
      </c>
      <c r="J375">
        <v>2</v>
      </c>
      <c r="K375">
        <v>0</v>
      </c>
    </row>
    <row r="376" spans="1:11" x14ac:dyDescent="0.25">
      <c r="A376">
        <v>28</v>
      </c>
      <c r="B376">
        <v>0</v>
      </c>
      <c r="C376">
        <v>2</v>
      </c>
      <c r="D376">
        <v>3</v>
      </c>
      <c r="E376">
        <v>2</v>
      </c>
      <c r="F376">
        <v>43.59229629</v>
      </c>
      <c r="G376">
        <v>0</v>
      </c>
      <c r="H376">
        <v>95</v>
      </c>
      <c r="I376">
        <v>22</v>
      </c>
      <c r="J376">
        <v>2</v>
      </c>
      <c r="K376">
        <v>0</v>
      </c>
    </row>
    <row r="377" spans="1:11" x14ac:dyDescent="0.25">
      <c r="A377">
        <v>22</v>
      </c>
      <c r="B377">
        <v>1</v>
      </c>
      <c r="C377">
        <v>3</v>
      </c>
      <c r="D377">
        <v>14</v>
      </c>
      <c r="E377">
        <v>5</v>
      </c>
      <c r="F377">
        <v>41.859552540000003</v>
      </c>
      <c r="G377">
        <v>36</v>
      </c>
      <c r="H377">
        <v>49</v>
      </c>
      <c r="I377">
        <v>29</v>
      </c>
      <c r="J377">
        <v>1</v>
      </c>
      <c r="K377">
        <v>1</v>
      </c>
    </row>
    <row r="378" spans="1:11" x14ac:dyDescent="0.25">
      <c r="A378">
        <v>38</v>
      </c>
      <c r="B378">
        <v>0</v>
      </c>
      <c r="C378">
        <v>3</v>
      </c>
      <c r="D378">
        <v>15</v>
      </c>
      <c r="E378">
        <v>5</v>
      </c>
      <c r="F378">
        <v>1.683084274</v>
      </c>
      <c r="G378">
        <v>82</v>
      </c>
      <c r="H378">
        <v>85</v>
      </c>
      <c r="I378">
        <v>9</v>
      </c>
      <c r="J378">
        <v>3</v>
      </c>
      <c r="K378">
        <v>1</v>
      </c>
    </row>
    <row r="379" spans="1:11" x14ac:dyDescent="0.25">
      <c r="A379">
        <v>35</v>
      </c>
      <c r="B379">
        <v>1</v>
      </c>
      <c r="C379">
        <v>3</v>
      </c>
      <c r="D379">
        <v>6</v>
      </c>
      <c r="E379">
        <v>1</v>
      </c>
      <c r="F379">
        <v>45.786317779999997</v>
      </c>
      <c r="G379">
        <v>36</v>
      </c>
      <c r="H379">
        <v>42</v>
      </c>
      <c r="I379">
        <v>71</v>
      </c>
      <c r="J379">
        <v>2</v>
      </c>
      <c r="K379">
        <v>0</v>
      </c>
    </row>
    <row r="380" spans="1:11" x14ac:dyDescent="0.25">
      <c r="A380">
        <v>35</v>
      </c>
      <c r="B380">
        <v>1</v>
      </c>
      <c r="C380">
        <v>1</v>
      </c>
      <c r="D380">
        <v>12</v>
      </c>
      <c r="E380">
        <v>4</v>
      </c>
      <c r="F380">
        <v>2.4472158369999999</v>
      </c>
      <c r="G380">
        <v>80</v>
      </c>
      <c r="H380">
        <v>76</v>
      </c>
      <c r="I380">
        <v>88</v>
      </c>
      <c r="J380">
        <v>1</v>
      </c>
      <c r="K380">
        <v>1</v>
      </c>
    </row>
    <row r="381" spans="1:11" x14ac:dyDescent="0.25">
      <c r="A381">
        <v>22</v>
      </c>
      <c r="B381">
        <v>0</v>
      </c>
      <c r="C381">
        <v>3</v>
      </c>
      <c r="D381">
        <v>0</v>
      </c>
      <c r="E381">
        <v>2</v>
      </c>
      <c r="F381">
        <v>12.982289249999999</v>
      </c>
      <c r="G381">
        <v>63</v>
      </c>
      <c r="H381">
        <v>7</v>
      </c>
      <c r="I381">
        <v>63</v>
      </c>
      <c r="J381">
        <v>2</v>
      </c>
      <c r="K381">
        <v>0</v>
      </c>
    </row>
    <row r="382" spans="1:11" x14ac:dyDescent="0.25">
      <c r="A382">
        <v>39</v>
      </c>
      <c r="B382">
        <v>0</v>
      </c>
      <c r="C382">
        <v>3</v>
      </c>
      <c r="D382">
        <v>6</v>
      </c>
      <c r="E382">
        <v>3</v>
      </c>
      <c r="F382">
        <v>2.6194568889999998</v>
      </c>
      <c r="G382">
        <v>89</v>
      </c>
      <c r="H382">
        <v>58</v>
      </c>
      <c r="I382">
        <v>21</v>
      </c>
      <c r="J382">
        <v>1</v>
      </c>
      <c r="K382">
        <v>1</v>
      </c>
    </row>
    <row r="383" spans="1:11" x14ac:dyDescent="0.25">
      <c r="A383">
        <v>43</v>
      </c>
      <c r="B383">
        <v>0</v>
      </c>
      <c r="C383">
        <v>2</v>
      </c>
      <c r="D383">
        <v>7</v>
      </c>
      <c r="E383">
        <v>3</v>
      </c>
      <c r="F383">
        <v>17.79217435</v>
      </c>
      <c r="G383">
        <v>85</v>
      </c>
      <c r="H383">
        <v>64</v>
      </c>
      <c r="I383">
        <v>14</v>
      </c>
      <c r="J383">
        <v>1</v>
      </c>
      <c r="K383">
        <v>1</v>
      </c>
    </row>
    <row r="384" spans="1:11" x14ac:dyDescent="0.25">
      <c r="A384">
        <v>41</v>
      </c>
      <c r="B384">
        <v>1</v>
      </c>
      <c r="C384">
        <v>3</v>
      </c>
      <c r="D384">
        <v>4</v>
      </c>
      <c r="E384">
        <v>1</v>
      </c>
      <c r="F384">
        <v>26.693326290000002</v>
      </c>
      <c r="G384">
        <v>61</v>
      </c>
      <c r="H384">
        <v>80</v>
      </c>
      <c r="I384">
        <v>55</v>
      </c>
      <c r="J384">
        <v>2</v>
      </c>
      <c r="K384">
        <v>0</v>
      </c>
    </row>
    <row r="385" spans="1:11" x14ac:dyDescent="0.25">
      <c r="A385">
        <v>43</v>
      </c>
      <c r="B385">
        <v>0</v>
      </c>
      <c r="C385">
        <v>3</v>
      </c>
      <c r="D385">
        <v>1</v>
      </c>
      <c r="E385">
        <v>2</v>
      </c>
      <c r="F385">
        <v>40.83224345</v>
      </c>
      <c r="G385">
        <v>71</v>
      </c>
      <c r="H385">
        <v>11</v>
      </c>
      <c r="I385">
        <v>73</v>
      </c>
      <c r="J385">
        <v>2</v>
      </c>
      <c r="K385">
        <v>0</v>
      </c>
    </row>
    <row r="386" spans="1:11" x14ac:dyDescent="0.25">
      <c r="A386">
        <v>20</v>
      </c>
      <c r="B386">
        <v>1</v>
      </c>
      <c r="C386">
        <v>2</v>
      </c>
      <c r="D386">
        <v>4</v>
      </c>
      <c r="E386">
        <v>2</v>
      </c>
      <c r="F386">
        <v>17.899077519999999</v>
      </c>
      <c r="G386">
        <v>60</v>
      </c>
      <c r="H386">
        <v>3</v>
      </c>
      <c r="I386">
        <v>19</v>
      </c>
      <c r="J386">
        <v>3</v>
      </c>
      <c r="K386">
        <v>0</v>
      </c>
    </row>
    <row r="387" spans="1:11" x14ac:dyDescent="0.25">
      <c r="A387">
        <v>43</v>
      </c>
      <c r="B387">
        <v>1</v>
      </c>
      <c r="C387">
        <v>2</v>
      </c>
      <c r="D387">
        <v>5</v>
      </c>
      <c r="E387">
        <v>1</v>
      </c>
      <c r="F387">
        <v>36.274501229999998</v>
      </c>
      <c r="G387">
        <v>32</v>
      </c>
      <c r="H387">
        <v>76</v>
      </c>
      <c r="I387">
        <v>46</v>
      </c>
      <c r="J387">
        <v>2</v>
      </c>
      <c r="K387">
        <v>0</v>
      </c>
    </row>
    <row r="388" spans="1:11" x14ac:dyDescent="0.25">
      <c r="A388">
        <v>39</v>
      </c>
      <c r="B388">
        <v>0</v>
      </c>
      <c r="C388">
        <v>1</v>
      </c>
      <c r="D388">
        <v>11</v>
      </c>
      <c r="E388">
        <v>2</v>
      </c>
      <c r="F388">
        <v>10.375222859999999</v>
      </c>
      <c r="G388">
        <v>65</v>
      </c>
      <c r="H388">
        <v>94</v>
      </c>
      <c r="I388">
        <v>86</v>
      </c>
      <c r="J388">
        <v>3</v>
      </c>
      <c r="K388">
        <v>0</v>
      </c>
    </row>
    <row r="389" spans="1:11" x14ac:dyDescent="0.25">
      <c r="A389">
        <v>30</v>
      </c>
      <c r="B389">
        <v>0</v>
      </c>
      <c r="C389">
        <v>2</v>
      </c>
      <c r="D389">
        <v>1</v>
      </c>
      <c r="E389">
        <v>4</v>
      </c>
      <c r="F389">
        <v>38.529922839999998</v>
      </c>
      <c r="G389">
        <v>29</v>
      </c>
      <c r="H389">
        <v>40</v>
      </c>
      <c r="I389">
        <v>52</v>
      </c>
      <c r="J389">
        <v>3</v>
      </c>
      <c r="K389">
        <v>0</v>
      </c>
    </row>
    <row r="390" spans="1:11" x14ac:dyDescent="0.25">
      <c r="A390">
        <v>36</v>
      </c>
      <c r="B390">
        <v>1</v>
      </c>
      <c r="C390">
        <v>2</v>
      </c>
      <c r="D390">
        <v>13</v>
      </c>
      <c r="E390">
        <v>1</v>
      </c>
      <c r="F390">
        <v>12.7998303</v>
      </c>
      <c r="G390">
        <v>19</v>
      </c>
      <c r="H390">
        <v>6</v>
      </c>
      <c r="I390">
        <v>52</v>
      </c>
      <c r="J390">
        <v>3</v>
      </c>
      <c r="K390">
        <v>0</v>
      </c>
    </row>
    <row r="391" spans="1:11" x14ac:dyDescent="0.25">
      <c r="A391">
        <v>27</v>
      </c>
      <c r="B391">
        <v>1</v>
      </c>
      <c r="C391">
        <v>3</v>
      </c>
      <c r="D391">
        <v>5</v>
      </c>
      <c r="E391">
        <v>4</v>
      </c>
      <c r="F391">
        <v>8.1772377970000001</v>
      </c>
      <c r="G391">
        <v>59</v>
      </c>
      <c r="H391">
        <v>86</v>
      </c>
      <c r="I391">
        <v>0</v>
      </c>
      <c r="J391">
        <v>2</v>
      </c>
      <c r="K391">
        <v>0</v>
      </c>
    </row>
    <row r="392" spans="1:11" x14ac:dyDescent="0.25">
      <c r="A392">
        <v>23</v>
      </c>
      <c r="B392">
        <v>1</v>
      </c>
      <c r="C392">
        <v>2</v>
      </c>
      <c r="D392">
        <v>5</v>
      </c>
      <c r="E392">
        <v>2</v>
      </c>
      <c r="F392">
        <v>10.27044252</v>
      </c>
      <c r="G392">
        <v>81</v>
      </c>
      <c r="H392">
        <v>87</v>
      </c>
      <c r="I392">
        <v>1</v>
      </c>
      <c r="J392">
        <v>1</v>
      </c>
      <c r="K392">
        <v>1</v>
      </c>
    </row>
    <row r="393" spans="1:11" x14ac:dyDescent="0.25">
      <c r="A393">
        <v>25</v>
      </c>
      <c r="B393">
        <v>0</v>
      </c>
      <c r="C393">
        <v>1</v>
      </c>
      <c r="D393">
        <v>0</v>
      </c>
      <c r="E393">
        <v>1</v>
      </c>
      <c r="F393">
        <v>10.103156439999999</v>
      </c>
      <c r="G393">
        <v>73</v>
      </c>
      <c r="H393">
        <v>68</v>
      </c>
      <c r="I393">
        <v>57</v>
      </c>
      <c r="J393">
        <v>1</v>
      </c>
      <c r="K393">
        <v>1</v>
      </c>
    </row>
    <row r="394" spans="1:11" x14ac:dyDescent="0.25">
      <c r="A394">
        <v>27</v>
      </c>
      <c r="B394">
        <v>1</v>
      </c>
      <c r="C394">
        <v>2</v>
      </c>
      <c r="D394">
        <v>13</v>
      </c>
      <c r="E394">
        <v>2</v>
      </c>
      <c r="F394">
        <v>26.643143970000001</v>
      </c>
      <c r="G394">
        <v>23</v>
      </c>
      <c r="H394">
        <v>68</v>
      </c>
      <c r="I394">
        <v>18</v>
      </c>
      <c r="J394">
        <v>2</v>
      </c>
      <c r="K394">
        <v>0</v>
      </c>
    </row>
    <row r="395" spans="1:11" x14ac:dyDescent="0.25">
      <c r="A395">
        <v>39</v>
      </c>
      <c r="B395">
        <v>0</v>
      </c>
      <c r="C395">
        <v>1</v>
      </c>
      <c r="D395">
        <v>0</v>
      </c>
      <c r="E395">
        <v>1</v>
      </c>
      <c r="F395">
        <v>43.23987906</v>
      </c>
      <c r="G395">
        <v>3</v>
      </c>
      <c r="H395">
        <v>80</v>
      </c>
      <c r="I395">
        <v>61</v>
      </c>
      <c r="J395">
        <v>2</v>
      </c>
      <c r="K395">
        <v>0</v>
      </c>
    </row>
    <row r="396" spans="1:11" x14ac:dyDescent="0.25">
      <c r="A396">
        <v>49</v>
      </c>
      <c r="B396">
        <v>1</v>
      </c>
      <c r="C396">
        <v>1</v>
      </c>
      <c r="D396">
        <v>13</v>
      </c>
      <c r="E396">
        <v>2</v>
      </c>
      <c r="F396">
        <v>4.9802538500000004</v>
      </c>
      <c r="G396">
        <v>36</v>
      </c>
      <c r="H396">
        <v>29</v>
      </c>
      <c r="I396">
        <v>77</v>
      </c>
      <c r="J396">
        <v>1</v>
      </c>
      <c r="K396">
        <v>1</v>
      </c>
    </row>
    <row r="397" spans="1:11" x14ac:dyDescent="0.25">
      <c r="A397">
        <v>22</v>
      </c>
      <c r="B397">
        <v>1</v>
      </c>
      <c r="C397">
        <v>1</v>
      </c>
      <c r="D397">
        <v>10</v>
      </c>
      <c r="E397">
        <v>4</v>
      </c>
      <c r="F397">
        <v>36.347815920000002</v>
      </c>
      <c r="G397">
        <v>3</v>
      </c>
      <c r="H397">
        <v>72</v>
      </c>
      <c r="I397">
        <v>71</v>
      </c>
      <c r="J397">
        <v>2</v>
      </c>
      <c r="K397">
        <v>0</v>
      </c>
    </row>
    <row r="398" spans="1:11" x14ac:dyDescent="0.25">
      <c r="A398">
        <v>35</v>
      </c>
      <c r="B398">
        <v>0</v>
      </c>
      <c r="C398">
        <v>1</v>
      </c>
      <c r="D398">
        <v>15</v>
      </c>
      <c r="E398">
        <v>4</v>
      </c>
      <c r="F398">
        <v>33.717322979999999</v>
      </c>
      <c r="G398">
        <v>76</v>
      </c>
      <c r="H398">
        <v>5</v>
      </c>
      <c r="I398">
        <v>11</v>
      </c>
      <c r="J398">
        <v>1</v>
      </c>
      <c r="K398">
        <v>1</v>
      </c>
    </row>
    <row r="399" spans="1:11" x14ac:dyDescent="0.25">
      <c r="A399">
        <v>49</v>
      </c>
      <c r="B399">
        <v>1</v>
      </c>
      <c r="C399">
        <v>1</v>
      </c>
      <c r="D399">
        <v>9</v>
      </c>
      <c r="E399">
        <v>2</v>
      </c>
      <c r="F399">
        <v>44.625997589999997</v>
      </c>
      <c r="G399">
        <v>88</v>
      </c>
      <c r="H399">
        <v>88</v>
      </c>
      <c r="I399">
        <v>25</v>
      </c>
      <c r="J399">
        <v>2</v>
      </c>
      <c r="K399">
        <v>0</v>
      </c>
    </row>
    <row r="400" spans="1:11" x14ac:dyDescent="0.25">
      <c r="A400">
        <v>44</v>
      </c>
      <c r="B400">
        <v>0</v>
      </c>
      <c r="C400">
        <v>2</v>
      </c>
      <c r="D400">
        <v>2</v>
      </c>
      <c r="E400">
        <v>1</v>
      </c>
      <c r="F400">
        <v>13.207378029999999</v>
      </c>
      <c r="G400">
        <v>76</v>
      </c>
      <c r="H400">
        <v>18</v>
      </c>
      <c r="I400">
        <v>26</v>
      </c>
      <c r="J400">
        <v>1</v>
      </c>
      <c r="K400">
        <v>0</v>
      </c>
    </row>
    <row r="401" spans="1:11" x14ac:dyDescent="0.25">
      <c r="A401">
        <v>22</v>
      </c>
      <c r="B401">
        <v>0</v>
      </c>
      <c r="C401">
        <v>2</v>
      </c>
      <c r="D401">
        <v>13</v>
      </c>
      <c r="E401">
        <v>3</v>
      </c>
      <c r="F401">
        <v>23.505492929999999</v>
      </c>
      <c r="G401">
        <v>17</v>
      </c>
      <c r="H401">
        <v>79</v>
      </c>
      <c r="I401">
        <v>28</v>
      </c>
      <c r="J401">
        <v>2</v>
      </c>
      <c r="K401">
        <v>0</v>
      </c>
    </row>
    <row r="402" spans="1:11" x14ac:dyDescent="0.25">
      <c r="A402">
        <v>44</v>
      </c>
      <c r="B402">
        <v>1</v>
      </c>
      <c r="C402">
        <v>3</v>
      </c>
      <c r="D402">
        <v>9</v>
      </c>
      <c r="E402">
        <v>4</v>
      </c>
      <c r="F402">
        <v>47.291368720000001</v>
      </c>
      <c r="G402">
        <v>87</v>
      </c>
      <c r="H402">
        <v>84</v>
      </c>
      <c r="I402">
        <v>14</v>
      </c>
      <c r="J402">
        <v>2</v>
      </c>
      <c r="K402">
        <v>1</v>
      </c>
    </row>
    <row r="403" spans="1:11" x14ac:dyDescent="0.25">
      <c r="A403">
        <v>48</v>
      </c>
      <c r="B403">
        <v>0</v>
      </c>
      <c r="C403">
        <v>2</v>
      </c>
      <c r="D403">
        <v>9</v>
      </c>
      <c r="E403">
        <v>4</v>
      </c>
      <c r="F403">
        <v>33.999672510000003</v>
      </c>
      <c r="G403">
        <v>65</v>
      </c>
      <c r="H403">
        <v>65</v>
      </c>
      <c r="I403">
        <v>45</v>
      </c>
      <c r="J403">
        <v>1</v>
      </c>
      <c r="K403">
        <v>1</v>
      </c>
    </row>
    <row r="404" spans="1:11" x14ac:dyDescent="0.25">
      <c r="A404">
        <v>37</v>
      </c>
      <c r="B404">
        <v>0</v>
      </c>
      <c r="C404">
        <v>3</v>
      </c>
      <c r="D404">
        <v>14</v>
      </c>
      <c r="E404">
        <v>3</v>
      </c>
      <c r="F404">
        <v>20.43842064</v>
      </c>
      <c r="G404">
        <v>47</v>
      </c>
      <c r="H404">
        <v>9</v>
      </c>
      <c r="I404">
        <v>0</v>
      </c>
      <c r="J404">
        <v>2</v>
      </c>
      <c r="K404">
        <v>0</v>
      </c>
    </row>
    <row r="405" spans="1:11" x14ac:dyDescent="0.25">
      <c r="A405">
        <v>33</v>
      </c>
      <c r="B405">
        <v>1</v>
      </c>
      <c r="C405">
        <v>1</v>
      </c>
      <c r="D405">
        <v>11</v>
      </c>
      <c r="E405">
        <v>2</v>
      </c>
      <c r="F405">
        <v>7.5706191430000001</v>
      </c>
      <c r="G405">
        <v>32</v>
      </c>
      <c r="H405">
        <v>15</v>
      </c>
      <c r="I405">
        <v>59</v>
      </c>
      <c r="J405">
        <v>2</v>
      </c>
      <c r="K405">
        <v>0</v>
      </c>
    </row>
    <row r="406" spans="1:11" x14ac:dyDescent="0.25">
      <c r="A406">
        <v>37</v>
      </c>
      <c r="B406">
        <v>0</v>
      </c>
      <c r="C406">
        <v>2</v>
      </c>
      <c r="D406">
        <v>2</v>
      </c>
      <c r="E406">
        <v>1</v>
      </c>
      <c r="F406">
        <v>14.124250399999999</v>
      </c>
      <c r="G406">
        <v>57</v>
      </c>
      <c r="H406">
        <v>36</v>
      </c>
      <c r="I406">
        <v>91</v>
      </c>
      <c r="J406">
        <v>1</v>
      </c>
      <c r="K406">
        <v>0</v>
      </c>
    </row>
    <row r="407" spans="1:11" x14ac:dyDescent="0.25">
      <c r="A407">
        <v>21</v>
      </c>
      <c r="B407">
        <v>0</v>
      </c>
      <c r="C407">
        <v>3</v>
      </c>
      <c r="D407">
        <v>3</v>
      </c>
      <c r="E407">
        <v>2</v>
      </c>
      <c r="F407">
        <v>30.060773869999998</v>
      </c>
      <c r="G407">
        <v>82</v>
      </c>
      <c r="H407">
        <v>78</v>
      </c>
      <c r="I407">
        <v>56</v>
      </c>
      <c r="J407">
        <v>1</v>
      </c>
      <c r="K407">
        <v>1</v>
      </c>
    </row>
    <row r="408" spans="1:11" x14ac:dyDescent="0.25">
      <c r="A408">
        <v>41</v>
      </c>
      <c r="B408">
        <v>0</v>
      </c>
      <c r="C408">
        <v>1</v>
      </c>
      <c r="D408">
        <v>1</v>
      </c>
      <c r="E408">
        <v>5</v>
      </c>
      <c r="F408">
        <v>36.908397379999997</v>
      </c>
      <c r="G408">
        <v>72</v>
      </c>
      <c r="H408">
        <v>76</v>
      </c>
      <c r="I408">
        <v>2</v>
      </c>
      <c r="J408">
        <v>2</v>
      </c>
      <c r="K408">
        <v>0</v>
      </c>
    </row>
    <row r="409" spans="1:11" x14ac:dyDescent="0.25">
      <c r="A409">
        <v>22</v>
      </c>
      <c r="B409">
        <v>1</v>
      </c>
      <c r="C409">
        <v>2</v>
      </c>
      <c r="D409">
        <v>8</v>
      </c>
      <c r="E409">
        <v>4</v>
      </c>
      <c r="F409">
        <v>7.2210943429999999</v>
      </c>
      <c r="G409">
        <v>27</v>
      </c>
      <c r="H409">
        <v>76</v>
      </c>
      <c r="I409">
        <v>17</v>
      </c>
      <c r="J409">
        <v>2</v>
      </c>
      <c r="K409">
        <v>0</v>
      </c>
    </row>
    <row r="410" spans="1:11" x14ac:dyDescent="0.25">
      <c r="A410">
        <v>35</v>
      </c>
      <c r="B410">
        <v>0</v>
      </c>
      <c r="C410">
        <v>2</v>
      </c>
      <c r="D410">
        <v>9</v>
      </c>
      <c r="E410">
        <v>5</v>
      </c>
      <c r="F410">
        <v>30.979863000000002</v>
      </c>
      <c r="G410">
        <v>34</v>
      </c>
      <c r="H410">
        <v>31</v>
      </c>
      <c r="I410">
        <v>51</v>
      </c>
      <c r="J410">
        <v>2</v>
      </c>
      <c r="K410">
        <v>0</v>
      </c>
    </row>
    <row r="411" spans="1:11" x14ac:dyDescent="0.25">
      <c r="A411">
        <v>48</v>
      </c>
      <c r="B411">
        <v>1</v>
      </c>
      <c r="C411">
        <v>2</v>
      </c>
      <c r="D411">
        <v>11</v>
      </c>
      <c r="E411">
        <v>4</v>
      </c>
      <c r="F411">
        <v>28.517563939999999</v>
      </c>
      <c r="G411">
        <v>9</v>
      </c>
      <c r="H411">
        <v>46</v>
      </c>
      <c r="I411">
        <v>59</v>
      </c>
      <c r="J411">
        <v>1</v>
      </c>
      <c r="K411">
        <v>0</v>
      </c>
    </row>
    <row r="412" spans="1:11" x14ac:dyDescent="0.25">
      <c r="A412">
        <v>28</v>
      </c>
      <c r="B412">
        <v>1</v>
      </c>
      <c r="C412">
        <v>1</v>
      </c>
      <c r="D412">
        <v>10</v>
      </c>
      <c r="E412">
        <v>4</v>
      </c>
      <c r="F412">
        <v>26.697772329999999</v>
      </c>
      <c r="G412">
        <v>64</v>
      </c>
      <c r="H412">
        <v>71</v>
      </c>
      <c r="I412">
        <v>33</v>
      </c>
      <c r="J412">
        <v>2</v>
      </c>
      <c r="K412">
        <v>0</v>
      </c>
    </row>
    <row r="413" spans="1:11" x14ac:dyDescent="0.25">
      <c r="A413">
        <v>23</v>
      </c>
      <c r="B413">
        <v>0</v>
      </c>
      <c r="C413">
        <v>2</v>
      </c>
      <c r="D413">
        <v>13</v>
      </c>
      <c r="E413">
        <v>5</v>
      </c>
      <c r="F413">
        <v>35.506155880000001</v>
      </c>
      <c r="G413">
        <v>41</v>
      </c>
      <c r="H413">
        <v>42</v>
      </c>
      <c r="I413">
        <v>95</v>
      </c>
      <c r="J413">
        <v>1</v>
      </c>
      <c r="K413">
        <v>1</v>
      </c>
    </row>
    <row r="414" spans="1:11" x14ac:dyDescent="0.25">
      <c r="A414">
        <v>20</v>
      </c>
      <c r="B414">
        <v>0</v>
      </c>
      <c r="C414">
        <v>2</v>
      </c>
      <c r="D414">
        <v>6</v>
      </c>
      <c r="E414">
        <v>5</v>
      </c>
      <c r="F414">
        <v>42.872479749999997</v>
      </c>
      <c r="G414">
        <v>84</v>
      </c>
      <c r="H414">
        <v>81</v>
      </c>
      <c r="I414">
        <v>92</v>
      </c>
      <c r="J414">
        <v>3</v>
      </c>
      <c r="K414">
        <v>1</v>
      </c>
    </row>
    <row r="415" spans="1:11" x14ac:dyDescent="0.25">
      <c r="A415">
        <v>23</v>
      </c>
      <c r="B415">
        <v>0</v>
      </c>
      <c r="C415">
        <v>1</v>
      </c>
      <c r="D415">
        <v>6</v>
      </c>
      <c r="E415">
        <v>2</v>
      </c>
      <c r="F415">
        <v>17.14948416</v>
      </c>
      <c r="G415">
        <v>8</v>
      </c>
      <c r="H415">
        <v>35</v>
      </c>
      <c r="I415">
        <v>88</v>
      </c>
      <c r="J415">
        <v>2</v>
      </c>
      <c r="K415">
        <v>0</v>
      </c>
    </row>
    <row r="416" spans="1:11" x14ac:dyDescent="0.25">
      <c r="A416">
        <v>20</v>
      </c>
      <c r="B416">
        <v>1</v>
      </c>
      <c r="C416">
        <v>2</v>
      </c>
      <c r="D416">
        <v>14</v>
      </c>
      <c r="E416">
        <v>5</v>
      </c>
      <c r="F416">
        <v>45.45060951</v>
      </c>
      <c r="G416">
        <v>59</v>
      </c>
      <c r="H416">
        <v>25</v>
      </c>
      <c r="I416">
        <v>59</v>
      </c>
      <c r="J416">
        <v>3</v>
      </c>
      <c r="K416">
        <v>0</v>
      </c>
    </row>
    <row r="417" spans="1:11" x14ac:dyDescent="0.25">
      <c r="A417">
        <v>33</v>
      </c>
      <c r="B417">
        <v>0</v>
      </c>
      <c r="C417">
        <v>3</v>
      </c>
      <c r="D417">
        <v>5</v>
      </c>
      <c r="E417">
        <v>2</v>
      </c>
      <c r="F417">
        <v>9.0316806310000004</v>
      </c>
      <c r="G417">
        <v>14</v>
      </c>
      <c r="H417">
        <v>9</v>
      </c>
      <c r="I417">
        <v>25</v>
      </c>
      <c r="J417">
        <v>2</v>
      </c>
      <c r="K417">
        <v>0</v>
      </c>
    </row>
    <row r="418" spans="1:11" x14ac:dyDescent="0.25">
      <c r="A418">
        <v>40</v>
      </c>
      <c r="B418">
        <v>0</v>
      </c>
      <c r="C418">
        <v>4</v>
      </c>
      <c r="D418">
        <v>14</v>
      </c>
      <c r="E418">
        <v>2</v>
      </c>
      <c r="F418">
        <v>9.6511934880000005</v>
      </c>
      <c r="G418">
        <v>98</v>
      </c>
      <c r="H418">
        <v>30</v>
      </c>
      <c r="I418">
        <v>71</v>
      </c>
      <c r="J418">
        <v>2</v>
      </c>
      <c r="K418">
        <v>1</v>
      </c>
    </row>
    <row r="419" spans="1:11" x14ac:dyDescent="0.25">
      <c r="A419">
        <v>35</v>
      </c>
      <c r="B419">
        <v>0</v>
      </c>
      <c r="C419">
        <v>2</v>
      </c>
      <c r="D419">
        <v>2</v>
      </c>
      <c r="E419">
        <v>2</v>
      </c>
      <c r="F419">
        <v>14.33860318</v>
      </c>
      <c r="G419">
        <v>56</v>
      </c>
      <c r="H419">
        <v>96</v>
      </c>
      <c r="I419">
        <v>18</v>
      </c>
      <c r="J419">
        <v>2</v>
      </c>
      <c r="K419">
        <v>0</v>
      </c>
    </row>
    <row r="420" spans="1:11" x14ac:dyDescent="0.25">
      <c r="A420">
        <v>39</v>
      </c>
      <c r="B420">
        <v>0</v>
      </c>
      <c r="C420">
        <v>3</v>
      </c>
      <c r="D420">
        <v>5</v>
      </c>
      <c r="E420">
        <v>4</v>
      </c>
      <c r="F420">
        <v>6.9765434769999999</v>
      </c>
      <c r="G420">
        <v>68</v>
      </c>
      <c r="H420">
        <v>28</v>
      </c>
      <c r="I420">
        <v>21</v>
      </c>
      <c r="J420">
        <v>2</v>
      </c>
      <c r="K420">
        <v>0</v>
      </c>
    </row>
    <row r="421" spans="1:11" x14ac:dyDescent="0.25">
      <c r="A421">
        <v>43</v>
      </c>
      <c r="B421">
        <v>0</v>
      </c>
      <c r="C421">
        <v>2</v>
      </c>
      <c r="D421">
        <v>14</v>
      </c>
      <c r="E421">
        <v>4</v>
      </c>
      <c r="F421">
        <v>12.51596123</v>
      </c>
      <c r="G421">
        <v>21</v>
      </c>
      <c r="H421">
        <v>4</v>
      </c>
      <c r="I421">
        <v>92</v>
      </c>
      <c r="J421">
        <v>2</v>
      </c>
      <c r="K421">
        <v>0</v>
      </c>
    </row>
    <row r="422" spans="1:11" x14ac:dyDescent="0.25">
      <c r="A422">
        <v>27</v>
      </c>
      <c r="B422">
        <v>1</v>
      </c>
      <c r="C422">
        <v>2</v>
      </c>
      <c r="D422">
        <v>13</v>
      </c>
      <c r="E422">
        <v>5</v>
      </c>
      <c r="F422">
        <v>6.3205881450000003</v>
      </c>
      <c r="G422">
        <v>63</v>
      </c>
      <c r="H422">
        <v>76</v>
      </c>
      <c r="I422">
        <v>32</v>
      </c>
      <c r="J422">
        <v>2</v>
      </c>
      <c r="K422">
        <v>0</v>
      </c>
    </row>
    <row r="423" spans="1:11" x14ac:dyDescent="0.25">
      <c r="A423">
        <v>26</v>
      </c>
      <c r="B423">
        <v>1</v>
      </c>
      <c r="C423">
        <v>1</v>
      </c>
      <c r="D423">
        <v>11</v>
      </c>
      <c r="E423">
        <v>4</v>
      </c>
      <c r="F423">
        <v>42.08762085</v>
      </c>
      <c r="G423">
        <v>40</v>
      </c>
      <c r="H423">
        <v>0</v>
      </c>
      <c r="I423">
        <v>37</v>
      </c>
      <c r="J423">
        <v>2</v>
      </c>
      <c r="K423">
        <v>0</v>
      </c>
    </row>
    <row r="424" spans="1:11" x14ac:dyDescent="0.25">
      <c r="A424">
        <v>22</v>
      </c>
      <c r="B424">
        <v>0</v>
      </c>
      <c r="C424">
        <v>3</v>
      </c>
      <c r="D424">
        <v>7</v>
      </c>
      <c r="E424">
        <v>5</v>
      </c>
      <c r="F424">
        <v>7.9484495940000004</v>
      </c>
      <c r="G424">
        <v>86</v>
      </c>
      <c r="H424">
        <v>86</v>
      </c>
      <c r="I424">
        <v>34</v>
      </c>
      <c r="J424">
        <v>2</v>
      </c>
      <c r="K424">
        <v>1</v>
      </c>
    </row>
    <row r="425" spans="1:11" x14ac:dyDescent="0.25">
      <c r="A425">
        <v>36</v>
      </c>
      <c r="B425">
        <v>0</v>
      </c>
      <c r="C425">
        <v>2</v>
      </c>
      <c r="D425">
        <v>7</v>
      </c>
      <c r="E425">
        <v>4</v>
      </c>
      <c r="F425">
        <v>38.364877880000002</v>
      </c>
      <c r="G425">
        <v>70</v>
      </c>
      <c r="H425">
        <v>2</v>
      </c>
      <c r="I425">
        <v>66</v>
      </c>
      <c r="J425">
        <v>2</v>
      </c>
      <c r="K425">
        <v>0</v>
      </c>
    </row>
    <row r="426" spans="1:11" x14ac:dyDescent="0.25">
      <c r="A426">
        <v>20</v>
      </c>
      <c r="B426">
        <v>0</v>
      </c>
      <c r="C426">
        <v>2</v>
      </c>
      <c r="D426">
        <v>10</v>
      </c>
      <c r="E426">
        <v>1</v>
      </c>
      <c r="F426">
        <v>3.395693396</v>
      </c>
      <c r="G426">
        <v>55</v>
      </c>
      <c r="H426">
        <v>66</v>
      </c>
      <c r="I426">
        <v>82</v>
      </c>
      <c r="J426">
        <v>3</v>
      </c>
      <c r="K426">
        <v>0</v>
      </c>
    </row>
    <row r="427" spans="1:11" x14ac:dyDescent="0.25">
      <c r="A427">
        <v>35</v>
      </c>
      <c r="B427">
        <v>0</v>
      </c>
      <c r="C427">
        <v>1</v>
      </c>
      <c r="D427">
        <v>12</v>
      </c>
      <c r="E427">
        <v>1</v>
      </c>
      <c r="F427">
        <v>48.42601638</v>
      </c>
      <c r="G427">
        <v>22</v>
      </c>
      <c r="H427">
        <v>70</v>
      </c>
      <c r="I427">
        <v>9</v>
      </c>
      <c r="J427">
        <v>2</v>
      </c>
      <c r="K427">
        <v>0</v>
      </c>
    </row>
    <row r="428" spans="1:11" x14ac:dyDescent="0.25">
      <c r="A428">
        <v>31</v>
      </c>
      <c r="B428">
        <v>1</v>
      </c>
      <c r="C428">
        <v>3</v>
      </c>
      <c r="D428">
        <v>8</v>
      </c>
      <c r="E428">
        <v>5</v>
      </c>
      <c r="F428">
        <v>36.55800438</v>
      </c>
      <c r="G428">
        <v>24</v>
      </c>
      <c r="H428">
        <v>99</v>
      </c>
      <c r="I428">
        <v>90</v>
      </c>
      <c r="J428">
        <v>2</v>
      </c>
      <c r="K428">
        <v>1</v>
      </c>
    </row>
    <row r="429" spans="1:11" x14ac:dyDescent="0.25">
      <c r="A429">
        <v>46</v>
      </c>
      <c r="B429">
        <v>0</v>
      </c>
      <c r="C429">
        <v>3</v>
      </c>
      <c r="D429">
        <v>14</v>
      </c>
      <c r="E429">
        <v>4</v>
      </c>
      <c r="F429">
        <v>1.3398274290000001</v>
      </c>
      <c r="G429">
        <v>90</v>
      </c>
      <c r="H429">
        <v>34</v>
      </c>
      <c r="I429">
        <v>14</v>
      </c>
      <c r="J429">
        <v>2</v>
      </c>
      <c r="K429">
        <v>0</v>
      </c>
    </row>
    <row r="430" spans="1:11" x14ac:dyDescent="0.25">
      <c r="A430">
        <v>38</v>
      </c>
      <c r="B430">
        <v>1</v>
      </c>
      <c r="C430">
        <v>3</v>
      </c>
      <c r="D430">
        <v>0</v>
      </c>
      <c r="E430">
        <v>4</v>
      </c>
      <c r="F430">
        <v>39.19282501</v>
      </c>
      <c r="G430">
        <v>5</v>
      </c>
      <c r="H430">
        <v>14</v>
      </c>
      <c r="I430">
        <v>10</v>
      </c>
      <c r="J430">
        <v>2</v>
      </c>
      <c r="K430">
        <v>0</v>
      </c>
    </row>
    <row r="431" spans="1:11" x14ac:dyDescent="0.25">
      <c r="A431">
        <v>41</v>
      </c>
      <c r="B431">
        <v>1</v>
      </c>
      <c r="C431">
        <v>2</v>
      </c>
      <c r="D431">
        <v>13</v>
      </c>
      <c r="E431">
        <v>2</v>
      </c>
      <c r="F431">
        <v>26.70409604</v>
      </c>
      <c r="G431">
        <v>33</v>
      </c>
      <c r="H431">
        <v>66</v>
      </c>
      <c r="I431">
        <v>89</v>
      </c>
      <c r="J431">
        <v>3</v>
      </c>
      <c r="K431">
        <v>0</v>
      </c>
    </row>
    <row r="432" spans="1:11" x14ac:dyDescent="0.25">
      <c r="A432">
        <v>42</v>
      </c>
      <c r="B432">
        <v>0</v>
      </c>
      <c r="C432">
        <v>1</v>
      </c>
      <c r="D432">
        <v>0</v>
      </c>
      <c r="E432">
        <v>3</v>
      </c>
      <c r="F432">
        <v>39.968258519999999</v>
      </c>
      <c r="G432">
        <v>62</v>
      </c>
      <c r="H432">
        <v>92</v>
      </c>
      <c r="I432">
        <v>23</v>
      </c>
      <c r="J432">
        <v>3</v>
      </c>
      <c r="K432">
        <v>0</v>
      </c>
    </row>
    <row r="433" spans="1:11" x14ac:dyDescent="0.25">
      <c r="A433">
        <v>41</v>
      </c>
      <c r="B433">
        <v>1</v>
      </c>
      <c r="C433">
        <v>2</v>
      </c>
      <c r="D433">
        <v>2</v>
      </c>
      <c r="E433">
        <v>5</v>
      </c>
      <c r="F433">
        <v>27.12484044</v>
      </c>
      <c r="G433">
        <v>8</v>
      </c>
      <c r="H433">
        <v>29</v>
      </c>
      <c r="I433">
        <v>76</v>
      </c>
      <c r="J433">
        <v>2</v>
      </c>
      <c r="K433">
        <v>0</v>
      </c>
    </row>
    <row r="434" spans="1:11" x14ac:dyDescent="0.25">
      <c r="A434">
        <v>33</v>
      </c>
      <c r="B434">
        <v>1</v>
      </c>
      <c r="C434">
        <v>2</v>
      </c>
      <c r="D434">
        <v>2</v>
      </c>
      <c r="E434">
        <v>3</v>
      </c>
      <c r="F434">
        <v>33.051242879999997</v>
      </c>
      <c r="G434">
        <v>59</v>
      </c>
      <c r="H434">
        <v>81</v>
      </c>
      <c r="I434">
        <v>95</v>
      </c>
      <c r="J434">
        <v>2</v>
      </c>
      <c r="K434">
        <v>0</v>
      </c>
    </row>
    <row r="435" spans="1:11" x14ac:dyDescent="0.25">
      <c r="A435">
        <v>49</v>
      </c>
      <c r="B435">
        <v>1</v>
      </c>
      <c r="C435">
        <v>1</v>
      </c>
      <c r="D435">
        <v>9</v>
      </c>
      <c r="E435">
        <v>3</v>
      </c>
      <c r="F435">
        <v>40.316582769999997</v>
      </c>
      <c r="G435">
        <v>48</v>
      </c>
      <c r="H435">
        <v>74</v>
      </c>
      <c r="I435">
        <v>100</v>
      </c>
      <c r="J435">
        <v>2</v>
      </c>
      <c r="K435">
        <v>0</v>
      </c>
    </row>
    <row r="436" spans="1:11" x14ac:dyDescent="0.25">
      <c r="A436">
        <v>25</v>
      </c>
      <c r="B436">
        <v>1</v>
      </c>
      <c r="C436">
        <v>2</v>
      </c>
      <c r="D436">
        <v>7</v>
      </c>
      <c r="E436">
        <v>5</v>
      </c>
      <c r="F436">
        <v>21.25540273</v>
      </c>
      <c r="G436">
        <v>96</v>
      </c>
      <c r="H436">
        <v>42</v>
      </c>
      <c r="I436">
        <v>3</v>
      </c>
      <c r="J436">
        <v>2</v>
      </c>
      <c r="K436">
        <v>0</v>
      </c>
    </row>
    <row r="437" spans="1:11" x14ac:dyDescent="0.25">
      <c r="A437">
        <v>25</v>
      </c>
      <c r="B437">
        <v>0</v>
      </c>
      <c r="C437">
        <v>4</v>
      </c>
      <c r="D437">
        <v>14</v>
      </c>
      <c r="E437">
        <v>4</v>
      </c>
      <c r="F437">
        <v>1.135407491</v>
      </c>
      <c r="G437">
        <v>50</v>
      </c>
      <c r="H437">
        <v>59</v>
      </c>
      <c r="I437">
        <v>12</v>
      </c>
      <c r="J437">
        <v>3</v>
      </c>
      <c r="K437">
        <v>0</v>
      </c>
    </row>
    <row r="438" spans="1:11" x14ac:dyDescent="0.25">
      <c r="A438">
        <v>32</v>
      </c>
      <c r="B438">
        <v>0</v>
      </c>
      <c r="C438">
        <v>3</v>
      </c>
      <c r="D438">
        <v>9</v>
      </c>
      <c r="E438">
        <v>5</v>
      </c>
      <c r="F438">
        <v>43.497324800000001</v>
      </c>
      <c r="G438">
        <v>59</v>
      </c>
      <c r="H438">
        <v>39</v>
      </c>
      <c r="I438">
        <v>72</v>
      </c>
      <c r="J438">
        <v>1</v>
      </c>
      <c r="K438">
        <v>1</v>
      </c>
    </row>
    <row r="439" spans="1:11" x14ac:dyDescent="0.25">
      <c r="A439">
        <v>38</v>
      </c>
      <c r="B439">
        <v>1</v>
      </c>
      <c r="C439">
        <v>3</v>
      </c>
      <c r="D439">
        <v>0</v>
      </c>
      <c r="E439">
        <v>3</v>
      </c>
      <c r="F439">
        <v>20.04451813</v>
      </c>
      <c r="G439">
        <v>69</v>
      </c>
      <c r="H439">
        <v>64</v>
      </c>
      <c r="I439">
        <v>56</v>
      </c>
      <c r="J439">
        <v>1</v>
      </c>
      <c r="K439">
        <v>1</v>
      </c>
    </row>
    <row r="440" spans="1:11" x14ac:dyDescent="0.25">
      <c r="A440">
        <v>41</v>
      </c>
      <c r="B440">
        <v>0</v>
      </c>
      <c r="C440">
        <v>4</v>
      </c>
      <c r="D440">
        <v>12</v>
      </c>
      <c r="E440">
        <v>4</v>
      </c>
      <c r="F440">
        <v>25.802136300000001</v>
      </c>
      <c r="G440">
        <v>36</v>
      </c>
      <c r="H440">
        <v>28</v>
      </c>
      <c r="I440">
        <v>97</v>
      </c>
      <c r="J440">
        <v>1</v>
      </c>
      <c r="K440">
        <v>1</v>
      </c>
    </row>
    <row r="441" spans="1:11" x14ac:dyDescent="0.25">
      <c r="A441">
        <v>27</v>
      </c>
      <c r="B441">
        <v>0</v>
      </c>
      <c r="C441">
        <v>2</v>
      </c>
      <c r="D441">
        <v>1</v>
      </c>
      <c r="E441">
        <v>1</v>
      </c>
      <c r="F441">
        <v>1.388332108</v>
      </c>
      <c r="G441">
        <v>30</v>
      </c>
      <c r="H441">
        <v>73</v>
      </c>
      <c r="I441">
        <v>36</v>
      </c>
      <c r="J441">
        <v>2</v>
      </c>
      <c r="K441">
        <v>0</v>
      </c>
    </row>
    <row r="442" spans="1:11" x14ac:dyDescent="0.25">
      <c r="A442">
        <v>46</v>
      </c>
      <c r="B442">
        <v>0</v>
      </c>
      <c r="C442">
        <v>2</v>
      </c>
      <c r="D442">
        <v>1</v>
      </c>
      <c r="E442">
        <v>5</v>
      </c>
      <c r="F442">
        <v>25.604600520000002</v>
      </c>
      <c r="G442">
        <v>97</v>
      </c>
      <c r="H442">
        <v>91</v>
      </c>
      <c r="I442">
        <v>47</v>
      </c>
      <c r="J442">
        <v>3</v>
      </c>
      <c r="K442">
        <v>0</v>
      </c>
    </row>
    <row r="443" spans="1:11" x14ac:dyDescent="0.25">
      <c r="A443">
        <v>46</v>
      </c>
      <c r="B443">
        <v>0</v>
      </c>
      <c r="C443">
        <v>4</v>
      </c>
      <c r="D443">
        <v>2</v>
      </c>
      <c r="E443">
        <v>5</v>
      </c>
      <c r="F443">
        <v>50.324370080000001</v>
      </c>
      <c r="G443">
        <v>40</v>
      </c>
      <c r="H443">
        <v>94</v>
      </c>
      <c r="I443">
        <v>70</v>
      </c>
      <c r="J443">
        <v>1</v>
      </c>
      <c r="K443">
        <v>1</v>
      </c>
    </row>
    <row r="444" spans="1:11" x14ac:dyDescent="0.25">
      <c r="A444">
        <v>21</v>
      </c>
      <c r="B444">
        <v>0</v>
      </c>
      <c r="C444">
        <v>1</v>
      </c>
      <c r="D444">
        <v>12</v>
      </c>
      <c r="E444">
        <v>4</v>
      </c>
      <c r="F444">
        <v>14.913383039999999</v>
      </c>
      <c r="G444">
        <v>61</v>
      </c>
      <c r="H444">
        <v>18</v>
      </c>
      <c r="I444">
        <v>0</v>
      </c>
      <c r="J444">
        <v>2</v>
      </c>
      <c r="K444">
        <v>0</v>
      </c>
    </row>
    <row r="445" spans="1:11" x14ac:dyDescent="0.25">
      <c r="A445">
        <v>40</v>
      </c>
      <c r="B445">
        <v>1</v>
      </c>
      <c r="C445">
        <v>3</v>
      </c>
      <c r="D445">
        <v>5</v>
      </c>
      <c r="E445">
        <v>1</v>
      </c>
      <c r="F445">
        <v>20.77091351</v>
      </c>
      <c r="G445">
        <v>92</v>
      </c>
      <c r="H445">
        <v>2</v>
      </c>
      <c r="I445">
        <v>59</v>
      </c>
      <c r="J445">
        <v>2</v>
      </c>
      <c r="K445">
        <v>0</v>
      </c>
    </row>
    <row r="446" spans="1:11" x14ac:dyDescent="0.25">
      <c r="A446">
        <v>49</v>
      </c>
      <c r="B446">
        <v>0</v>
      </c>
      <c r="C446">
        <v>2</v>
      </c>
      <c r="D446">
        <v>0</v>
      </c>
      <c r="E446">
        <v>1</v>
      </c>
      <c r="F446">
        <v>35.359499820000003</v>
      </c>
      <c r="G446">
        <v>57</v>
      </c>
      <c r="H446">
        <v>35</v>
      </c>
      <c r="I446">
        <v>11</v>
      </c>
      <c r="J446">
        <v>2</v>
      </c>
      <c r="K446">
        <v>0</v>
      </c>
    </row>
    <row r="447" spans="1:11" x14ac:dyDescent="0.25">
      <c r="A447">
        <v>20</v>
      </c>
      <c r="B447">
        <v>0</v>
      </c>
      <c r="C447">
        <v>2</v>
      </c>
      <c r="D447">
        <v>1</v>
      </c>
      <c r="E447">
        <v>4</v>
      </c>
      <c r="F447">
        <v>41.739683380000002</v>
      </c>
      <c r="G447">
        <v>13</v>
      </c>
      <c r="H447">
        <v>42</v>
      </c>
      <c r="I447">
        <v>20</v>
      </c>
      <c r="J447">
        <v>2</v>
      </c>
      <c r="K447">
        <v>0</v>
      </c>
    </row>
    <row r="448" spans="1:11" x14ac:dyDescent="0.25">
      <c r="A448">
        <v>47</v>
      </c>
      <c r="B448">
        <v>0</v>
      </c>
      <c r="C448">
        <v>2</v>
      </c>
      <c r="D448">
        <v>12</v>
      </c>
      <c r="E448">
        <v>2</v>
      </c>
      <c r="F448">
        <v>21.869581199999999</v>
      </c>
      <c r="G448">
        <v>35</v>
      </c>
      <c r="H448">
        <v>14</v>
      </c>
      <c r="I448">
        <v>10</v>
      </c>
      <c r="J448">
        <v>3</v>
      </c>
      <c r="K448">
        <v>0</v>
      </c>
    </row>
    <row r="449" spans="1:11" x14ac:dyDescent="0.25">
      <c r="A449">
        <v>34</v>
      </c>
      <c r="B449">
        <v>0</v>
      </c>
      <c r="C449">
        <v>4</v>
      </c>
      <c r="D449">
        <v>15</v>
      </c>
      <c r="E449">
        <v>5</v>
      </c>
      <c r="F449">
        <v>16.483443520000002</v>
      </c>
      <c r="G449">
        <v>35</v>
      </c>
      <c r="H449">
        <v>96</v>
      </c>
      <c r="I449">
        <v>43</v>
      </c>
      <c r="J449">
        <v>1</v>
      </c>
      <c r="K449">
        <v>1</v>
      </c>
    </row>
    <row r="450" spans="1:11" x14ac:dyDescent="0.25">
      <c r="A450">
        <v>20</v>
      </c>
      <c r="B450">
        <v>1</v>
      </c>
      <c r="C450">
        <v>3</v>
      </c>
      <c r="D450">
        <v>14</v>
      </c>
      <c r="E450">
        <v>5</v>
      </c>
      <c r="F450">
        <v>47.891289999999998</v>
      </c>
      <c r="G450">
        <v>78</v>
      </c>
      <c r="H450">
        <v>40</v>
      </c>
      <c r="I450">
        <v>57</v>
      </c>
      <c r="J450">
        <v>2</v>
      </c>
      <c r="K450">
        <v>0</v>
      </c>
    </row>
    <row r="451" spans="1:11" x14ac:dyDescent="0.25">
      <c r="A451">
        <v>24</v>
      </c>
      <c r="B451">
        <v>1</v>
      </c>
      <c r="C451">
        <v>1</v>
      </c>
      <c r="D451">
        <v>12</v>
      </c>
      <c r="E451">
        <v>3</v>
      </c>
      <c r="F451">
        <v>34.857248329999997</v>
      </c>
      <c r="G451">
        <v>7</v>
      </c>
      <c r="H451">
        <v>89</v>
      </c>
      <c r="I451">
        <v>43</v>
      </c>
      <c r="J451">
        <v>1</v>
      </c>
      <c r="K451">
        <v>1</v>
      </c>
    </row>
    <row r="452" spans="1:11" x14ac:dyDescent="0.25">
      <c r="A452">
        <v>47</v>
      </c>
      <c r="B452">
        <v>1</v>
      </c>
      <c r="C452">
        <v>3</v>
      </c>
      <c r="D452">
        <v>15</v>
      </c>
      <c r="E452">
        <v>4</v>
      </c>
      <c r="F452">
        <v>6.9510652249999998</v>
      </c>
      <c r="G452">
        <v>25</v>
      </c>
      <c r="H452">
        <v>79</v>
      </c>
      <c r="I452">
        <v>77</v>
      </c>
      <c r="J452">
        <v>2</v>
      </c>
      <c r="K452">
        <v>1</v>
      </c>
    </row>
    <row r="453" spans="1:11" x14ac:dyDescent="0.25">
      <c r="A453">
        <v>48</v>
      </c>
      <c r="B453">
        <v>1</v>
      </c>
      <c r="C453">
        <v>2</v>
      </c>
      <c r="D453">
        <v>0</v>
      </c>
      <c r="E453">
        <v>3</v>
      </c>
      <c r="F453">
        <v>4.446393907</v>
      </c>
      <c r="G453">
        <v>35</v>
      </c>
      <c r="H453">
        <v>35</v>
      </c>
      <c r="I453">
        <v>97</v>
      </c>
      <c r="J453">
        <v>3</v>
      </c>
      <c r="K453">
        <v>0</v>
      </c>
    </row>
    <row r="454" spans="1:11" x14ac:dyDescent="0.25">
      <c r="A454">
        <v>35</v>
      </c>
      <c r="B454">
        <v>0</v>
      </c>
      <c r="C454">
        <v>2</v>
      </c>
      <c r="D454">
        <v>4</v>
      </c>
      <c r="E454">
        <v>3</v>
      </c>
      <c r="F454">
        <v>25.177492539999999</v>
      </c>
      <c r="G454">
        <v>47</v>
      </c>
      <c r="H454">
        <v>96</v>
      </c>
      <c r="I454">
        <v>33</v>
      </c>
      <c r="J454">
        <v>1</v>
      </c>
      <c r="K454">
        <v>0</v>
      </c>
    </row>
    <row r="455" spans="1:11" x14ac:dyDescent="0.25">
      <c r="A455">
        <v>38</v>
      </c>
      <c r="B455">
        <v>1</v>
      </c>
      <c r="C455">
        <v>2</v>
      </c>
      <c r="D455">
        <v>15</v>
      </c>
      <c r="E455">
        <v>1</v>
      </c>
      <c r="F455">
        <v>12.0045033</v>
      </c>
      <c r="G455">
        <v>84</v>
      </c>
      <c r="H455">
        <v>83</v>
      </c>
      <c r="I455">
        <v>24</v>
      </c>
      <c r="J455">
        <v>1</v>
      </c>
      <c r="K455">
        <v>1</v>
      </c>
    </row>
    <row r="456" spans="1:11" x14ac:dyDescent="0.25">
      <c r="A456">
        <v>23</v>
      </c>
      <c r="B456">
        <v>0</v>
      </c>
      <c r="C456">
        <v>2</v>
      </c>
      <c r="D456">
        <v>12</v>
      </c>
      <c r="E456">
        <v>5</v>
      </c>
      <c r="F456">
        <v>13.69923767</v>
      </c>
      <c r="G456">
        <v>27</v>
      </c>
      <c r="H456">
        <v>76</v>
      </c>
      <c r="I456">
        <v>3</v>
      </c>
      <c r="J456">
        <v>2</v>
      </c>
      <c r="K456">
        <v>0</v>
      </c>
    </row>
    <row r="457" spans="1:11" x14ac:dyDescent="0.25">
      <c r="A457">
        <v>22</v>
      </c>
      <c r="B457">
        <v>0</v>
      </c>
      <c r="C457">
        <v>2</v>
      </c>
      <c r="D457">
        <v>12</v>
      </c>
      <c r="E457">
        <v>3</v>
      </c>
      <c r="F457">
        <v>44.88460894</v>
      </c>
      <c r="G457">
        <v>67</v>
      </c>
      <c r="H457">
        <v>32</v>
      </c>
      <c r="I457">
        <v>63</v>
      </c>
      <c r="J457">
        <v>2</v>
      </c>
      <c r="K457">
        <v>0</v>
      </c>
    </row>
    <row r="458" spans="1:11" x14ac:dyDescent="0.25">
      <c r="A458">
        <v>36</v>
      </c>
      <c r="B458">
        <v>0</v>
      </c>
      <c r="C458">
        <v>4</v>
      </c>
      <c r="D458">
        <v>6</v>
      </c>
      <c r="E458">
        <v>1</v>
      </c>
      <c r="F458">
        <v>5.4783012160000002</v>
      </c>
      <c r="G458">
        <v>61</v>
      </c>
      <c r="H458">
        <v>4</v>
      </c>
      <c r="I458">
        <v>89</v>
      </c>
      <c r="J458">
        <v>2</v>
      </c>
      <c r="K458">
        <v>0</v>
      </c>
    </row>
    <row r="459" spans="1:11" x14ac:dyDescent="0.25">
      <c r="A459">
        <v>36</v>
      </c>
      <c r="B459">
        <v>0</v>
      </c>
      <c r="C459">
        <v>3</v>
      </c>
      <c r="D459">
        <v>15</v>
      </c>
      <c r="E459">
        <v>4</v>
      </c>
      <c r="F459">
        <v>36.768205760000001</v>
      </c>
      <c r="G459">
        <v>79</v>
      </c>
      <c r="H459">
        <v>100</v>
      </c>
      <c r="I459">
        <v>15</v>
      </c>
      <c r="J459">
        <v>1</v>
      </c>
      <c r="K459">
        <v>1</v>
      </c>
    </row>
    <row r="460" spans="1:11" x14ac:dyDescent="0.25">
      <c r="A460">
        <v>31</v>
      </c>
      <c r="B460">
        <v>0</v>
      </c>
      <c r="C460">
        <v>2</v>
      </c>
      <c r="D460">
        <v>7</v>
      </c>
      <c r="E460">
        <v>3</v>
      </c>
      <c r="F460">
        <v>14.55711267</v>
      </c>
      <c r="G460">
        <v>85</v>
      </c>
      <c r="H460">
        <v>77</v>
      </c>
      <c r="I460">
        <v>9</v>
      </c>
      <c r="J460">
        <v>1</v>
      </c>
      <c r="K460">
        <v>1</v>
      </c>
    </row>
    <row r="461" spans="1:11" x14ac:dyDescent="0.25">
      <c r="A461">
        <v>47</v>
      </c>
      <c r="B461">
        <v>1</v>
      </c>
      <c r="C461">
        <v>1</v>
      </c>
      <c r="D461">
        <v>9</v>
      </c>
      <c r="E461">
        <v>5</v>
      </c>
      <c r="F461">
        <v>39.016411069999997</v>
      </c>
      <c r="G461">
        <v>75</v>
      </c>
      <c r="H461">
        <v>90</v>
      </c>
      <c r="I461">
        <v>65</v>
      </c>
      <c r="J461">
        <v>2</v>
      </c>
      <c r="K461">
        <v>1</v>
      </c>
    </row>
    <row r="462" spans="1:11" x14ac:dyDescent="0.25">
      <c r="A462">
        <v>49</v>
      </c>
      <c r="B462">
        <v>1</v>
      </c>
      <c r="C462">
        <v>4</v>
      </c>
      <c r="D462">
        <v>0</v>
      </c>
      <c r="E462">
        <v>3</v>
      </c>
      <c r="F462">
        <v>37.12056922</v>
      </c>
      <c r="G462">
        <v>79</v>
      </c>
      <c r="H462">
        <v>86</v>
      </c>
      <c r="I462">
        <v>34</v>
      </c>
      <c r="J462">
        <v>1</v>
      </c>
      <c r="K462">
        <v>1</v>
      </c>
    </row>
    <row r="463" spans="1:11" x14ac:dyDescent="0.25">
      <c r="A463">
        <v>48</v>
      </c>
      <c r="B463">
        <v>1</v>
      </c>
      <c r="C463">
        <v>4</v>
      </c>
      <c r="D463">
        <v>6</v>
      </c>
      <c r="E463">
        <v>4</v>
      </c>
      <c r="F463">
        <v>1.3695950720000001</v>
      </c>
      <c r="G463">
        <v>50</v>
      </c>
      <c r="H463">
        <v>13</v>
      </c>
      <c r="I463">
        <v>82</v>
      </c>
      <c r="J463">
        <v>3</v>
      </c>
      <c r="K463">
        <v>0</v>
      </c>
    </row>
    <row r="464" spans="1:11" x14ac:dyDescent="0.25">
      <c r="A464">
        <v>33</v>
      </c>
      <c r="B464">
        <v>1</v>
      </c>
      <c r="C464">
        <v>3</v>
      </c>
      <c r="D464">
        <v>12</v>
      </c>
      <c r="E464">
        <v>3</v>
      </c>
      <c r="F464">
        <v>26.456770649999999</v>
      </c>
      <c r="G464">
        <v>41</v>
      </c>
      <c r="H464">
        <v>67</v>
      </c>
      <c r="I464">
        <v>5</v>
      </c>
      <c r="J464">
        <v>1</v>
      </c>
      <c r="K464">
        <v>1</v>
      </c>
    </row>
    <row r="465" spans="1:11" x14ac:dyDescent="0.25">
      <c r="A465">
        <v>40</v>
      </c>
      <c r="B465">
        <v>0</v>
      </c>
      <c r="C465">
        <v>1</v>
      </c>
      <c r="D465">
        <v>4</v>
      </c>
      <c r="E465">
        <v>5</v>
      </c>
      <c r="F465">
        <v>7.9659741190000002</v>
      </c>
      <c r="G465">
        <v>100</v>
      </c>
      <c r="H465">
        <v>82</v>
      </c>
      <c r="I465">
        <v>18</v>
      </c>
      <c r="J465">
        <v>2</v>
      </c>
      <c r="K465">
        <v>0</v>
      </c>
    </row>
    <row r="466" spans="1:11" x14ac:dyDescent="0.25">
      <c r="A466">
        <v>25</v>
      </c>
      <c r="B466">
        <v>1</v>
      </c>
      <c r="C466">
        <v>1</v>
      </c>
      <c r="D466">
        <v>9</v>
      </c>
      <c r="E466">
        <v>1</v>
      </c>
      <c r="F466">
        <v>44.311351530000003</v>
      </c>
      <c r="G466">
        <v>28</v>
      </c>
      <c r="H466">
        <v>46</v>
      </c>
      <c r="I466">
        <v>58</v>
      </c>
      <c r="J466">
        <v>1</v>
      </c>
      <c r="K466">
        <v>0</v>
      </c>
    </row>
    <row r="467" spans="1:11" x14ac:dyDescent="0.25">
      <c r="A467">
        <v>22</v>
      </c>
      <c r="B467">
        <v>0</v>
      </c>
      <c r="C467">
        <v>2</v>
      </c>
      <c r="D467">
        <v>0</v>
      </c>
      <c r="E467">
        <v>5</v>
      </c>
      <c r="F467">
        <v>44.579294140000002</v>
      </c>
      <c r="G467">
        <v>81</v>
      </c>
      <c r="H467">
        <v>53</v>
      </c>
      <c r="I467">
        <v>52</v>
      </c>
      <c r="J467">
        <v>1</v>
      </c>
      <c r="K467">
        <v>1</v>
      </c>
    </row>
    <row r="468" spans="1:11" x14ac:dyDescent="0.25">
      <c r="A468">
        <v>47</v>
      </c>
      <c r="B468">
        <v>1</v>
      </c>
      <c r="C468">
        <v>1</v>
      </c>
      <c r="D468">
        <v>2</v>
      </c>
      <c r="E468">
        <v>1</v>
      </c>
      <c r="F468">
        <v>21.91729037</v>
      </c>
      <c r="G468">
        <v>9</v>
      </c>
      <c r="H468">
        <v>3</v>
      </c>
      <c r="I468">
        <v>7</v>
      </c>
      <c r="J468">
        <v>2</v>
      </c>
      <c r="K468">
        <v>0</v>
      </c>
    </row>
    <row r="469" spans="1:11" x14ac:dyDescent="0.25">
      <c r="A469">
        <v>28</v>
      </c>
      <c r="B469">
        <v>0</v>
      </c>
      <c r="C469">
        <v>2</v>
      </c>
      <c r="D469">
        <v>6</v>
      </c>
      <c r="E469">
        <v>2</v>
      </c>
      <c r="F469">
        <v>23.219780920000002</v>
      </c>
      <c r="G469">
        <v>38</v>
      </c>
      <c r="H469">
        <v>93</v>
      </c>
      <c r="I469">
        <v>77</v>
      </c>
      <c r="J469">
        <v>2</v>
      </c>
      <c r="K469">
        <v>0</v>
      </c>
    </row>
    <row r="470" spans="1:11" x14ac:dyDescent="0.25">
      <c r="A470">
        <v>24</v>
      </c>
      <c r="B470">
        <v>0</v>
      </c>
      <c r="C470">
        <v>4</v>
      </c>
      <c r="D470">
        <v>9</v>
      </c>
      <c r="E470">
        <v>5</v>
      </c>
      <c r="F470">
        <v>16.164146970000001</v>
      </c>
      <c r="G470">
        <v>81</v>
      </c>
      <c r="H470">
        <v>82</v>
      </c>
      <c r="I470">
        <v>9</v>
      </c>
      <c r="J470">
        <v>1</v>
      </c>
      <c r="K470">
        <v>1</v>
      </c>
    </row>
    <row r="471" spans="1:11" x14ac:dyDescent="0.25">
      <c r="A471">
        <v>43</v>
      </c>
      <c r="B471">
        <v>1</v>
      </c>
      <c r="C471">
        <v>2</v>
      </c>
      <c r="D471">
        <v>0</v>
      </c>
      <c r="E471">
        <v>5</v>
      </c>
      <c r="F471">
        <v>36.830314950000002</v>
      </c>
      <c r="G471">
        <v>0</v>
      </c>
      <c r="H471">
        <v>94</v>
      </c>
      <c r="I471">
        <v>66</v>
      </c>
      <c r="J471">
        <v>1</v>
      </c>
      <c r="K471">
        <v>1</v>
      </c>
    </row>
    <row r="472" spans="1:11" x14ac:dyDescent="0.25">
      <c r="A472">
        <v>48</v>
      </c>
      <c r="B472">
        <v>0</v>
      </c>
      <c r="C472">
        <v>1</v>
      </c>
      <c r="D472">
        <v>6</v>
      </c>
      <c r="E472">
        <v>4</v>
      </c>
      <c r="F472">
        <v>18.93306815</v>
      </c>
      <c r="G472">
        <v>38</v>
      </c>
      <c r="H472">
        <v>94</v>
      </c>
      <c r="I472">
        <v>37</v>
      </c>
      <c r="J472">
        <v>1</v>
      </c>
      <c r="K472">
        <v>1</v>
      </c>
    </row>
    <row r="473" spans="1:11" x14ac:dyDescent="0.25">
      <c r="A473">
        <v>36</v>
      </c>
      <c r="B473">
        <v>0</v>
      </c>
      <c r="C473">
        <v>2</v>
      </c>
      <c r="D473">
        <v>4</v>
      </c>
      <c r="E473">
        <v>3</v>
      </c>
      <c r="F473">
        <v>14.38962373</v>
      </c>
      <c r="G473">
        <v>20</v>
      </c>
      <c r="H473">
        <v>8</v>
      </c>
      <c r="I473">
        <v>28</v>
      </c>
      <c r="J473">
        <v>2</v>
      </c>
      <c r="K473">
        <v>0</v>
      </c>
    </row>
    <row r="474" spans="1:11" x14ac:dyDescent="0.25">
      <c r="A474">
        <v>33</v>
      </c>
      <c r="B474">
        <v>1</v>
      </c>
      <c r="C474">
        <v>1</v>
      </c>
      <c r="D474">
        <v>0</v>
      </c>
      <c r="E474">
        <v>1</v>
      </c>
      <c r="F474">
        <v>22.611552979999999</v>
      </c>
      <c r="G474">
        <v>64</v>
      </c>
      <c r="H474">
        <v>52</v>
      </c>
      <c r="I474">
        <v>14</v>
      </c>
      <c r="J474">
        <v>2</v>
      </c>
      <c r="K474">
        <v>0</v>
      </c>
    </row>
    <row r="475" spans="1:11" x14ac:dyDescent="0.25">
      <c r="A475">
        <v>40</v>
      </c>
      <c r="B475">
        <v>0</v>
      </c>
      <c r="C475">
        <v>1</v>
      </c>
      <c r="D475">
        <v>0</v>
      </c>
      <c r="E475">
        <v>1</v>
      </c>
      <c r="F475">
        <v>5.5743759190000004</v>
      </c>
      <c r="G475">
        <v>14</v>
      </c>
      <c r="H475">
        <v>76</v>
      </c>
      <c r="I475">
        <v>86</v>
      </c>
      <c r="J475">
        <v>1</v>
      </c>
      <c r="K475">
        <v>1</v>
      </c>
    </row>
    <row r="476" spans="1:11" x14ac:dyDescent="0.25">
      <c r="A476">
        <v>50</v>
      </c>
      <c r="B476">
        <v>1</v>
      </c>
      <c r="C476">
        <v>2</v>
      </c>
      <c r="D476">
        <v>13</v>
      </c>
      <c r="E476">
        <v>4</v>
      </c>
      <c r="F476">
        <v>38.330160229999997</v>
      </c>
      <c r="G476">
        <v>3</v>
      </c>
      <c r="H476">
        <v>77</v>
      </c>
      <c r="I476">
        <v>22</v>
      </c>
      <c r="J476">
        <v>2</v>
      </c>
      <c r="K476">
        <v>0</v>
      </c>
    </row>
    <row r="477" spans="1:11" x14ac:dyDescent="0.25">
      <c r="A477">
        <v>22</v>
      </c>
      <c r="B477">
        <v>1</v>
      </c>
      <c r="C477">
        <v>2</v>
      </c>
      <c r="D477">
        <v>0</v>
      </c>
      <c r="E477">
        <v>4</v>
      </c>
      <c r="F477">
        <v>1.629820064</v>
      </c>
      <c r="G477">
        <v>59</v>
      </c>
      <c r="H477">
        <v>59</v>
      </c>
      <c r="I477">
        <v>81</v>
      </c>
      <c r="J477">
        <v>2</v>
      </c>
      <c r="K477">
        <v>0</v>
      </c>
    </row>
    <row r="478" spans="1:11" x14ac:dyDescent="0.25">
      <c r="A478">
        <v>47</v>
      </c>
      <c r="B478">
        <v>1</v>
      </c>
      <c r="C478">
        <v>3</v>
      </c>
      <c r="D478">
        <v>10</v>
      </c>
      <c r="E478">
        <v>3</v>
      </c>
      <c r="F478">
        <v>33.224253079999997</v>
      </c>
      <c r="G478">
        <v>60</v>
      </c>
      <c r="H478">
        <v>45</v>
      </c>
      <c r="I478">
        <v>45</v>
      </c>
      <c r="J478">
        <v>3</v>
      </c>
      <c r="K478">
        <v>0</v>
      </c>
    </row>
    <row r="479" spans="1:11" x14ac:dyDescent="0.25">
      <c r="A479">
        <v>20</v>
      </c>
      <c r="B479">
        <v>0</v>
      </c>
      <c r="C479">
        <v>4</v>
      </c>
      <c r="D479">
        <v>8</v>
      </c>
      <c r="E479">
        <v>3</v>
      </c>
      <c r="F479">
        <v>10.14322634</v>
      </c>
      <c r="G479">
        <v>19</v>
      </c>
      <c r="H479">
        <v>53</v>
      </c>
      <c r="I479">
        <v>82</v>
      </c>
      <c r="J479">
        <v>3</v>
      </c>
      <c r="K479">
        <v>1</v>
      </c>
    </row>
    <row r="480" spans="1:11" x14ac:dyDescent="0.25">
      <c r="A480">
        <v>39</v>
      </c>
      <c r="B480">
        <v>0</v>
      </c>
      <c r="C480">
        <v>2</v>
      </c>
      <c r="D480">
        <v>10</v>
      </c>
      <c r="E480">
        <v>5</v>
      </c>
      <c r="F480">
        <v>12.62020231</v>
      </c>
      <c r="G480">
        <v>9</v>
      </c>
      <c r="H480">
        <v>73</v>
      </c>
      <c r="I480">
        <v>27</v>
      </c>
      <c r="J480">
        <v>2</v>
      </c>
      <c r="K480">
        <v>0</v>
      </c>
    </row>
    <row r="481" spans="1:11" x14ac:dyDescent="0.25">
      <c r="A481">
        <v>50</v>
      </c>
      <c r="B481">
        <v>0</v>
      </c>
      <c r="C481">
        <v>2</v>
      </c>
      <c r="D481">
        <v>12</v>
      </c>
      <c r="E481">
        <v>2</v>
      </c>
      <c r="F481">
        <v>32.781599929999999</v>
      </c>
      <c r="G481">
        <v>86</v>
      </c>
      <c r="H481">
        <v>94</v>
      </c>
      <c r="I481">
        <v>25</v>
      </c>
      <c r="J481">
        <v>1</v>
      </c>
      <c r="K481">
        <v>1</v>
      </c>
    </row>
    <row r="482" spans="1:11" x14ac:dyDescent="0.25">
      <c r="A482">
        <v>48</v>
      </c>
      <c r="B482">
        <v>1</v>
      </c>
      <c r="C482">
        <v>3</v>
      </c>
      <c r="D482">
        <v>2</v>
      </c>
      <c r="E482">
        <v>3</v>
      </c>
      <c r="F482">
        <v>50.647173289999998</v>
      </c>
      <c r="G482">
        <v>33</v>
      </c>
      <c r="H482">
        <v>36</v>
      </c>
      <c r="I482">
        <v>9</v>
      </c>
      <c r="J482">
        <v>1</v>
      </c>
      <c r="K482">
        <v>0</v>
      </c>
    </row>
    <row r="483" spans="1:11" x14ac:dyDescent="0.25">
      <c r="A483">
        <v>40</v>
      </c>
      <c r="B483">
        <v>0</v>
      </c>
      <c r="C483">
        <v>2</v>
      </c>
      <c r="D483">
        <v>14</v>
      </c>
      <c r="E483">
        <v>4</v>
      </c>
      <c r="F483">
        <v>39.885874450000003</v>
      </c>
      <c r="G483">
        <v>47</v>
      </c>
      <c r="H483">
        <v>22</v>
      </c>
      <c r="I483">
        <v>46</v>
      </c>
      <c r="J483">
        <v>2</v>
      </c>
      <c r="K483">
        <v>0</v>
      </c>
    </row>
    <row r="484" spans="1:11" x14ac:dyDescent="0.25">
      <c r="A484">
        <v>42</v>
      </c>
      <c r="B484">
        <v>1</v>
      </c>
      <c r="C484">
        <v>1</v>
      </c>
      <c r="D484">
        <v>12</v>
      </c>
      <c r="E484">
        <v>3</v>
      </c>
      <c r="F484">
        <v>12.291981610000001</v>
      </c>
      <c r="G484">
        <v>32</v>
      </c>
      <c r="H484">
        <v>26</v>
      </c>
      <c r="I484">
        <v>3</v>
      </c>
      <c r="J484">
        <v>3</v>
      </c>
      <c r="K484">
        <v>0</v>
      </c>
    </row>
    <row r="485" spans="1:11" x14ac:dyDescent="0.25">
      <c r="A485">
        <v>20</v>
      </c>
      <c r="B485">
        <v>1</v>
      </c>
      <c r="C485">
        <v>3</v>
      </c>
      <c r="D485">
        <v>4</v>
      </c>
      <c r="E485">
        <v>1</v>
      </c>
      <c r="F485">
        <v>9.8012377520000005</v>
      </c>
      <c r="G485">
        <v>97</v>
      </c>
      <c r="H485">
        <v>69</v>
      </c>
      <c r="I485">
        <v>54</v>
      </c>
      <c r="J485">
        <v>2</v>
      </c>
      <c r="K485">
        <v>0</v>
      </c>
    </row>
    <row r="486" spans="1:11" x14ac:dyDescent="0.25">
      <c r="A486">
        <v>22</v>
      </c>
      <c r="B486">
        <v>0</v>
      </c>
      <c r="C486">
        <v>1</v>
      </c>
      <c r="D486">
        <v>10</v>
      </c>
      <c r="E486">
        <v>2</v>
      </c>
      <c r="F486">
        <v>44.311643510000003</v>
      </c>
      <c r="G486">
        <v>60</v>
      </c>
      <c r="H486">
        <v>89</v>
      </c>
      <c r="I486">
        <v>65</v>
      </c>
      <c r="J486">
        <v>2</v>
      </c>
      <c r="K486">
        <v>0</v>
      </c>
    </row>
    <row r="487" spans="1:11" x14ac:dyDescent="0.25">
      <c r="A487">
        <v>37</v>
      </c>
      <c r="B487">
        <v>1</v>
      </c>
      <c r="C487">
        <v>2</v>
      </c>
      <c r="D487">
        <v>15</v>
      </c>
      <c r="E487">
        <v>5</v>
      </c>
      <c r="F487">
        <v>23.209197400000001</v>
      </c>
      <c r="G487">
        <v>9</v>
      </c>
      <c r="H487">
        <v>65</v>
      </c>
      <c r="I487">
        <v>66</v>
      </c>
      <c r="J487">
        <v>2</v>
      </c>
      <c r="K487">
        <v>0</v>
      </c>
    </row>
    <row r="488" spans="1:11" x14ac:dyDescent="0.25">
      <c r="A488">
        <v>44</v>
      </c>
      <c r="B488">
        <v>0</v>
      </c>
      <c r="C488">
        <v>2</v>
      </c>
      <c r="D488">
        <v>9</v>
      </c>
      <c r="E488">
        <v>1</v>
      </c>
      <c r="F488">
        <v>7.8526401410000002</v>
      </c>
      <c r="G488">
        <v>53</v>
      </c>
      <c r="H488">
        <v>60</v>
      </c>
      <c r="I488">
        <v>6</v>
      </c>
      <c r="J488">
        <v>2</v>
      </c>
      <c r="K488">
        <v>0</v>
      </c>
    </row>
    <row r="489" spans="1:11" x14ac:dyDescent="0.25">
      <c r="A489">
        <v>29</v>
      </c>
      <c r="B489">
        <v>0</v>
      </c>
      <c r="C489">
        <v>2</v>
      </c>
      <c r="D489">
        <v>11</v>
      </c>
      <c r="E489">
        <v>1</v>
      </c>
      <c r="F489">
        <v>44.11057117</v>
      </c>
      <c r="G489">
        <v>83</v>
      </c>
      <c r="H489">
        <v>76</v>
      </c>
      <c r="I489">
        <v>54</v>
      </c>
      <c r="J489">
        <v>1</v>
      </c>
      <c r="K489">
        <v>1</v>
      </c>
    </row>
    <row r="490" spans="1:11" x14ac:dyDescent="0.25">
      <c r="A490">
        <v>50</v>
      </c>
      <c r="B490">
        <v>0</v>
      </c>
      <c r="C490">
        <v>2</v>
      </c>
      <c r="D490">
        <v>15</v>
      </c>
      <c r="E490">
        <v>2</v>
      </c>
      <c r="F490">
        <v>41.804617649999997</v>
      </c>
      <c r="G490">
        <v>64</v>
      </c>
      <c r="H490">
        <v>50</v>
      </c>
      <c r="I490">
        <v>79</v>
      </c>
      <c r="J490">
        <v>2</v>
      </c>
      <c r="K490">
        <v>0</v>
      </c>
    </row>
    <row r="491" spans="1:11" x14ac:dyDescent="0.25">
      <c r="A491">
        <v>41</v>
      </c>
      <c r="B491">
        <v>0</v>
      </c>
      <c r="C491">
        <v>3</v>
      </c>
      <c r="D491">
        <v>8</v>
      </c>
      <c r="E491">
        <v>5</v>
      </c>
      <c r="F491">
        <v>50.195318190000002</v>
      </c>
      <c r="G491">
        <v>76</v>
      </c>
      <c r="H491">
        <v>49</v>
      </c>
      <c r="I491">
        <v>30</v>
      </c>
      <c r="J491">
        <v>1</v>
      </c>
      <c r="K491">
        <v>1</v>
      </c>
    </row>
    <row r="492" spans="1:11" x14ac:dyDescent="0.25">
      <c r="A492">
        <v>45</v>
      </c>
      <c r="B492">
        <v>0</v>
      </c>
      <c r="C492">
        <v>1</v>
      </c>
      <c r="D492">
        <v>5</v>
      </c>
      <c r="E492">
        <v>4</v>
      </c>
      <c r="F492">
        <v>46.487184339999999</v>
      </c>
      <c r="G492">
        <v>0</v>
      </c>
      <c r="H492">
        <v>18</v>
      </c>
      <c r="I492">
        <v>73</v>
      </c>
      <c r="J492">
        <v>1</v>
      </c>
      <c r="K492">
        <v>0</v>
      </c>
    </row>
    <row r="493" spans="1:11" x14ac:dyDescent="0.25">
      <c r="A493">
        <v>22</v>
      </c>
      <c r="B493">
        <v>1</v>
      </c>
      <c r="C493">
        <v>2</v>
      </c>
      <c r="D493">
        <v>11</v>
      </c>
      <c r="E493">
        <v>5</v>
      </c>
      <c r="F493">
        <v>43.589516930000002</v>
      </c>
      <c r="G493">
        <v>4</v>
      </c>
      <c r="H493">
        <v>0</v>
      </c>
      <c r="I493">
        <v>18</v>
      </c>
      <c r="J493">
        <v>2</v>
      </c>
      <c r="K493">
        <v>0</v>
      </c>
    </row>
    <row r="494" spans="1:11" x14ac:dyDescent="0.25">
      <c r="A494">
        <v>27</v>
      </c>
      <c r="B494">
        <v>1</v>
      </c>
      <c r="C494">
        <v>3</v>
      </c>
      <c r="D494">
        <v>8</v>
      </c>
      <c r="E494">
        <v>3</v>
      </c>
      <c r="F494">
        <v>3.6287198909999998</v>
      </c>
      <c r="G494">
        <v>79</v>
      </c>
      <c r="H494">
        <v>39</v>
      </c>
      <c r="I494">
        <v>27</v>
      </c>
      <c r="J494">
        <v>1</v>
      </c>
      <c r="K494">
        <v>1</v>
      </c>
    </row>
    <row r="495" spans="1:11" x14ac:dyDescent="0.25">
      <c r="A495">
        <v>33</v>
      </c>
      <c r="B495">
        <v>1</v>
      </c>
      <c r="C495">
        <v>2</v>
      </c>
      <c r="D495">
        <v>7</v>
      </c>
      <c r="E495">
        <v>1</v>
      </c>
      <c r="F495">
        <v>6.2207684749999999</v>
      </c>
      <c r="G495">
        <v>14</v>
      </c>
      <c r="H495">
        <v>31</v>
      </c>
      <c r="I495">
        <v>80</v>
      </c>
      <c r="J495">
        <v>1</v>
      </c>
      <c r="K495">
        <v>1</v>
      </c>
    </row>
    <row r="496" spans="1:11" x14ac:dyDescent="0.25">
      <c r="A496">
        <v>43</v>
      </c>
      <c r="B496">
        <v>0</v>
      </c>
      <c r="C496">
        <v>1</v>
      </c>
      <c r="D496">
        <v>7</v>
      </c>
      <c r="E496">
        <v>3</v>
      </c>
      <c r="F496">
        <v>29.449159720000001</v>
      </c>
      <c r="G496">
        <v>27</v>
      </c>
      <c r="H496">
        <v>21</v>
      </c>
      <c r="I496">
        <v>27</v>
      </c>
      <c r="J496">
        <v>1</v>
      </c>
      <c r="K496">
        <v>0</v>
      </c>
    </row>
    <row r="497" spans="1:11" x14ac:dyDescent="0.25">
      <c r="A497">
        <v>37</v>
      </c>
      <c r="B497">
        <v>0</v>
      </c>
      <c r="C497">
        <v>3</v>
      </c>
      <c r="D497">
        <v>0</v>
      </c>
      <c r="E497">
        <v>4</v>
      </c>
      <c r="F497">
        <v>27.573962309999999</v>
      </c>
      <c r="G497">
        <v>94</v>
      </c>
      <c r="H497">
        <v>92</v>
      </c>
      <c r="I497">
        <v>18</v>
      </c>
      <c r="J497">
        <v>3</v>
      </c>
      <c r="K497">
        <v>0</v>
      </c>
    </row>
    <row r="498" spans="1:11" x14ac:dyDescent="0.25">
      <c r="A498">
        <v>34</v>
      </c>
      <c r="B498">
        <v>0</v>
      </c>
      <c r="C498">
        <v>2</v>
      </c>
      <c r="D498">
        <v>12</v>
      </c>
      <c r="E498">
        <v>3</v>
      </c>
      <c r="F498">
        <v>23.89816072</v>
      </c>
      <c r="G498">
        <v>22</v>
      </c>
      <c r="H498">
        <v>65</v>
      </c>
      <c r="I498">
        <v>100</v>
      </c>
      <c r="J498">
        <v>2</v>
      </c>
      <c r="K498">
        <v>0</v>
      </c>
    </row>
    <row r="499" spans="1:11" x14ac:dyDescent="0.25">
      <c r="A499">
        <v>41</v>
      </c>
      <c r="B499">
        <v>1</v>
      </c>
      <c r="C499">
        <v>3</v>
      </c>
      <c r="D499">
        <v>8</v>
      </c>
      <c r="E499">
        <v>5</v>
      </c>
      <c r="F499">
        <v>20.839466269999999</v>
      </c>
      <c r="G499">
        <v>16</v>
      </c>
      <c r="H499">
        <v>39</v>
      </c>
      <c r="I499">
        <v>86</v>
      </c>
      <c r="J499">
        <v>1</v>
      </c>
      <c r="K499">
        <v>1</v>
      </c>
    </row>
    <row r="500" spans="1:11" x14ac:dyDescent="0.25">
      <c r="A500">
        <v>42</v>
      </c>
      <c r="B500">
        <v>0</v>
      </c>
      <c r="C500">
        <v>3</v>
      </c>
      <c r="D500">
        <v>5</v>
      </c>
      <c r="E500">
        <v>3</v>
      </c>
      <c r="F500">
        <v>22.560524239999999</v>
      </c>
      <c r="G500">
        <v>97</v>
      </c>
      <c r="H500">
        <v>37</v>
      </c>
      <c r="I500">
        <v>19</v>
      </c>
      <c r="J500">
        <v>2</v>
      </c>
      <c r="K500">
        <v>0</v>
      </c>
    </row>
    <row r="501" spans="1:11" x14ac:dyDescent="0.25">
      <c r="A501">
        <v>21</v>
      </c>
      <c r="B501">
        <v>1</v>
      </c>
      <c r="C501">
        <v>2</v>
      </c>
      <c r="D501">
        <v>15</v>
      </c>
      <c r="E501">
        <v>4</v>
      </c>
      <c r="F501">
        <v>29.464896710000001</v>
      </c>
      <c r="G501">
        <v>12</v>
      </c>
      <c r="H501">
        <v>47</v>
      </c>
      <c r="I501">
        <v>12</v>
      </c>
      <c r="J501">
        <v>1</v>
      </c>
      <c r="K501">
        <v>0</v>
      </c>
    </row>
    <row r="502" spans="1:11" x14ac:dyDescent="0.25">
      <c r="A502">
        <v>50</v>
      </c>
      <c r="B502">
        <v>1</v>
      </c>
      <c r="C502">
        <v>2</v>
      </c>
      <c r="D502">
        <v>8</v>
      </c>
      <c r="E502">
        <v>4</v>
      </c>
      <c r="F502">
        <v>1.10382588</v>
      </c>
      <c r="G502">
        <v>13</v>
      </c>
      <c r="H502">
        <v>54</v>
      </c>
      <c r="I502">
        <v>76</v>
      </c>
      <c r="J502">
        <v>2</v>
      </c>
      <c r="K502">
        <v>0</v>
      </c>
    </row>
    <row r="503" spans="1:11" x14ac:dyDescent="0.25">
      <c r="A503">
        <v>46</v>
      </c>
      <c r="B503">
        <v>0</v>
      </c>
      <c r="C503">
        <v>4</v>
      </c>
      <c r="D503">
        <v>2</v>
      </c>
      <c r="E503">
        <v>4</v>
      </c>
      <c r="F503">
        <v>14.035438709999999</v>
      </c>
      <c r="G503">
        <v>10</v>
      </c>
      <c r="H503">
        <v>74</v>
      </c>
      <c r="I503">
        <v>42</v>
      </c>
      <c r="J503">
        <v>2</v>
      </c>
      <c r="K503">
        <v>0</v>
      </c>
    </row>
    <row r="504" spans="1:11" x14ac:dyDescent="0.25">
      <c r="A504">
        <v>29</v>
      </c>
      <c r="B504">
        <v>0</v>
      </c>
      <c r="C504">
        <v>1</v>
      </c>
      <c r="D504">
        <v>11</v>
      </c>
      <c r="E504">
        <v>5</v>
      </c>
      <c r="F504">
        <v>26.91398603</v>
      </c>
      <c r="G504">
        <v>27</v>
      </c>
      <c r="H504">
        <v>80</v>
      </c>
      <c r="I504">
        <v>10</v>
      </c>
      <c r="J504">
        <v>3</v>
      </c>
      <c r="K504">
        <v>0</v>
      </c>
    </row>
    <row r="505" spans="1:11" x14ac:dyDescent="0.25">
      <c r="A505">
        <v>21</v>
      </c>
      <c r="B505">
        <v>1</v>
      </c>
      <c r="C505">
        <v>3</v>
      </c>
      <c r="D505">
        <v>2</v>
      </c>
      <c r="E505">
        <v>4</v>
      </c>
      <c r="F505">
        <v>37.11080493</v>
      </c>
      <c r="G505">
        <v>41</v>
      </c>
      <c r="H505">
        <v>54</v>
      </c>
      <c r="I505">
        <v>47</v>
      </c>
      <c r="J505">
        <v>2</v>
      </c>
      <c r="K505">
        <v>0</v>
      </c>
    </row>
    <row r="506" spans="1:11" x14ac:dyDescent="0.25">
      <c r="A506">
        <v>45</v>
      </c>
      <c r="B506">
        <v>0</v>
      </c>
      <c r="C506">
        <v>1</v>
      </c>
      <c r="D506">
        <v>5</v>
      </c>
      <c r="E506">
        <v>1</v>
      </c>
      <c r="F506">
        <v>9.7078346199999999</v>
      </c>
      <c r="G506">
        <v>95</v>
      </c>
      <c r="H506">
        <v>50</v>
      </c>
      <c r="I506">
        <v>14</v>
      </c>
      <c r="J506">
        <v>3</v>
      </c>
      <c r="K506">
        <v>0</v>
      </c>
    </row>
    <row r="507" spans="1:11" x14ac:dyDescent="0.25">
      <c r="A507">
        <v>36</v>
      </c>
      <c r="B507">
        <v>1</v>
      </c>
      <c r="C507">
        <v>2</v>
      </c>
      <c r="D507">
        <v>8</v>
      </c>
      <c r="E507">
        <v>4</v>
      </c>
      <c r="F507">
        <v>28.344058690000001</v>
      </c>
      <c r="G507">
        <v>98</v>
      </c>
      <c r="H507">
        <v>59</v>
      </c>
      <c r="I507">
        <v>16</v>
      </c>
      <c r="J507">
        <v>3</v>
      </c>
      <c r="K507">
        <v>0</v>
      </c>
    </row>
    <row r="508" spans="1:11" x14ac:dyDescent="0.25">
      <c r="A508">
        <v>27</v>
      </c>
      <c r="B508">
        <v>0</v>
      </c>
      <c r="C508">
        <v>2</v>
      </c>
      <c r="D508">
        <v>6</v>
      </c>
      <c r="E508">
        <v>3</v>
      </c>
      <c r="F508">
        <v>36.722984189999998</v>
      </c>
      <c r="G508">
        <v>60</v>
      </c>
      <c r="H508">
        <v>7</v>
      </c>
      <c r="I508">
        <v>53</v>
      </c>
      <c r="J508">
        <v>3</v>
      </c>
      <c r="K508">
        <v>0</v>
      </c>
    </row>
    <row r="509" spans="1:11" x14ac:dyDescent="0.25">
      <c r="A509">
        <v>20</v>
      </c>
      <c r="B509">
        <v>0</v>
      </c>
      <c r="C509">
        <v>4</v>
      </c>
      <c r="D509">
        <v>13</v>
      </c>
      <c r="E509">
        <v>3</v>
      </c>
      <c r="F509">
        <v>23.2313829</v>
      </c>
      <c r="G509">
        <v>63</v>
      </c>
      <c r="H509">
        <v>85</v>
      </c>
      <c r="I509">
        <v>49</v>
      </c>
      <c r="J509">
        <v>2</v>
      </c>
      <c r="K509">
        <v>0</v>
      </c>
    </row>
    <row r="510" spans="1:11" x14ac:dyDescent="0.25">
      <c r="A510">
        <v>28</v>
      </c>
      <c r="B510">
        <v>1</v>
      </c>
      <c r="C510">
        <v>4</v>
      </c>
      <c r="D510">
        <v>12</v>
      </c>
      <c r="E510">
        <v>3</v>
      </c>
      <c r="F510">
        <v>2.3540566840000001</v>
      </c>
      <c r="G510">
        <v>30</v>
      </c>
      <c r="H510">
        <v>67</v>
      </c>
      <c r="I510">
        <v>27</v>
      </c>
      <c r="J510">
        <v>2</v>
      </c>
      <c r="K510">
        <v>0</v>
      </c>
    </row>
    <row r="511" spans="1:11" x14ac:dyDescent="0.25">
      <c r="A511">
        <v>30</v>
      </c>
      <c r="B511">
        <v>0</v>
      </c>
      <c r="C511">
        <v>1</v>
      </c>
      <c r="D511">
        <v>2</v>
      </c>
      <c r="E511">
        <v>5</v>
      </c>
      <c r="F511">
        <v>23.463407920000002</v>
      </c>
      <c r="G511">
        <v>80</v>
      </c>
      <c r="H511">
        <v>74</v>
      </c>
      <c r="I511">
        <v>82</v>
      </c>
      <c r="J511">
        <v>2</v>
      </c>
      <c r="K511">
        <v>0</v>
      </c>
    </row>
    <row r="512" spans="1:11" x14ac:dyDescent="0.25">
      <c r="A512">
        <v>41</v>
      </c>
      <c r="B512">
        <v>1</v>
      </c>
      <c r="C512">
        <v>1</v>
      </c>
      <c r="D512">
        <v>2</v>
      </c>
      <c r="E512">
        <v>3</v>
      </c>
      <c r="F512">
        <v>15.82224439</v>
      </c>
      <c r="G512">
        <v>72</v>
      </c>
      <c r="H512">
        <v>71</v>
      </c>
      <c r="I512">
        <v>3</v>
      </c>
      <c r="J512">
        <v>1</v>
      </c>
      <c r="K512">
        <v>1</v>
      </c>
    </row>
    <row r="513" spans="1:11" x14ac:dyDescent="0.25">
      <c r="A513">
        <v>35</v>
      </c>
      <c r="B513">
        <v>0</v>
      </c>
      <c r="C513">
        <v>3</v>
      </c>
      <c r="D513">
        <v>1</v>
      </c>
      <c r="E513">
        <v>5</v>
      </c>
      <c r="F513">
        <v>47.482480389999999</v>
      </c>
      <c r="G513">
        <v>9</v>
      </c>
      <c r="H513">
        <v>8</v>
      </c>
      <c r="I513">
        <v>21</v>
      </c>
      <c r="J513">
        <v>1</v>
      </c>
      <c r="K513">
        <v>0</v>
      </c>
    </row>
    <row r="514" spans="1:11" x14ac:dyDescent="0.25">
      <c r="A514">
        <v>26</v>
      </c>
      <c r="B514">
        <v>1</v>
      </c>
      <c r="C514">
        <v>2</v>
      </c>
      <c r="D514">
        <v>8</v>
      </c>
      <c r="E514">
        <v>5</v>
      </c>
      <c r="F514">
        <v>7.2306692840000002</v>
      </c>
      <c r="G514">
        <v>7</v>
      </c>
      <c r="H514">
        <v>89</v>
      </c>
      <c r="I514">
        <v>85</v>
      </c>
      <c r="J514">
        <v>2</v>
      </c>
      <c r="K514">
        <v>0</v>
      </c>
    </row>
    <row r="515" spans="1:11" x14ac:dyDescent="0.25">
      <c r="A515">
        <v>48</v>
      </c>
      <c r="B515">
        <v>1</v>
      </c>
      <c r="C515">
        <v>1</v>
      </c>
      <c r="D515">
        <v>12</v>
      </c>
      <c r="E515">
        <v>4</v>
      </c>
      <c r="F515">
        <v>33.623797779999997</v>
      </c>
      <c r="G515">
        <v>20</v>
      </c>
      <c r="H515">
        <v>1</v>
      </c>
      <c r="I515">
        <v>100</v>
      </c>
      <c r="J515">
        <v>2</v>
      </c>
      <c r="K515">
        <v>0</v>
      </c>
    </row>
    <row r="516" spans="1:11" x14ac:dyDescent="0.25">
      <c r="A516">
        <v>29</v>
      </c>
      <c r="B516">
        <v>0</v>
      </c>
      <c r="C516">
        <v>2</v>
      </c>
      <c r="D516">
        <v>14</v>
      </c>
      <c r="E516">
        <v>1</v>
      </c>
      <c r="F516">
        <v>3.6359883169999998</v>
      </c>
      <c r="G516">
        <v>76</v>
      </c>
      <c r="H516">
        <v>79</v>
      </c>
      <c r="I516">
        <v>38</v>
      </c>
      <c r="J516">
        <v>3</v>
      </c>
      <c r="K516">
        <v>0</v>
      </c>
    </row>
    <row r="517" spans="1:11" x14ac:dyDescent="0.25">
      <c r="A517">
        <v>42</v>
      </c>
      <c r="B517">
        <v>1</v>
      </c>
      <c r="C517">
        <v>2</v>
      </c>
      <c r="D517">
        <v>2</v>
      </c>
      <c r="E517">
        <v>4</v>
      </c>
      <c r="F517">
        <v>23.308521890000002</v>
      </c>
      <c r="G517">
        <v>58</v>
      </c>
      <c r="H517">
        <v>94</v>
      </c>
      <c r="I517">
        <v>33</v>
      </c>
      <c r="J517">
        <v>1</v>
      </c>
      <c r="K517">
        <v>0</v>
      </c>
    </row>
    <row r="518" spans="1:11" x14ac:dyDescent="0.25">
      <c r="A518">
        <v>45</v>
      </c>
      <c r="B518">
        <v>0</v>
      </c>
      <c r="C518">
        <v>4</v>
      </c>
      <c r="D518">
        <v>10</v>
      </c>
      <c r="E518">
        <v>4</v>
      </c>
      <c r="F518">
        <v>28.698974360000001</v>
      </c>
      <c r="G518">
        <v>49</v>
      </c>
      <c r="H518">
        <v>69</v>
      </c>
      <c r="I518">
        <v>96</v>
      </c>
      <c r="J518">
        <v>1</v>
      </c>
      <c r="K518">
        <v>1</v>
      </c>
    </row>
    <row r="519" spans="1:11" x14ac:dyDescent="0.25">
      <c r="A519">
        <v>22</v>
      </c>
      <c r="B519">
        <v>0</v>
      </c>
      <c r="C519">
        <v>2</v>
      </c>
      <c r="D519">
        <v>4</v>
      </c>
      <c r="E519">
        <v>5</v>
      </c>
      <c r="F519">
        <v>15.897746570000001</v>
      </c>
      <c r="G519">
        <v>68</v>
      </c>
      <c r="H519">
        <v>84</v>
      </c>
      <c r="I519">
        <v>43</v>
      </c>
      <c r="J519">
        <v>2</v>
      </c>
      <c r="K519">
        <v>0</v>
      </c>
    </row>
    <row r="520" spans="1:11" x14ac:dyDescent="0.25">
      <c r="A520">
        <v>37</v>
      </c>
      <c r="B520">
        <v>0</v>
      </c>
      <c r="C520">
        <v>2</v>
      </c>
      <c r="D520">
        <v>13</v>
      </c>
      <c r="E520">
        <v>5</v>
      </c>
      <c r="F520">
        <v>23.753781780000001</v>
      </c>
      <c r="G520">
        <v>69</v>
      </c>
      <c r="H520">
        <v>89</v>
      </c>
      <c r="I520">
        <v>41</v>
      </c>
      <c r="J520">
        <v>2</v>
      </c>
      <c r="K520">
        <v>0</v>
      </c>
    </row>
    <row r="521" spans="1:11" x14ac:dyDescent="0.25">
      <c r="A521">
        <v>44</v>
      </c>
      <c r="B521">
        <v>1</v>
      </c>
      <c r="C521">
        <v>2</v>
      </c>
      <c r="D521">
        <v>13</v>
      </c>
      <c r="E521">
        <v>3</v>
      </c>
      <c r="F521">
        <v>9.1776897270000006</v>
      </c>
      <c r="G521">
        <v>29</v>
      </c>
      <c r="H521">
        <v>58</v>
      </c>
      <c r="I521">
        <v>39</v>
      </c>
      <c r="J521">
        <v>1</v>
      </c>
      <c r="K521">
        <v>1</v>
      </c>
    </row>
    <row r="522" spans="1:11" x14ac:dyDescent="0.25">
      <c r="A522">
        <v>43</v>
      </c>
      <c r="B522">
        <v>1</v>
      </c>
      <c r="C522">
        <v>3</v>
      </c>
      <c r="D522">
        <v>8</v>
      </c>
      <c r="E522">
        <v>3</v>
      </c>
      <c r="F522">
        <v>16.206192470000001</v>
      </c>
      <c r="G522">
        <v>94</v>
      </c>
      <c r="H522">
        <v>18</v>
      </c>
      <c r="I522">
        <v>96</v>
      </c>
      <c r="J522">
        <v>3</v>
      </c>
      <c r="K522">
        <v>1</v>
      </c>
    </row>
    <row r="523" spans="1:11" x14ac:dyDescent="0.25">
      <c r="A523">
        <v>32</v>
      </c>
      <c r="B523">
        <v>0</v>
      </c>
      <c r="C523">
        <v>2</v>
      </c>
      <c r="D523">
        <v>7</v>
      </c>
      <c r="E523">
        <v>4</v>
      </c>
      <c r="F523">
        <v>32.055316249999997</v>
      </c>
      <c r="G523">
        <v>16</v>
      </c>
      <c r="H523">
        <v>27</v>
      </c>
      <c r="I523">
        <v>11</v>
      </c>
      <c r="J523">
        <v>2</v>
      </c>
      <c r="K523">
        <v>0</v>
      </c>
    </row>
    <row r="524" spans="1:11" x14ac:dyDescent="0.25">
      <c r="A524">
        <v>47</v>
      </c>
      <c r="B524">
        <v>0</v>
      </c>
      <c r="C524">
        <v>2</v>
      </c>
      <c r="D524">
        <v>1</v>
      </c>
      <c r="E524">
        <v>2</v>
      </c>
      <c r="F524">
        <v>16.09000279</v>
      </c>
      <c r="G524">
        <v>74</v>
      </c>
      <c r="H524">
        <v>71</v>
      </c>
      <c r="I524">
        <v>1</v>
      </c>
      <c r="J524">
        <v>2</v>
      </c>
      <c r="K524">
        <v>0</v>
      </c>
    </row>
    <row r="525" spans="1:11" x14ac:dyDescent="0.25">
      <c r="A525">
        <v>45</v>
      </c>
      <c r="B525">
        <v>1</v>
      </c>
      <c r="C525">
        <v>2</v>
      </c>
      <c r="D525">
        <v>2</v>
      </c>
      <c r="E525">
        <v>2</v>
      </c>
      <c r="F525">
        <v>45.987153919999997</v>
      </c>
      <c r="G525">
        <v>19</v>
      </c>
      <c r="H525">
        <v>13</v>
      </c>
      <c r="I525">
        <v>27</v>
      </c>
      <c r="J525">
        <v>3</v>
      </c>
      <c r="K525">
        <v>0</v>
      </c>
    </row>
    <row r="526" spans="1:11" x14ac:dyDescent="0.25">
      <c r="A526">
        <v>26</v>
      </c>
      <c r="B526">
        <v>0</v>
      </c>
      <c r="C526">
        <v>3</v>
      </c>
      <c r="D526">
        <v>15</v>
      </c>
      <c r="E526">
        <v>3</v>
      </c>
      <c r="F526">
        <v>32.420347880000001</v>
      </c>
      <c r="G526">
        <v>47</v>
      </c>
      <c r="H526">
        <v>23</v>
      </c>
      <c r="I526">
        <v>73</v>
      </c>
      <c r="J526">
        <v>2</v>
      </c>
      <c r="K526">
        <v>0</v>
      </c>
    </row>
    <row r="527" spans="1:11" x14ac:dyDescent="0.25">
      <c r="A527">
        <v>44</v>
      </c>
      <c r="B527">
        <v>0</v>
      </c>
      <c r="C527">
        <v>2</v>
      </c>
      <c r="D527">
        <v>15</v>
      </c>
      <c r="E527">
        <v>2</v>
      </c>
      <c r="F527">
        <v>22.932450920000001</v>
      </c>
      <c r="G527">
        <v>72</v>
      </c>
      <c r="H527">
        <v>43</v>
      </c>
      <c r="I527">
        <v>85</v>
      </c>
      <c r="J527">
        <v>2</v>
      </c>
      <c r="K527">
        <v>0</v>
      </c>
    </row>
    <row r="528" spans="1:11" x14ac:dyDescent="0.25">
      <c r="A528">
        <v>23</v>
      </c>
      <c r="B528">
        <v>1</v>
      </c>
      <c r="C528">
        <v>1</v>
      </c>
      <c r="D528">
        <v>1</v>
      </c>
      <c r="E528">
        <v>3</v>
      </c>
      <c r="F528">
        <v>2.9378467779999999</v>
      </c>
      <c r="G528">
        <v>1</v>
      </c>
      <c r="H528">
        <v>100</v>
      </c>
      <c r="I528">
        <v>80</v>
      </c>
      <c r="J528">
        <v>3</v>
      </c>
      <c r="K528">
        <v>0</v>
      </c>
    </row>
    <row r="529" spans="1:11" x14ac:dyDescent="0.25">
      <c r="A529">
        <v>32</v>
      </c>
      <c r="B529">
        <v>0</v>
      </c>
      <c r="C529">
        <v>2</v>
      </c>
      <c r="D529">
        <v>15</v>
      </c>
      <c r="E529">
        <v>5</v>
      </c>
      <c r="F529">
        <v>25.977416760000001</v>
      </c>
      <c r="G529">
        <v>36</v>
      </c>
      <c r="H529">
        <v>55</v>
      </c>
      <c r="I529">
        <v>89</v>
      </c>
      <c r="J529">
        <v>1</v>
      </c>
      <c r="K529">
        <v>1</v>
      </c>
    </row>
    <row r="530" spans="1:11" x14ac:dyDescent="0.25">
      <c r="A530">
        <v>39</v>
      </c>
      <c r="B530">
        <v>1</v>
      </c>
      <c r="C530">
        <v>2</v>
      </c>
      <c r="D530">
        <v>7</v>
      </c>
      <c r="E530">
        <v>4</v>
      </c>
      <c r="F530">
        <v>39.238812109999998</v>
      </c>
      <c r="G530">
        <v>0</v>
      </c>
      <c r="H530">
        <v>89</v>
      </c>
      <c r="I530">
        <v>66</v>
      </c>
      <c r="J530">
        <v>2</v>
      </c>
      <c r="K530">
        <v>0</v>
      </c>
    </row>
    <row r="531" spans="1:11" x14ac:dyDescent="0.25">
      <c r="A531">
        <v>20</v>
      </c>
      <c r="B531">
        <v>0</v>
      </c>
      <c r="C531">
        <v>1</v>
      </c>
      <c r="D531">
        <v>5</v>
      </c>
      <c r="E531">
        <v>1</v>
      </c>
      <c r="F531">
        <v>14.2778799</v>
      </c>
      <c r="G531">
        <v>3</v>
      </c>
      <c r="H531">
        <v>94</v>
      </c>
      <c r="I531">
        <v>70</v>
      </c>
      <c r="J531">
        <v>1</v>
      </c>
      <c r="K531">
        <v>1</v>
      </c>
    </row>
    <row r="532" spans="1:11" x14ac:dyDescent="0.25">
      <c r="A532">
        <v>27</v>
      </c>
      <c r="B532">
        <v>1</v>
      </c>
      <c r="C532">
        <v>3</v>
      </c>
      <c r="D532">
        <v>5</v>
      </c>
      <c r="E532">
        <v>4</v>
      </c>
      <c r="F532">
        <v>41.338678479999999</v>
      </c>
      <c r="G532">
        <v>99</v>
      </c>
      <c r="H532">
        <v>50</v>
      </c>
      <c r="I532">
        <v>71</v>
      </c>
      <c r="J532">
        <v>1</v>
      </c>
      <c r="K532">
        <v>1</v>
      </c>
    </row>
    <row r="533" spans="1:11" x14ac:dyDescent="0.25">
      <c r="A533">
        <v>33</v>
      </c>
      <c r="B533">
        <v>0</v>
      </c>
      <c r="C533">
        <v>2</v>
      </c>
      <c r="D533">
        <v>11</v>
      </c>
      <c r="E533">
        <v>3</v>
      </c>
      <c r="F533">
        <v>13.590338300000001</v>
      </c>
      <c r="G533">
        <v>53</v>
      </c>
      <c r="H533">
        <v>31</v>
      </c>
      <c r="I533">
        <v>83</v>
      </c>
      <c r="J533">
        <v>3</v>
      </c>
      <c r="K533">
        <v>0</v>
      </c>
    </row>
    <row r="534" spans="1:11" x14ac:dyDescent="0.25">
      <c r="A534">
        <v>35</v>
      </c>
      <c r="B534">
        <v>0</v>
      </c>
      <c r="C534">
        <v>3</v>
      </c>
      <c r="D534">
        <v>14</v>
      </c>
      <c r="E534">
        <v>3</v>
      </c>
      <c r="F534">
        <v>42.1873194</v>
      </c>
      <c r="G534">
        <v>24</v>
      </c>
      <c r="H534">
        <v>49</v>
      </c>
      <c r="I534">
        <v>75</v>
      </c>
      <c r="J534">
        <v>2</v>
      </c>
      <c r="K534">
        <v>0</v>
      </c>
    </row>
    <row r="535" spans="1:11" x14ac:dyDescent="0.25">
      <c r="A535">
        <v>33</v>
      </c>
      <c r="B535">
        <v>1</v>
      </c>
      <c r="C535">
        <v>2</v>
      </c>
      <c r="D535">
        <v>8</v>
      </c>
      <c r="E535">
        <v>4</v>
      </c>
      <c r="F535">
        <v>5.2634170810000001</v>
      </c>
      <c r="G535">
        <v>2</v>
      </c>
      <c r="H535">
        <v>40</v>
      </c>
      <c r="I535">
        <v>98</v>
      </c>
      <c r="J535">
        <v>2</v>
      </c>
      <c r="K535">
        <v>0</v>
      </c>
    </row>
    <row r="536" spans="1:11" x14ac:dyDescent="0.25">
      <c r="A536">
        <v>31</v>
      </c>
      <c r="B536">
        <v>0</v>
      </c>
      <c r="C536">
        <v>3</v>
      </c>
      <c r="D536">
        <v>7</v>
      </c>
      <c r="E536">
        <v>3</v>
      </c>
      <c r="F536">
        <v>44.30918544</v>
      </c>
      <c r="G536">
        <v>8</v>
      </c>
      <c r="H536">
        <v>65</v>
      </c>
      <c r="I536">
        <v>80</v>
      </c>
      <c r="J536">
        <v>3</v>
      </c>
      <c r="K536">
        <v>1</v>
      </c>
    </row>
    <row r="537" spans="1:11" x14ac:dyDescent="0.25">
      <c r="A537">
        <v>38</v>
      </c>
      <c r="B537">
        <v>1</v>
      </c>
      <c r="C537">
        <v>1</v>
      </c>
      <c r="D537">
        <v>3</v>
      </c>
      <c r="E537">
        <v>2</v>
      </c>
      <c r="F537">
        <v>25.95932255</v>
      </c>
      <c r="G537">
        <v>85</v>
      </c>
      <c r="H537">
        <v>24</v>
      </c>
      <c r="I537">
        <v>91</v>
      </c>
      <c r="J537">
        <v>3</v>
      </c>
      <c r="K537">
        <v>0</v>
      </c>
    </row>
    <row r="538" spans="1:11" x14ac:dyDescent="0.25">
      <c r="A538">
        <v>42</v>
      </c>
      <c r="B538">
        <v>0</v>
      </c>
      <c r="C538">
        <v>2</v>
      </c>
      <c r="D538">
        <v>14</v>
      </c>
      <c r="E538">
        <v>2</v>
      </c>
      <c r="F538">
        <v>15.826879480000001</v>
      </c>
      <c r="G538">
        <v>86</v>
      </c>
      <c r="H538">
        <v>60</v>
      </c>
      <c r="I538">
        <v>9</v>
      </c>
      <c r="J538">
        <v>3</v>
      </c>
      <c r="K538">
        <v>0</v>
      </c>
    </row>
    <row r="539" spans="1:11" x14ac:dyDescent="0.25">
      <c r="A539">
        <v>34</v>
      </c>
      <c r="B539">
        <v>1</v>
      </c>
      <c r="C539">
        <v>4</v>
      </c>
      <c r="D539">
        <v>11</v>
      </c>
      <c r="E539">
        <v>3</v>
      </c>
      <c r="F539">
        <v>14.25566252</v>
      </c>
      <c r="G539">
        <v>75</v>
      </c>
      <c r="H539">
        <v>65</v>
      </c>
      <c r="I539">
        <v>85</v>
      </c>
      <c r="J539">
        <v>2</v>
      </c>
      <c r="K539">
        <v>1</v>
      </c>
    </row>
    <row r="540" spans="1:11" x14ac:dyDescent="0.25">
      <c r="A540">
        <v>47</v>
      </c>
      <c r="B540">
        <v>1</v>
      </c>
      <c r="C540">
        <v>3</v>
      </c>
      <c r="D540">
        <v>3</v>
      </c>
      <c r="E540">
        <v>3</v>
      </c>
      <c r="F540">
        <v>22.60052795</v>
      </c>
      <c r="G540">
        <v>73</v>
      </c>
      <c r="H540">
        <v>41</v>
      </c>
      <c r="I540">
        <v>56</v>
      </c>
      <c r="J540">
        <v>2</v>
      </c>
      <c r="K540">
        <v>0</v>
      </c>
    </row>
    <row r="541" spans="1:11" x14ac:dyDescent="0.25">
      <c r="A541">
        <v>21</v>
      </c>
      <c r="B541">
        <v>1</v>
      </c>
      <c r="C541">
        <v>2</v>
      </c>
      <c r="D541">
        <v>8</v>
      </c>
      <c r="E541">
        <v>2</v>
      </c>
      <c r="F541">
        <v>50.952474909999999</v>
      </c>
      <c r="G541">
        <v>33</v>
      </c>
      <c r="H541">
        <v>64</v>
      </c>
      <c r="I541">
        <v>96</v>
      </c>
      <c r="J541">
        <v>1</v>
      </c>
      <c r="K541">
        <v>1</v>
      </c>
    </row>
    <row r="542" spans="1:11" x14ac:dyDescent="0.25">
      <c r="A542">
        <v>21</v>
      </c>
      <c r="B542">
        <v>1</v>
      </c>
      <c r="C542">
        <v>2</v>
      </c>
      <c r="D542">
        <v>0</v>
      </c>
      <c r="E542">
        <v>3</v>
      </c>
      <c r="F542">
        <v>12.01636967</v>
      </c>
      <c r="G542">
        <v>42</v>
      </c>
      <c r="H542">
        <v>35</v>
      </c>
      <c r="I542">
        <v>85</v>
      </c>
      <c r="J542">
        <v>2</v>
      </c>
      <c r="K542">
        <v>0</v>
      </c>
    </row>
    <row r="543" spans="1:11" x14ac:dyDescent="0.25">
      <c r="A543">
        <v>42</v>
      </c>
      <c r="B543">
        <v>0</v>
      </c>
      <c r="C543">
        <v>3</v>
      </c>
      <c r="D543">
        <v>12</v>
      </c>
      <c r="E543">
        <v>3</v>
      </c>
      <c r="F543">
        <v>6.1608324440000004</v>
      </c>
      <c r="G543">
        <v>73</v>
      </c>
      <c r="H543">
        <v>75</v>
      </c>
      <c r="I543">
        <v>36</v>
      </c>
      <c r="J543">
        <v>2</v>
      </c>
      <c r="K543">
        <v>1</v>
      </c>
    </row>
    <row r="544" spans="1:11" x14ac:dyDescent="0.25">
      <c r="A544">
        <v>50</v>
      </c>
      <c r="B544">
        <v>0</v>
      </c>
      <c r="C544">
        <v>2</v>
      </c>
      <c r="D544">
        <v>1</v>
      </c>
      <c r="E544">
        <v>4</v>
      </c>
      <c r="F544">
        <v>30.25175844</v>
      </c>
      <c r="G544">
        <v>93</v>
      </c>
      <c r="H544">
        <v>8</v>
      </c>
      <c r="I544">
        <v>76</v>
      </c>
      <c r="J544">
        <v>2</v>
      </c>
      <c r="K544">
        <v>0</v>
      </c>
    </row>
    <row r="545" spans="1:11" x14ac:dyDescent="0.25">
      <c r="A545">
        <v>41</v>
      </c>
      <c r="B545">
        <v>1</v>
      </c>
      <c r="C545">
        <v>3</v>
      </c>
      <c r="D545">
        <v>1</v>
      </c>
      <c r="E545">
        <v>1</v>
      </c>
      <c r="F545">
        <v>25.42712332</v>
      </c>
      <c r="G545">
        <v>21</v>
      </c>
      <c r="H545">
        <v>35</v>
      </c>
      <c r="I545">
        <v>90</v>
      </c>
      <c r="J545">
        <v>2</v>
      </c>
      <c r="K545">
        <v>0</v>
      </c>
    </row>
    <row r="546" spans="1:11" x14ac:dyDescent="0.25">
      <c r="A546">
        <v>38</v>
      </c>
      <c r="B546">
        <v>1</v>
      </c>
      <c r="C546">
        <v>3</v>
      </c>
      <c r="D546">
        <v>12</v>
      </c>
      <c r="E546">
        <v>2</v>
      </c>
      <c r="F546">
        <v>27.20981355</v>
      </c>
      <c r="G546">
        <v>69</v>
      </c>
      <c r="H546">
        <v>91</v>
      </c>
      <c r="I546">
        <v>63</v>
      </c>
      <c r="J546">
        <v>3</v>
      </c>
      <c r="K546">
        <v>1</v>
      </c>
    </row>
    <row r="547" spans="1:11" x14ac:dyDescent="0.25">
      <c r="A547">
        <v>44</v>
      </c>
      <c r="B547">
        <v>1</v>
      </c>
      <c r="C547">
        <v>1</v>
      </c>
      <c r="D547">
        <v>12</v>
      </c>
      <c r="E547">
        <v>4</v>
      </c>
      <c r="F547">
        <v>34.346770880000001</v>
      </c>
      <c r="G547">
        <v>1</v>
      </c>
      <c r="H547">
        <v>37</v>
      </c>
      <c r="I547">
        <v>78</v>
      </c>
      <c r="J547">
        <v>2</v>
      </c>
      <c r="K547">
        <v>0</v>
      </c>
    </row>
    <row r="548" spans="1:11" x14ac:dyDescent="0.25">
      <c r="A548">
        <v>45</v>
      </c>
      <c r="B548">
        <v>0</v>
      </c>
      <c r="C548">
        <v>1</v>
      </c>
      <c r="D548">
        <v>5</v>
      </c>
      <c r="E548">
        <v>1</v>
      </c>
      <c r="F548">
        <v>14.35720349</v>
      </c>
      <c r="G548">
        <v>93</v>
      </c>
      <c r="H548">
        <v>32</v>
      </c>
      <c r="I548">
        <v>85</v>
      </c>
      <c r="J548">
        <v>2</v>
      </c>
      <c r="K548">
        <v>0</v>
      </c>
    </row>
    <row r="549" spans="1:11" x14ac:dyDescent="0.25">
      <c r="A549">
        <v>50</v>
      </c>
      <c r="B549">
        <v>0</v>
      </c>
      <c r="C549">
        <v>2</v>
      </c>
      <c r="D549">
        <v>14</v>
      </c>
      <c r="E549">
        <v>3</v>
      </c>
      <c r="F549">
        <v>46.533249769999998</v>
      </c>
      <c r="G549">
        <v>65</v>
      </c>
      <c r="H549">
        <v>41</v>
      </c>
      <c r="I549">
        <v>93</v>
      </c>
      <c r="J549">
        <v>2</v>
      </c>
      <c r="K549">
        <v>0</v>
      </c>
    </row>
    <row r="550" spans="1:11" x14ac:dyDescent="0.25">
      <c r="A550">
        <v>49</v>
      </c>
      <c r="B550">
        <v>0</v>
      </c>
      <c r="C550">
        <v>1</v>
      </c>
      <c r="D550">
        <v>3</v>
      </c>
      <c r="E550">
        <v>3</v>
      </c>
      <c r="F550">
        <v>22.78360331</v>
      </c>
      <c r="G550">
        <v>31</v>
      </c>
      <c r="H550">
        <v>60</v>
      </c>
      <c r="I550">
        <v>39</v>
      </c>
      <c r="J550">
        <v>1</v>
      </c>
      <c r="K550">
        <v>0</v>
      </c>
    </row>
    <row r="551" spans="1:11" x14ac:dyDescent="0.25">
      <c r="A551">
        <v>48</v>
      </c>
      <c r="B551">
        <v>0</v>
      </c>
      <c r="C551">
        <v>2</v>
      </c>
      <c r="D551">
        <v>15</v>
      </c>
      <c r="E551">
        <v>4</v>
      </c>
      <c r="F551">
        <v>7.4543097569999999</v>
      </c>
      <c r="G551">
        <v>15</v>
      </c>
      <c r="H551">
        <v>45</v>
      </c>
      <c r="I551">
        <v>100</v>
      </c>
      <c r="J551">
        <v>1</v>
      </c>
      <c r="K551">
        <v>1</v>
      </c>
    </row>
    <row r="552" spans="1:11" x14ac:dyDescent="0.25">
      <c r="A552">
        <v>41</v>
      </c>
      <c r="B552">
        <v>1</v>
      </c>
      <c r="C552">
        <v>4</v>
      </c>
      <c r="D552">
        <v>12</v>
      </c>
      <c r="E552">
        <v>3</v>
      </c>
      <c r="F552">
        <v>38.114937840000003</v>
      </c>
      <c r="G552">
        <v>75</v>
      </c>
      <c r="H552">
        <v>85</v>
      </c>
      <c r="I552">
        <v>97</v>
      </c>
      <c r="J552">
        <v>2</v>
      </c>
      <c r="K552">
        <v>1</v>
      </c>
    </row>
    <row r="553" spans="1:11" x14ac:dyDescent="0.25">
      <c r="A553">
        <v>45</v>
      </c>
      <c r="B553">
        <v>1</v>
      </c>
      <c r="C553">
        <v>2</v>
      </c>
      <c r="D553">
        <v>10</v>
      </c>
      <c r="E553">
        <v>5</v>
      </c>
      <c r="F553">
        <v>33.155217630000003</v>
      </c>
      <c r="G553">
        <v>0</v>
      </c>
      <c r="H553">
        <v>88</v>
      </c>
      <c r="I553">
        <v>59</v>
      </c>
      <c r="J553">
        <v>1</v>
      </c>
      <c r="K553">
        <v>1</v>
      </c>
    </row>
    <row r="554" spans="1:11" x14ac:dyDescent="0.25">
      <c r="A554">
        <v>45</v>
      </c>
      <c r="B554">
        <v>1</v>
      </c>
      <c r="C554">
        <v>3</v>
      </c>
      <c r="D554">
        <v>9</v>
      </c>
      <c r="E554">
        <v>4</v>
      </c>
      <c r="F554">
        <v>16.787170119999999</v>
      </c>
      <c r="G554">
        <v>71</v>
      </c>
      <c r="H554">
        <v>60</v>
      </c>
      <c r="I554">
        <v>97</v>
      </c>
      <c r="J554">
        <v>2</v>
      </c>
      <c r="K554">
        <v>1</v>
      </c>
    </row>
    <row r="555" spans="1:11" x14ac:dyDescent="0.25">
      <c r="A555">
        <v>41</v>
      </c>
      <c r="B555">
        <v>0</v>
      </c>
      <c r="C555">
        <v>2</v>
      </c>
      <c r="D555">
        <v>12</v>
      </c>
      <c r="E555">
        <v>1</v>
      </c>
      <c r="F555">
        <v>32.075936200000001</v>
      </c>
      <c r="G555">
        <v>47</v>
      </c>
      <c r="H555">
        <v>17</v>
      </c>
      <c r="I555">
        <v>47</v>
      </c>
      <c r="J555">
        <v>2</v>
      </c>
      <c r="K555">
        <v>0</v>
      </c>
    </row>
    <row r="556" spans="1:11" x14ac:dyDescent="0.25">
      <c r="A556">
        <v>36</v>
      </c>
      <c r="B556">
        <v>0</v>
      </c>
      <c r="C556">
        <v>2</v>
      </c>
      <c r="D556">
        <v>2</v>
      </c>
      <c r="E556">
        <v>4</v>
      </c>
      <c r="F556">
        <v>11.993097819999999</v>
      </c>
      <c r="G556">
        <v>49</v>
      </c>
      <c r="H556">
        <v>69</v>
      </c>
      <c r="I556">
        <v>98</v>
      </c>
      <c r="J556">
        <v>1</v>
      </c>
      <c r="K556">
        <v>1</v>
      </c>
    </row>
    <row r="557" spans="1:11" x14ac:dyDescent="0.25">
      <c r="A557">
        <v>39</v>
      </c>
      <c r="B557">
        <v>0</v>
      </c>
      <c r="C557">
        <v>1</v>
      </c>
      <c r="D557">
        <v>2</v>
      </c>
      <c r="E557">
        <v>2</v>
      </c>
      <c r="F557">
        <v>23.241967970000001</v>
      </c>
      <c r="G557">
        <v>12</v>
      </c>
      <c r="H557">
        <v>81</v>
      </c>
      <c r="I557">
        <v>18</v>
      </c>
      <c r="J557">
        <v>1</v>
      </c>
      <c r="K557">
        <v>0</v>
      </c>
    </row>
    <row r="558" spans="1:11" x14ac:dyDescent="0.25">
      <c r="A558">
        <v>29</v>
      </c>
      <c r="B558">
        <v>1</v>
      </c>
      <c r="C558">
        <v>2</v>
      </c>
      <c r="D558">
        <v>2</v>
      </c>
      <c r="E558">
        <v>4</v>
      </c>
      <c r="F558">
        <v>45.970626109999998</v>
      </c>
      <c r="G558">
        <v>14</v>
      </c>
      <c r="H558">
        <v>79</v>
      </c>
      <c r="I558">
        <v>71</v>
      </c>
      <c r="J558">
        <v>2</v>
      </c>
      <c r="K558">
        <v>0</v>
      </c>
    </row>
    <row r="559" spans="1:11" x14ac:dyDescent="0.25">
      <c r="A559">
        <v>25</v>
      </c>
      <c r="B559">
        <v>1</v>
      </c>
      <c r="C559">
        <v>2</v>
      </c>
      <c r="D559">
        <v>5</v>
      </c>
      <c r="E559">
        <v>3</v>
      </c>
      <c r="F559">
        <v>7.6767116580000003</v>
      </c>
      <c r="G559">
        <v>52</v>
      </c>
      <c r="H559">
        <v>14</v>
      </c>
      <c r="I559">
        <v>32</v>
      </c>
      <c r="J559">
        <v>2</v>
      </c>
      <c r="K559">
        <v>0</v>
      </c>
    </row>
    <row r="560" spans="1:11" x14ac:dyDescent="0.25">
      <c r="A560">
        <v>34</v>
      </c>
      <c r="B560">
        <v>0</v>
      </c>
      <c r="C560">
        <v>2</v>
      </c>
      <c r="D560">
        <v>13</v>
      </c>
      <c r="E560">
        <v>3</v>
      </c>
      <c r="F560">
        <v>20.334822500000001</v>
      </c>
      <c r="G560">
        <v>43</v>
      </c>
      <c r="H560">
        <v>47</v>
      </c>
      <c r="I560">
        <v>43</v>
      </c>
      <c r="J560">
        <v>2</v>
      </c>
      <c r="K560">
        <v>0</v>
      </c>
    </row>
    <row r="561" spans="1:11" x14ac:dyDescent="0.25">
      <c r="A561">
        <v>41</v>
      </c>
      <c r="B561">
        <v>1</v>
      </c>
      <c r="C561">
        <v>3</v>
      </c>
      <c r="D561">
        <v>15</v>
      </c>
      <c r="E561">
        <v>5</v>
      </c>
      <c r="F561">
        <v>42.057121240000001</v>
      </c>
      <c r="G561">
        <v>7</v>
      </c>
      <c r="H561">
        <v>71</v>
      </c>
      <c r="I561">
        <v>91</v>
      </c>
      <c r="J561">
        <v>2</v>
      </c>
      <c r="K561">
        <v>1</v>
      </c>
    </row>
    <row r="562" spans="1:11" x14ac:dyDescent="0.25">
      <c r="A562">
        <v>30</v>
      </c>
      <c r="B562">
        <v>0</v>
      </c>
      <c r="C562">
        <v>2</v>
      </c>
      <c r="D562">
        <v>7</v>
      </c>
      <c r="E562">
        <v>5</v>
      </c>
      <c r="F562">
        <v>49.474544969999997</v>
      </c>
      <c r="G562">
        <v>73</v>
      </c>
      <c r="H562">
        <v>12</v>
      </c>
      <c r="I562">
        <v>36</v>
      </c>
      <c r="J562">
        <v>2</v>
      </c>
      <c r="K562">
        <v>0</v>
      </c>
    </row>
    <row r="563" spans="1:11" x14ac:dyDescent="0.25">
      <c r="A563">
        <v>47</v>
      </c>
      <c r="B563">
        <v>0</v>
      </c>
      <c r="C563">
        <v>2</v>
      </c>
      <c r="D563">
        <v>10</v>
      </c>
      <c r="E563">
        <v>5</v>
      </c>
      <c r="F563">
        <v>23.69630682</v>
      </c>
      <c r="G563">
        <v>45</v>
      </c>
      <c r="H563">
        <v>42</v>
      </c>
      <c r="I563">
        <v>88</v>
      </c>
      <c r="J563">
        <v>3</v>
      </c>
      <c r="K563">
        <v>0</v>
      </c>
    </row>
    <row r="564" spans="1:11" x14ac:dyDescent="0.25">
      <c r="A564">
        <v>24</v>
      </c>
      <c r="B564">
        <v>1</v>
      </c>
      <c r="C564">
        <v>2</v>
      </c>
      <c r="D564">
        <v>6</v>
      </c>
      <c r="E564">
        <v>1</v>
      </c>
      <c r="F564">
        <v>26.34998101</v>
      </c>
      <c r="G564">
        <v>68</v>
      </c>
      <c r="H564">
        <v>59</v>
      </c>
      <c r="I564">
        <v>35</v>
      </c>
      <c r="J564">
        <v>2</v>
      </c>
      <c r="K564">
        <v>0</v>
      </c>
    </row>
    <row r="565" spans="1:11" x14ac:dyDescent="0.25">
      <c r="A565">
        <v>20</v>
      </c>
      <c r="B565">
        <v>0</v>
      </c>
      <c r="C565">
        <v>1</v>
      </c>
      <c r="D565">
        <v>13</v>
      </c>
      <c r="E565">
        <v>5</v>
      </c>
      <c r="F565">
        <v>29.608598090000001</v>
      </c>
      <c r="G565">
        <v>18</v>
      </c>
      <c r="H565">
        <v>56</v>
      </c>
      <c r="I565">
        <v>80</v>
      </c>
      <c r="J565">
        <v>3</v>
      </c>
      <c r="K565">
        <v>0</v>
      </c>
    </row>
    <row r="566" spans="1:11" x14ac:dyDescent="0.25">
      <c r="A566">
        <v>27</v>
      </c>
      <c r="B566">
        <v>1</v>
      </c>
      <c r="C566">
        <v>2</v>
      </c>
      <c r="D566">
        <v>3</v>
      </c>
      <c r="E566">
        <v>1</v>
      </c>
      <c r="F566">
        <v>47.61740708</v>
      </c>
      <c r="G566">
        <v>37</v>
      </c>
      <c r="H566">
        <v>70</v>
      </c>
      <c r="I566">
        <v>87</v>
      </c>
      <c r="J566">
        <v>1</v>
      </c>
      <c r="K566">
        <v>1</v>
      </c>
    </row>
    <row r="567" spans="1:11" x14ac:dyDescent="0.25">
      <c r="A567">
        <v>40</v>
      </c>
      <c r="B567">
        <v>0</v>
      </c>
      <c r="C567">
        <v>1</v>
      </c>
      <c r="D567">
        <v>10</v>
      </c>
      <c r="E567">
        <v>5</v>
      </c>
      <c r="F567">
        <v>43.910339550000003</v>
      </c>
      <c r="G567">
        <v>10</v>
      </c>
      <c r="H567">
        <v>16</v>
      </c>
      <c r="I567">
        <v>20</v>
      </c>
      <c r="J567">
        <v>2</v>
      </c>
      <c r="K567">
        <v>0</v>
      </c>
    </row>
    <row r="568" spans="1:11" x14ac:dyDescent="0.25">
      <c r="A568">
        <v>47</v>
      </c>
      <c r="B568">
        <v>1</v>
      </c>
      <c r="C568">
        <v>1</v>
      </c>
      <c r="D568">
        <v>11</v>
      </c>
      <c r="E568">
        <v>1</v>
      </c>
      <c r="F568">
        <v>9.5300562309999997</v>
      </c>
      <c r="G568">
        <v>42</v>
      </c>
      <c r="H568">
        <v>49</v>
      </c>
      <c r="I568">
        <v>1</v>
      </c>
      <c r="J568">
        <v>2</v>
      </c>
      <c r="K568">
        <v>0</v>
      </c>
    </row>
    <row r="569" spans="1:11" x14ac:dyDescent="0.25">
      <c r="A569">
        <v>31</v>
      </c>
      <c r="B569">
        <v>1</v>
      </c>
      <c r="C569">
        <v>1</v>
      </c>
      <c r="D569">
        <v>3</v>
      </c>
      <c r="E569">
        <v>4</v>
      </c>
      <c r="F569">
        <v>22.837890890000001</v>
      </c>
      <c r="G569">
        <v>19</v>
      </c>
      <c r="H569">
        <v>31</v>
      </c>
      <c r="I569">
        <v>30</v>
      </c>
      <c r="J569">
        <v>1</v>
      </c>
      <c r="K569">
        <v>0</v>
      </c>
    </row>
    <row r="570" spans="1:11" x14ac:dyDescent="0.25">
      <c r="A570">
        <v>31</v>
      </c>
      <c r="B570">
        <v>1</v>
      </c>
      <c r="C570">
        <v>2</v>
      </c>
      <c r="D570">
        <v>10</v>
      </c>
      <c r="E570">
        <v>4</v>
      </c>
      <c r="F570">
        <v>24.200021410000002</v>
      </c>
      <c r="G570">
        <v>19</v>
      </c>
      <c r="H570">
        <v>21</v>
      </c>
      <c r="I570">
        <v>96</v>
      </c>
      <c r="J570">
        <v>1</v>
      </c>
      <c r="K570">
        <v>1</v>
      </c>
    </row>
    <row r="571" spans="1:11" x14ac:dyDescent="0.25">
      <c r="A571">
        <v>24</v>
      </c>
      <c r="B571">
        <v>0</v>
      </c>
      <c r="C571">
        <v>3</v>
      </c>
      <c r="D571">
        <v>9</v>
      </c>
      <c r="E571">
        <v>3</v>
      </c>
      <c r="F571">
        <v>40.454805579999999</v>
      </c>
      <c r="G571">
        <v>20</v>
      </c>
      <c r="H571">
        <v>54</v>
      </c>
      <c r="I571">
        <v>29</v>
      </c>
      <c r="J571">
        <v>2</v>
      </c>
      <c r="K571">
        <v>0</v>
      </c>
    </row>
    <row r="572" spans="1:11" x14ac:dyDescent="0.25">
      <c r="A572">
        <v>26</v>
      </c>
      <c r="B572">
        <v>0</v>
      </c>
      <c r="C572">
        <v>2</v>
      </c>
      <c r="D572">
        <v>14</v>
      </c>
      <c r="E572">
        <v>1</v>
      </c>
      <c r="F572">
        <v>31.14464413</v>
      </c>
      <c r="G572">
        <v>81</v>
      </c>
      <c r="H572">
        <v>56</v>
      </c>
      <c r="I572">
        <v>75</v>
      </c>
      <c r="J572">
        <v>1</v>
      </c>
      <c r="K572">
        <v>1</v>
      </c>
    </row>
    <row r="573" spans="1:11" x14ac:dyDescent="0.25">
      <c r="A573">
        <v>23</v>
      </c>
      <c r="B573">
        <v>1</v>
      </c>
      <c r="C573">
        <v>2</v>
      </c>
      <c r="D573">
        <v>10</v>
      </c>
      <c r="E573">
        <v>2</v>
      </c>
      <c r="F573">
        <v>33.711023099999998</v>
      </c>
      <c r="G573">
        <v>56</v>
      </c>
      <c r="H573">
        <v>12</v>
      </c>
      <c r="I573">
        <v>43</v>
      </c>
      <c r="J573">
        <v>1</v>
      </c>
      <c r="K573">
        <v>0</v>
      </c>
    </row>
    <row r="574" spans="1:11" x14ac:dyDescent="0.25">
      <c r="A574">
        <v>25</v>
      </c>
      <c r="B574">
        <v>1</v>
      </c>
      <c r="C574">
        <v>2</v>
      </c>
      <c r="D574">
        <v>15</v>
      </c>
      <c r="E574">
        <v>3</v>
      </c>
      <c r="F574">
        <v>50.909995379999998</v>
      </c>
      <c r="G574">
        <v>49</v>
      </c>
      <c r="H574">
        <v>46</v>
      </c>
      <c r="I574">
        <v>11</v>
      </c>
      <c r="J574">
        <v>3</v>
      </c>
      <c r="K574">
        <v>0</v>
      </c>
    </row>
    <row r="575" spans="1:11" x14ac:dyDescent="0.25">
      <c r="A575">
        <v>32</v>
      </c>
      <c r="B575">
        <v>0</v>
      </c>
      <c r="C575">
        <v>1</v>
      </c>
      <c r="D575">
        <v>10</v>
      </c>
      <c r="E575">
        <v>4</v>
      </c>
      <c r="F575">
        <v>4.7480021739999998</v>
      </c>
      <c r="G575">
        <v>73</v>
      </c>
      <c r="H575">
        <v>86</v>
      </c>
      <c r="I575">
        <v>50</v>
      </c>
      <c r="J575">
        <v>3</v>
      </c>
      <c r="K575">
        <v>0</v>
      </c>
    </row>
    <row r="576" spans="1:11" x14ac:dyDescent="0.25">
      <c r="A576">
        <v>39</v>
      </c>
      <c r="B576">
        <v>0</v>
      </c>
      <c r="C576">
        <v>3</v>
      </c>
      <c r="D576">
        <v>13</v>
      </c>
      <c r="E576">
        <v>1</v>
      </c>
      <c r="F576">
        <v>12.15049118</v>
      </c>
      <c r="G576">
        <v>97</v>
      </c>
      <c r="H576">
        <v>61</v>
      </c>
      <c r="I576">
        <v>48</v>
      </c>
      <c r="J576">
        <v>2</v>
      </c>
      <c r="K576">
        <v>1</v>
      </c>
    </row>
    <row r="577" spans="1:11" x14ac:dyDescent="0.25">
      <c r="A577">
        <v>49</v>
      </c>
      <c r="B577">
        <v>0</v>
      </c>
      <c r="C577">
        <v>2</v>
      </c>
      <c r="D577">
        <v>10</v>
      </c>
      <c r="E577">
        <v>5</v>
      </c>
      <c r="F577">
        <v>21.39479687</v>
      </c>
      <c r="G577">
        <v>25</v>
      </c>
      <c r="H577">
        <v>53</v>
      </c>
      <c r="I577">
        <v>23</v>
      </c>
      <c r="J577">
        <v>2</v>
      </c>
      <c r="K577">
        <v>0</v>
      </c>
    </row>
    <row r="578" spans="1:11" x14ac:dyDescent="0.25">
      <c r="A578">
        <v>34</v>
      </c>
      <c r="B578">
        <v>1</v>
      </c>
      <c r="C578">
        <v>2</v>
      </c>
      <c r="D578">
        <v>1</v>
      </c>
      <c r="E578">
        <v>2</v>
      </c>
      <c r="F578">
        <v>18.38912015</v>
      </c>
      <c r="G578">
        <v>29</v>
      </c>
      <c r="H578">
        <v>28</v>
      </c>
      <c r="I578">
        <v>23</v>
      </c>
      <c r="J578">
        <v>3</v>
      </c>
      <c r="K578">
        <v>0</v>
      </c>
    </row>
    <row r="579" spans="1:11" x14ac:dyDescent="0.25">
      <c r="A579">
        <v>22</v>
      </c>
      <c r="B579">
        <v>0</v>
      </c>
      <c r="C579">
        <v>2</v>
      </c>
      <c r="D579">
        <v>13</v>
      </c>
      <c r="E579">
        <v>4</v>
      </c>
      <c r="F579">
        <v>2.0822780669999998</v>
      </c>
      <c r="G579">
        <v>72</v>
      </c>
      <c r="H579">
        <v>21</v>
      </c>
      <c r="I579">
        <v>59</v>
      </c>
      <c r="J579">
        <v>2</v>
      </c>
      <c r="K579">
        <v>0</v>
      </c>
    </row>
    <row r="580" spans="1:11" x14ac:dyDescent="0.25">
      <c r="A580">
        <v>42</v>
      </c>
      <c r="B580">
        <v>0</v>
      </c>
      <c r="C580">
        <v>1</v>
      </c>
      <c r="D580">
        <v>15</v>
      </c>
      <c r="E580">
        <v>3</v>
      </c>
      <c r="F580">
        <v>5.5888803239999998</v>
      </c>
      <c r="G580">
        <v>30</v>
      </c>
      <c r="H580">
        <v>64</v>
      </c>
      <c r="I580">
        <v>10</v>
      </c>
      <c r="J580">
        <v>1</v>
      </c>
      <c r="K580">
        <v>1</v>
      </c>
    </row>
    <row r="581" spans="1:11" x14ac:dyDescent="0.25">
      <c r="A581">
        <v>27</v>
      </c>
      <c r="B581">
        <v>1</v>
      </c>
      <c r="C581">
        <v>2</v>
      </c>
      <c r="D581">
        <v>0</v>
      </c>
      <c r="E581">
        <v>1</v>
      </c>
      <c r="F581">
        <v>35.047664570000002</v>
      </c>
      <c r="G581">
        <v>41</v>
      </c>
      <c r="H581">
        <v>28</v>
      </c>
      <c r="I581">
        <v>12</v>
      </c>
      <c r="J581">
        <v>3</v>
      </c>
      <c r="K581">
        <v>0</v>
      </c>
    </row>
    <row r="582" spans="1:11" x14ac:dyDescent="0.25">
      <c r="A582">
        <v>39</v>
      </c>
      <c r="B582">
        <v>0</v>
      </c>
      <c r="C582">
        <v>2</v>
      </c>
      <c r="D582">
        <v>8</v>
      </c>
      <c r="E582">
        <v>2</v>
      </c>
      <c r="F582">
        <v>44.966223169999999</v>
      </c>
      <c r="G582">
        <v>67</v>
      </c>
      <c r="H582">
        <v>47</v>
      </c>
      <c r="I582">
        <v>90</v>
      </c>
      <c r="J582">
        <v>2</v>
      </c>
      <c r="K582">
        <v>0</v>
      </c>
    </row>
    <row r="583" spans="1:11" x14ac:dyDescent="0.25">
      <c r="A583">
        <v>35</v>
      </c>
      <c r="B583">
        <v>0</v>
      </c>
      <c r="C583">
        <v>3</v>
      </c>
      <c r="D583">
        <v>11</v>
      </c>
      <c r="E583">
        <v>1</v>
      </c>
      <c r="F583">
        <v>26.71135056</v>
      </c>
      <c r="G583">
        <v>60</v>
      </c>
      <c r="H583">
        <v>4</v>
      </c>
      <c r="I583">
        <v>71</v>
      </c>
      <c r="J583">
        <v>2</v>
      </c>
      <c r="K583">
        <v>0</v>
      </c>
    </row>
    <row r="584" spans="1:11" x14ac:dyDescent="0.25">
      <c r="A584">
        <v>32</v>
      </c>
      <c r="B584">
        <v>0</v>
      </c>
      <c r="C584">
        <v>1</v>
      </c>
      <c r="D584">
        <v>14</v>
      </c>
      <c r="E584">
        <v>5</v>
      </c>
      <c r="F584">
        <v>27.959553979999999</v>
      </c>
      <c r="G584">
        <v>60</v>
      </c>
      <c r="H584">
        <v>34</v>
      </c>
      <c r="I584">
        <v>73</v>
      </c>
      <c r="J584">
        <v>2</v>
      </c>
      <c r="K584">
        <v>0</v>
      </c>
    </row>
    <row r="585" spans="1:11" x14ac:dyDescent="0.25">
      <c r="A585">
        <v>37</v>
      </c>
      <c r="B585">
        <v>1</v>
      </c>
      <c r="C585">
        <v>2</v>
      </c>
      <c r="D585">
        <v>11</v>
      </c>
      <c r="E585">
        <v>3</v>
      </c>
      <c r="F585">
        <v>13.75467164</v>
      </c>
      <c r="G585">
        <v>69</v>
      </c>
      <c r="H585">
        <v>73</v>
      </c>
      <c r="I585">
        <v>71</v>
      </c>
      <c r="J585">
        <v>2</v>
      </c>
      <c r="K585">
        <v>0</v>
      </c>
    </row>
    <row r="586" spans="1:11" x14ac:dyDescent="0.25">
      <c r="A586">
        <v>47</v>
      </c>
      <c r="B586">
        <v>1</v>
      </c>
      <c r="C586">
        <v>2</v>
      </c>
      <c r="D586">
        <v>1</v>
      </c>
      <c r="E586">
        <v>1</v>
      </c>
      <c r="F586">
        <v>39.393818179999997</v>
      </c>
      <c r="G586">
        <v>77</v>
      </c>
      <c r="H586">
        <v>82</v>
      </c>
      <c r="I586">
        <v>63</v>
      </c>
      <c r="J586">
        <v>3</v>
      </c>
      <c r="K586">
        <v>0</v>
      </c>
    </row>
    <row r="587" spans="1:11" x14ac:dyDescent="0.25">
      <c r="A587">
        <v>29</v>
      </c>
      <c r="B587">
        <v>1</v>
      </c>
      <c r="C587">
        <v>1</v>
      </c>
      <c r="D587">
        <v>12</v>
      </c>
      <c r="E587">
        <v>4</v>
      </c>
      <c r="F587">
        <v>38.589729370000001</v>
      </c>
      <c r="G587">
        <v>67</v>
      </c>
      <c r="H587">
        <v>100</v>
      </c>
      <c r="I587">
        <v>19</v>
      </c>
      <c r="J587">
        <v>2</v>
      </c>
      <c r="K587">
        <v>0</v>
      </c>
    </row>
    <row r="588" spans="1:11" x14ac:dyDescent="0.25">
      <c r="A588">
        <v>49</v>
      </c>
      <c r="B588">
        <v>1</v>
      </c>
      <c r="C588">
        <v>2</v>
      </c>
      <c r="D588">
        <v>7</v>
      </c>
      <c r="E588">
        <v>3</v>
      </c>
      <c r="F588">
        <v>30.418284459999999</v>
      </c>
      <c r="G588">
        <v>89</v>
      </c>
      <c r="H588">
        <v>70</v>
      </c>
      <c r="I588">
        <v>71</v>
      </c>
      <c r="J588">
        <v>3</v>
      </c>
      <c r="K588">
        <v>1</v>
      </c>
    </row>
    <row r="589" spans="1:11" x14ac:dyDescent="0.25">
      <c r="A589">
        <v>38</v>
      </c>
      <c r="B589">
        <v>1</v>
      </c>
      <c r="C589">
        <v>3</v>
      </c>
      <c r="D589">
        <v>14</v>
      </c>
      <c r="E589">
        <v>4</v>
      </c>
      <c r="F589">
        <v>11.633214329999999</v>
      </c>
      <c r="G589">
        <v>16</v>
      </c>
      <c r="H589">
        <v>45</v>
      </c>
      <c r="I589">
        <v>72</v>
      </c>
      <c r="J589">
        <v>3</v>
      </c>
      <c r="K589">
        <v>0</v>
      </c>
    </row>
    <row r="590" spans="1:11" x14ac:dyDescent="0.25">
      <c r="A590">
        <v>36</v>
      </c>
      <c r="B590">
        <v>1</v>
      </c>
      <c r="C590">
        <v>3</v>
      </c>
      <c r="D590">
        <v>15</v>
      </c>
      <c r="E590">
        <v>1</v>
      </c>
      <c r="F590">
        <v>5.8509109119999998</v>
      </c>
      <c r="G590">
        <v>18</v>
      </c>
      <c r="H590">
        <v>34</v>
      </c>
      <c r="I590">
        <v>70</v>
      </c>
      <c r="J590">
        <v>2</v>
      </c>
      <c r="K590">
        <v>0</v>
      </c>
    </row>
    <row r="591" spans="1:11" x14ac:dyDescent="0.25">
      <c r="A591">
        <v>43</v>
      </c>
      <c r="B591">
        <v>1</v>
      </c>
      <c r="C591">
        <v>2</v>
      </c>
      <c r="D591">
        <v>8</v>
      </c>
      <c r="E591">
        <v>3</v>
      </c>
      <c r="F591">
        <v>4.2119287930000002</v>
      </c>
      <c r="G591">
        <v>50</v>
      </c>
      <c r="H591">
        <v>44</v>
      </c>
      <c r="I591">
        <v>77</v>
      </c>
      <c r="J591">
        <v>2</v>
      </c>
      <c r="K591">
        <v>0</v>
      </c>
    </row>
    <row r="592" spans="1:11" x14ac:dyDescent="0.25">
      <c r="A592">
        <v>50</v>
      </c>
      <c r="B592">
        <v>0</v>
      </c>
      <c r="C592">
        <v>3</v>
      </c>
      <c r="D592">
        <v>3</v>
      </c>
      <c r="E592">
        <v>4</v>
      </c>
      <c r="F592">
        <v>30.63480333</v>
      </c>
      <c r="G592">
        <v>69</v>
      </c>
      <c r="H592">
        <v>12</v>
      </c>
      <c r="I592">
        <v>27</v>
      </c>
      <c r="J592">
        <v>2</v>
      </c>
      <c r="K592">
        <v>0</v>
      </c>
    </row>
    <row r="593" spans="1:11" x14ac:dyDescent="0.25">
      <c r="A593">
        <v>38</v>
      </c>
      <c r="B593">
        <v>0</v>
      </c>
      <c r="C593">
        <v>4</v>
      </c>
      <c r="D593">
        <v>7</v>
      </c>
      <c r="E593">
        <v>5</v>
      </c>
      <c r="F593">
        <v>42.25176596</v>
      </c>
      <c r="G593">
        <v>62</v>
      </c>
      <c r="H593">
        <v>9</v>
      </c>
      <c r="I593">
        <v>1</v>
      </c>
      <c r="J593">
        <v>1</v>
      </c>
      <c r="K593">
        <v>1</v>
      </c>
    </row>
    <row r="594" spans="1:11" x14ac:dyDescent="0.25">
      <c r="A594">
        <v>47</v>
      </c>
      <c r="B594">
        <v>1</v>
      </c>
      <c r="C594">
        <v>3</v>
      </c>
      <c r="D594">
        <v>8</v>
      </c>
      <c r="E594">
        <v>5</v>
      </c>
      <c r="F594">
        <v>43.916521590000002</v>
      </c>
      <c r="G594">
        <v>92</v>
      </c>
      <c r="H594">
        <v>65</v>
      </c>
      <c r="I594">
        <v>42</v>
      </c>
      <c r="J594">
        <v>1</v>
      </c>
      <c r="K594">
        <v>1</v>
      </c>
    </row>
    <row r="595" spans="1:11" x14ac:dyDescent="0.25">
      <c r="A595">
        <v>45</v>
      </c>
      <c r="B595">
        <v>0</v>
      </c>
      <c r="C595">
        <v>1</v>
      </c>
      <c r="D595">
        <v>9</v>
      </c>
      <c r="E595">
        <v>1</v>
      </c>
      <c r="F595">
        <v>24.181103719999999</v>
      </c>
      <c r="G595">
        <v>74</v>
      </c>
      <c r="H595">
        <v>69</v>
      </c>
      <c r="I595">
        <v>7</v>
      </c>
      <c r="J595">
        <v>2</v>
      </c>
      <c r="K595">
        <v>0</v>
      </c>
    </row>
    <row r="596" spans="1:11" x14ac:dyDescent="0.25">
      <c r="A596">
        <v>42</v>
      </c>
      <c r="B596">
        <v>0</v>
      </c>
      <c r="C596">
        <v>3</v>
      </c>
      <c r="D596">
        <v>9</v>
      </c>
      <c r="E596">
        <v>3</v>
      </c>
      <c r="F596">
        <v>40.21356497</v>
      </c>
      <c r="G596">
        <v>79</v>
      </c>
      <c r="H596">
        <v>71</v>
      </c>
      <c r="I596">
        <v>12</v>
      </c>
      <c r="J596">
        <v>2</v>
      </c>
      <c r="K596">
        <v>1</v>
      </c>
    </row>
    <row r="597" spans="1:11" x14ac:dyDescent="0.25">
      <c r="A597">
        <v>45</v>
      </c>
      <c r="B597">
        <v>1</v>
      </c>
      <c r="C597">
        <v>2</v>
      </c>
      <c r="D597">
        <v>4</v>
      </c>
      <c r="E597">
        <v>2</v>
      </c>
      <c r="F597">
        <v>48.344009819999997</v>
      </c>
      <c r="G597">
        <v>29</v>
      </c>
      <c r="H597">
        <v>99</v>
      </c>
      <c r="I597">
        <v>84</v>
      </c>
      <c r="J597">
        <v>1</v>
      </c>
      <c r="K597">
        <v>1</v>
      </c>
    </row>
    <row r="598" spans="1:11" x14ac:dyDescent="0.25">
      <c r="A598">
        <v>24</v>
      </c>
      <c r="B598">
        <v>0</v>
      </c>
      <c r="C598">
        <v>4</v>
      </c>
      <c r="D598">
        <v>15</v>
      </c>
      <c r="E598">
        <v>3</v>
      </c>
      <c r="F598">
        <v>14.758505619999999</v>
      </c>
      <c r="G598">
        <v>24</v>
      </c>
      <c r="H598">
        <v>24</v>
      </c>
      <c r="I598">
        <v>91</v>
      </c>
      <c r="J598">
        <v>1</v>
      </c>
      <c r="K598">
        <v>1</v>
      </c>
    </row>
    <row r="599" spans="1:11" x14ac:dyDescent="0.25">
      <c r="A599">
        <v>45</v>
      </c>
      <c r="B599">
        <v>0</v>
      </c>
      <c r="C599">
        <v>2</v>
      </c>
      <c r="D599">
        <v>12</v>
      </c>
      <c r="E599">
        <v>5</v>
      </c>
      <c r="F599">
        <v>20.898017320000001</v>
      </c>
      <c r="G599">
        <v>74</v>
      </c>
      <c r="H599">
        <v>43</v>
      </c>
      <c r="I599">
        <v>34</v>
      </c>
      <c r="J599">
        <v>3</v>
      </c>
      <c r="K599">
        <v>0</v>
      </c>
    </row>
    <row r="600" spans="1:11" x14ac:dyDescent="0.25">
      <c r="A600">
        <v>40</v>
      </c>
      <c r="B600">
        <v>0</v>
      </c>
      <c r="C600">
        <v>1</v>
      </c>
      <c r="D600">
        <v>13</v>
      </c>
      <c r="E600">
        <v>4</v>
      </c>
      <c r="F600">
        <v>47.573949630000001</v>
      </c>
      <c r="G600">
        <v>70</v>
      </c>
      <c r="H600">
        <v>59</v>
      </c>
      <c r="I600">
        <v>22</v>
      </c>
      <c r="J600">
        <v>2</v>
      </c>
      <c r="K600">
        <v>0</v>
      </c>
    </row>
    <row r="601" spans="1:11" x14ac:dyDescent="0.25">
      <c r="A601">
        <v>49</v>
      </c>
      <c r="B601">
        <v>0</v>
      </c>
      <c r="C601">
        <v>3</v>
      </c>
      <c r="D601">
        <v>6</v>
      </c>
      <c r="E601">
        <v>2</v>
      </c>
      <c r="F601">
        <v>17.911548369999998</v>
      </c>
      <c r="G601">
        <v>25</v>
      </c>
      <c r="H601">
        <v>46</v>
      </c>
      <c r="I601">
        <v>45</v>
      </c>
      <c r="J601">
        <v>3</v>
      </c>
      <c r="K601">
        <v>0</v>
      </c>
    </row>
    <row r="602" spans="1:11" x14ac:dyDescent="0.25">
      <c r="A602">
        <v>42</v>
      </c>
      <c r="B602">
        <v>0</v>
      </c>
      <c r="C602">
        <v>2</v>
      </c>
      <c r="D602">
        <v>15</v>
      </c>
      <c r="E602">
        <v>1</v>
      </c>
      <c r="F602">
        <v>46.693814519999997</v>
      </c>
      <c r="G602">
        <v>55</v>
      </c>
      <c r="H602">
        <v>39</v>
      </c>
      <c r="I602">
        <v>14</v>
      </c>
      <c r="J602">
        <v>2</v>
      </c>
      <c r="K602">
        <v>0</v>
      </c>
    </row>
    <row r="603" spans="1:11" x14ac:dyDescent="0.25">
      <c r="A603">
        <v>50</v>
      </c>
      <c r="B603">
        <v>1</v>
      </c>
      <c r="C603">
        <v>4</v>
      </c>
      <c r="D603">
        <v>9</v>
      </c>
      <c r="E603">
        <v>2</v>
      </c>
      <c r="F603">
        <v>50.052243109999999</v>
      </c>
      <c r="G603">
        <v>21</v>
      </c>
      <c r="H603">
        <v>6</v>
      </c>
      <c r="I603">
        <v>1</v>
      </c>
      <c r="J603">
        <v>2</v>
      </c>
      <c r="K603">
        <v>0</v>
      </c>
    </row>
    <row r="604" spans="1:11" x14ac:dyDescent="0.25">
      <c r="A604">
        <v>28</v>
      </c>
      <c r="B604">
        <v>1</v>
      </c>
      <c r="C604">
        <v>4</v>
      </c>
      <c r="D604">
        <v>3</v>
      </c>
      <c r="E604">
        <v>1</v>
      </c>
      <c r="F604">
        <v>34.09053643</v>
      </c>
      <c r="G604">
        <v>88</v>
      </c>
      <c r="H604">
        <v>45</v>
      </c>
      <c r="I604">
        <v>60</v>
      </c>
      <c r="J604">
        <v>1</v>
      </c>
      <c r="K604">
        <v>1</v>
      </c>
    </row>
    <row r="605" spans="1:11" x14ac:dyDescent="0.25">
      <c r="A605">
        <v>31</v>
      </c>
      <c r="B605">
        <v>1</v>
      </c>
      <c r="C605">
        <v>2</v>
      </c>
      <c r="D605">
        <v>0</v>
      </c>
      <c r="E605">
        <v>2</v>
      </c>
      <c r="F605">
        <v>41.844514480000001</v>
      </c>
      <c r="G605">
        <v>18</v>
      </c>
      <c r="H605">
        <v>22</v>
      </c>
      <c r="I605">
        <v>75</v>
      </c>
      <c r="J605">
        <v>2</v>
      </c>
      <c r="K605">
        <v>0</v>
      </c>
    </row>
    <row r="606" spans="1:11" x14ac:dyDescent="0.25">
      <c r="A606">
        <v>40</v>
      </c>
      <c r="B606">
        <v>0</v>
      </c>
      <c r="C606">
        <v>1</v>
      </c>
      <c r="D606">
        <v>2</v>
      </c>
      <c r="E606">
        <v>1</v>
      </c>
      <c r="F606">
        <v>38.477278210000001</v>
      </c>
      <c r="G606">
        <v>30</v>
      </c>
      <c r="H606">
        <v>82</v>
      </c>
      <c r="I606">
        <v>63</v>
      </c>
      <c r="J606">
        <v>2</v>
      </c>
      <c r="K606">
        <v>0</v>
      </c>
    </row>
    <row r="607" spans="1:11" x14ac:dyDescent="0.25">
      <c r="A607">
        <v>20</v>
      </c>
      <c r="B607">
        <v>1</v>
      </c>
      <c r="C607">
        <v>2</v>
      </c>
      <c r="D607">
        <v>4</v>
      </c>
      <c r="E607">
        <v>1</v>
      </c>
      <c r="F607">
        <v>35.976712880000001</v>
      </c>
      <c r="G607">
        <v>25</v>
      </c>
      <c r="H607">
        <v>45</v>
      </c>
      <c r="I607">
        <v>51</v>
      </c>
      <c r="J607">
        <v>1</v>
      </c>
      <c r="K607">
        <v>0</v>
      </c>
    </row>
    <row r="608" spans="1:11" x14ac:dyDescent="0.25">
      <c r="A608">
        <v>45</v>
      </c>
      <c r="B608">
        <v>0</v>
      </c>
      <c r="C608">
        <v>1</v>
      </c>
      <c r="D608">
        <v>2</v>
      </c>
      <c r="E608">
        <v>2</v>
      </c>
      <c r="F608">
        <v>16.346553650000001</v>
      </c>
      <c r="G608">
        <v>41</v>
      </c>
      <c r="H608">
        <v>85</v>
      </c>
      <c r="I608">
        <v>35</v>
      </c>
      <c r="J608">
        <v>2</v>
      </c>
      <c r="K608">
        <v>0</v>
      </c>
    </row>
    <row r="609" spans="1:11" x14ac:dyDescent="0.25">
      <c r="A609">
        <v>45</v>
      </c>
      <c r="B609">
        <v>0</v>
      </c>
      <c r="C609">
        <v>1</v>
      </c>
      <c r="D609">
        <v>15</v>
      </c>
      <c r="E609">
        <v>2</v>
      </c>
      <c r="F609">
        <v>3.8547168950000001</v>
      </c>
      <c r="G609">
        <v>40</v>
      </c>
      <c r="H609">
        <v>12</v>
      </c>
      <c r="I609">
        <v>66</v>
      </c>
      <c r="J609">
        <v>2</v>
      </c>
      <c r="K609">
        <v>0</v>
      </c>
    </row>
    <row r="610" spans="1:11" x14ac:dyDescent="0.25">
      <c r="A610">
        <v>20</v>
      </c>
      <c r="B610">
        <v>0</v>
      </c>
      <c r="C610">
        <v>3</v>
      </c>
      <c r="D610">
        <v>11</v>
      </c>
      <c r="E610">
        <v>1</v>
      </c>
      <c r="F610">
        <v>18.152586629999998</v>
      </c>
      <c r="G610">
        <v>99</v>
      </c>
      <c r="H610">
        <v>20</v>
      </c>
      <c r="I610">
        <v>68</v>
      </c>
      <c r="J610">
        <v>2</v>
      </c>
      <c r="K610">
        <v>1</v>
      </c>
    </row>
    <row r="611" spans="1:11" x14ac:dyDescent="0.25">
      <c r="A611">
        <v>34</v>
      </c>
      <c r="B611">
        <v>0</v>
      </c>
      <c r="C611">
        <v>2</v>
      </c>
      <c r="D611">
        <v>12</v>
      </c>
      <c r="E611">
        <v>5</v>
      </c>
      <c r="F611">
        <v>34.346799259999997</v>
      </c>
      <c r="G611">
        <v>22</v>
      </c>
      <c r="H611">
        <v>0</v>
      </c>
      <c r="I611">
        <v>66</v>
      </c>
      <c r="J611">
        <v>2</v>
      </c>
      <c r="K611">
        <v>0</v>
      </c>
    </row>
    <row r="612" spans="1:11" x14ac:dyDescent="0.25">
      <c r="A612">
        <v>21</v>
      </c>
      <c r="B612">
        <v>1</v>
      </c>
      <c r="C612">
        <v>2</v>
      </c>
      <c r="D612">
        <v>10</v>
      </c>
      <c r="E612">
        <v>2</v>
      </c>
      <c r="F612">
        <v>6.1264599110000004</v>
      </c>
      <c r="G612">
        <v>46</v>
      </c>
      <c r="H612">
        <v>18</v>
      </c>
      <c r="I612">
        <v>46</v>
      </c>
      <c r="J612">
        <v>2</v>
      </c>
      <c r="K612">
        <v>0</v>
      </c>
    </row>
    <row r="613" spans="1:11" x14ac:dyDescent="0.25">
      <c r="A613">
        <v>49</v>
      </c>
      <c r="B613">
        <v>1</v>
      </c>
      <c r="C613">
        <v>4</v>
      </c>
      <c r="D613">
        <v>6</v>
      </c>
      <c r="E613">
        <v>3</v>
      </c>
      <c r="F613">
        <v>1.5958991490000001</v>
      </c>
      <c r="G613">
        <v>12</v>
      </c>
      <c r="H613">
        <v>59</v>
      </c>
      <c r="I613">
        <v>82</v>
      </c>
      <c r="J613">
        <v>2</v>
      </c>
      <c r="K613">
        <v>1</v>
      </c>
    </row>
    <row r="614" spans="1:11" x14ac:dyDescent="0.25">
      <c r="A614">
        <v>41</v>
      </c>
      <c r="B614">
        <v>0</v>
      </c>
      <c r="C614">
        <v>2</v>
      </c>
      <c r="D614">
        <v>11</v>
      </c>
      <c r="E614">
        <v>4</v>
      </c>
      <c r="F614">
        <v>7.9846186299999999</v>
      </c>
      <c r="G614">
        <v>88</v>
      </c>
      <c r="H614">
        <v>32</v>
      </c>
      <c r="I614">
        <v>1</v>
      </c>
      <c r="J614">
        <v>3</v>
      </c>
      <c r="K614">
        <v>0</v>
      </c>
    </row>
    <row r="615" spans="1:11" x14ac:dyDescent="0.25">
      <c r="A615">
        <v>35</v>
      </c>
      <c r="B615">
        <v>1</v>
      </c>
      <c r="C615">
        <v>2</v>
      </c>
      <c r="D615">
        <v>8</v>
      </c>
      <c r="E615">
        <v>1</v>
      </c>
      <c r="F615">
        <v>36.786796320000001</v>
      </c>
      <c r="G615">
        <v>65</v>
      </c>
      <c r="H615">
        <v>3</v>
      </c>
      <c r="I615">
        <v>43</v>
      </c>
      <c r="J615">
        <v>3</v>
      </c>
      <c r="K615">
        <v>0</v>
      </c>
    </row>
    <row r="616" spans="1:11" x14ac:dyDescent="0.25">
      <c r="A616">
        <v>44</v>
      </c>
      <c r="B616">
        <v>0</v>
      </c>
      <c r="C616">
        <v>4</v>
      </c>
      <c r="D616">
        <v>14</v>
      </c>
      <c r="E616">
        <v>1</v>
      </c>
      <c r="F616">
        <v>49.63968508</v>
      </c>
      <c r="G616">
        <v>65</v>
      </c>
      <c r="H616">
        <v>2</v>
      </c>
      <c r="I616">
        <v>100</v>
      </c>
      <c r="J616">
        <v>3</v>
      </c>
      <c r="K616">
        <v>0</v>
      </c>
    </row>
    <row r="617" spans="1:11" x14ac:dyDescent="0.25">
      <c r="A617">
        <v>27</v>
      </c>
      <c r="B617">
        <v>1</v>
      </c>
      <c r="C617">
        <v>1</v>
      </c>
      <c r="D617">
        <v>11</v>
      </c>
      <c r="E617">
        <v>4</v>
      </c>
      <c r="F617">
        <v>50.153234980000001</v>
      </c>
      <c r="G617">
        <v>15</v>
      </c>
      <c r="H617">
        <v>90</v>
      </c>
      <c r="I617">
        <v>63</v>
      </c>
      <c r="J617">
        <v>2</v>
      </c>
      <c r="K617">
        <v>0</v>
      </c>
    </row>
    <row r="618" spans="1:11" x14ac:dyDescent="0.25">
      <c r="A618">
        <v>32</v>
      </c>
      <c r="B618">
        <v>1</v>
      </c>
      <c r="C618">
        <v>3</v>
      </c>
      <c r="D618">
        <v>5</v>
      </c>
      <c r="E618">
        <v>5</v>
      </c>
      <c r="F618">
        <v>25.698957459999999</v>
      </c>
      <c r="G618">
        <v>72</v>
      </c>
      <c r="H618">
        <v>51</v>
      </c>
      <c r="I618">
        <v>80</v>
      </c>
      <c r="J618">
        <v>2</v>
      </c>
      <c r="K618">
        <v>1</v>
      </c>
    </row>
    <row r="619" spans="1:11" x14ac:dyDescent="0.25">
      <c r="A619">
        <v>40</v>
      </c>
      <c r="B619">
        <v>0</v>
      </c>
      <c r="C619">
        <v>4</v>
      </c>
      <c r="D619">
        <v>12</v>
      </c>
      <c r="E619">
        <v>4</v>
      </c>
      <c r="F619">
        <v>44.467615049999999</v>
      </c>
      <c r="G619">
        <v>27</v>
      </c>
      <c r="H619">
        <v>98</v>
      </c>
      <c r="I619">
        <v>77</v>
      </c>
      <c r="J619">
        <v>2</v>
      </c>
      <c r="K619">
        <v>1</v>
      </c>
    </row>
    <row r="620" spans="1:11" x14ac:dyDescent="0.25">
      <c r="A620">
        <v>20</v>
      </c>
      <c r="B620">
        <v>1</v>
      </c>
      <c r="C620">
        <v>4</v>
      </c>
      <c r="D620">
        <v>9</v>
      </c>
      <c r="E620">
        <v>2</v>
      </c>
      <c r="F620">
        <v>37.84132279</v>
      </c>
      <c r="G620">
        <v>76</v>
      </c>
      <c r="H620">
        <v>27</v>
      </c>
      <c r="I620">
        <v>27</v>
      </c>
      <c r="J620">
        <v>1</v>
      </c>
      <c r="K620">
        <v>1</v>
      </c>
    </row>
    <row r="621" spans="1:11" x14ac:dyDescent="0.25">
      <c r="A621">
        <v>35</v>
      </c>
      <c r="B621">
        <v>0</v>
      </c>
      <c r="C621">
        <v>2</v>
      </c>
      <c r="D621">
        <v>0</v>
      </c>
      <c r="E621">
        <v>4</v>
      </c>
      <c r="F621">
        <v>26.05201185</v>
      </c>
      <c r="G621">
        <v>34</v>
      </c>
      <c r="H621">
        <v>69</v>
      </c>
      <c r="I621">
        <v>90</v>
      </c>
      <c r="J621">
        <v>3</v>
      </c>
      <c r="K621">
        <v>0</v>
      </c>
    </row>
    <row r="622" spans="1:11" x14ac:dyDescent="0.25">
      <c r="A622">
        <v>48</v>
      </c>
      <c r="B622">
        <v>1</v>
      </c>
      <c r="C622">
        <v>2</v>
      </c>
      <c r="D622">
        <v>15</v>
      </c>
      <c r="E622">
        <v>1</v>
      </c>
      <c r="F622">
        <v>29.63802665</v>
      </c>
      <c r="G622">
        <v>40</v>
      </c>
      <c r="H622">
        <v>69</v>
      </c>
      <c r="I622">
        <v>53</v>
      </c>
      <c r="J622">
        <v>2</v>
      </c>
      <c r="K622">
        <v>0</v>
      </c>
    </row>
    <row r="623" spans="1:11" x14ac:dyDescent="0.25">
      <c r="A623">
        <v>26</v>
      </c>
      <c r="B623">
        <v>0</v>
      </c>
      <c r="C623">
        <v>2</v>
      </c>
      <c r="D623">
        <v>6</v>
      </c>
      <c r="E623">
        <v>4</v>
      </c>
      <c r="F623">
        <v>7.8613573309999998</v>
      </c>
      <c r="G623">
        <v>76</v>
      </c>
      <c r="H623">
        <v>54</v>
      </c>
      <c r="I623">
        <v>73</v>
      </c>
      <c r="J623">
        <v>1</v>
      </c>
      <c r="K623">
        <v>1</v>
      </c>
    </row>
    <row r="624" spans="1:11" x14ac:dyDescent="0.25">
      <c r="A624">
        <v>50</v>
      </c>
      <c r="B624">
        <v>0</v>
      </c>
      <c r="C624">
        <v>3</v>
      </c>
      <c r="D624">
        <v>14</v>
      </c>
      <c r="E624">
        <v>3</v>
      </c>
      <c r="F624">
        <v>47.883073029999998</v>
      </c>
      <c r="G624">
        <v>30</v>
      </c>
      <c r="H624">
        <v>56</v>
      </c>
      <c r="I624">
        <v>66</v>
      </c>
      <c r="J624">
        <v>1</v>
      </c>
      <c r="K624">
        <v>1</v>
      </c>
    </row>
    <row r="625" spans="1:11" x14ac:dyDescent="0.25">
      <c r="A625">
        <v>24</v>
      </c>
      <c r="B625">
        <v>1</v>
      </c>
      <c r="C625">
        <v>3</v>
      </c>
      <c r="D625">
        <v>2</v>
      </c>
      <c r="E625">
        <v>2</v>
      </c>
      <c r="F625">
        <v>18.596488539999999</v>
      </c>
      <c r="G625">
        <v>84</v>
      </c>
      <c r="H625">
        <v>86</v>
      </c>
      <c r="I625">
        <v>35</v>
      </c>
      <c r="J625">
        <v>3</v>
      </c>
      <c r="K625">
        <v>0</v>
      </c>
    </row>
    <row r="626" spans="1:11" x14ac:dyDescent="0.25">
      <c r="A626">
        <v>41</v>
      </c>
      <c r="B626">
        <v>1</v>
      </c>
      <c r="C626">
        <v>2</v>
      </c>
      <c r="D626">
        <v>4</v>
      </c>
      <c r="E626">
        <v>4</v>
      </c>
      <c r="F626">
        <v>23.307462820000001</v>
      </c>
      <c r="G626">
        <v>31</v>
      </c>
      <c r="H626">
        <v>96</v>
      </c>
      <c r="I626">
        <v>62</v>
      </c>
      <c r="J626">
        <v>1</v>
      </c>
      <c r="K626">
        <v>1</v>
      </c>
    </row>
    <row r="627" spans="1:11" x14ac:dyDescent="0.25">
      <c r="A627">
        <v>48</v>
      </c>
      <c r="B627">
        <v>0</v>
      </c>
      <c r="C627">
        <v>2</v>
      </c>
      <c r="D627">
        <v>15</v>
      </c>
      <c r="E627">
        <v>1</v>
      </c>
      <c r="F627">
        <v>34.583011550000002</v>
      </c>
      <c r="G627">
        <v>53</v>
      </c>
      <c r="H627">
        <v>15</v>
      </c>
      <c r="I627">
        <v>24</v>
      </c>
      <c r="J627">
        <v>1</v>
      </c>
      <c r="K627">
        <v>0</v>
      </c>
    </row>
    <row r="628" spans="1:11" x14ac:dyDescent="0.25">
      <c r="A628">
        <v>42</v>
      </c>
      <c r="B628">
        <v>1</v>
      </c>
      <c r="C628">
        <v>1</v>
      </c>
      <c r="D628">
        <v>9</v>
      </c>
      <c r="E628">
        <v>2</v>
      </c>
      <c r="F628">
        <v>17.695123580000001</v>
      </c>
      <c r="G628">
        <v>97</v>
      </c>
      <c r="H628">
        <v>23</v>
      </c>
      <c r="I628">
        <v>85</v>
      </c>
      <c r="J628">
        <v>2</v>
      </c>
      <c r="K628">
        <v>0</v>
      </c>
    </row>
    <row r="629" spans="1:11" x14ac:dyDescent="0.25">
      <c r="A629">
        <v>22</v>
      </c>
      <c r="B629">
        <v>1</v>
      </c>
      <c r="C629">
        <v>1</v>
      </c>
      <c r="D629">
        <v>3</v>
      </c>
      <c r="E629">
        <v>1</v>
      </c>
      <c r="F629">
        <v>13.712958049999999</v>
      </c>
      <c r="G629">
        <v>71</v>
      </c>
      <c r="H629">
        <v>68</v>
      </c>
      <c r="I629">
        <v>47</v>
      </c>
      <c r="J629">
        <v>1</v>
      </c>
      <c r="K629">
        <v>1</v>
      </c>
    </row>
    <row r="630" spans="1:11" x14ac:dyDescent="0.25">
      <c r="A630">
        <v>31</v>
      </c>
      <c r="B630">
        <v>0</v>
      </c>
      <c r="C630">
        <v>3</v>
      </c>
      <c r="D630">
        <v>9</v>
      </c>
      <c r="E630">
        <v>5</v>
      </c>
      <c r="F630">
        <v>32.55246966</v>
      </c>
      <c r="G630">
        <v>58</v>
      </c>
      <c r="H630">
        <v>40</v>
      </c>
      <c r="I630">
        <v>38</v>
      </c>
      <c r="J630">
        <v>3</v>
      </c>
      <c r="K630">
        <v>0</v>
      </c>
    </row>
    <row r="631" spans="1:11" x14ac:dyDescent="0.25">
      <c r="A631">
        <v>45</v>
      </c>
      <c r="B631">
        <v>0</v>
      </c>
      <c r="C631">
        <v>2</v>
      </c>
      <c r="D631">
        <v>4</v>
      </c>
      <c r="E631">
        <v>3</v>
      </c>
      <c r="F631">
        <v>2.2492041139999999</v>
      </c>
      <c r="G631">
        <v>40</v>
      </c>
      <c r="H631">
        <v>76</v>
      </c>
      <c r="I631">
        <v>46</v>
      </c>
      <c r="J631">
        <v>2</v>
      </c>
      <c r="K631">
        <v>0</v>
      </c>
    </row>
    <row r="632" spans="1:11" x14ac:dyDescent="0.25">
      <c r="A632">
        <v>35</v>
      </c>
      <c r="B632">
        <v>1</v>
      </c>
      <c r="C632">
        <v>4</v>
      </c>
      <c r="D632">
        <v>4</v>
      </c>
      <c r="E632">
        <v>5</v>
      </c>
      <c r="F632">
        <v>37.036255599999997</v>
      </c>
      <c r="G632">
        <v>65</v>
      </c>
      <c r="H632">
        <v>46</v>
      </c>
      <c r="I632">
        <v>93</v>
      </c>
      <c r="J632">
        <v>2</v>
      </c>
      <c r="K632">
        <v>0</v>
      </c>
    </row>
    <row r="633" spans="1:11" x14ac:dyDescent="0.25">
      <c r="A633">
        <v>38</v>
      </c>
      <c r="B633">
        <v>0</v>
      </c>
      <c r="C633">
        <v>3</v>
      </c>
      <c r="D633">
        <v>5</v>
      </c>
      <c r="E633">
        <v>3</v>
      </c>
      <c r="F633">
        <v>26.701168490000001</v>
      </c>
      <c r="G633">
        <v>95</v>
      </c>
      <c r="H633">
        <v>75</v>
      </c>
      <c r="I633">
        <v>20</v>
      </c>
      <c r="J633">
        <v>3</v>
      </c>
      <c r="K633">
        <v>0</v>
      </c>
    </row>
    <row r="634" spans="1:11" x14ac:dyDescent="0.25">
      <c r="A634">
        <v>24</v>
      </c>
      <c r="B634">
        <v>0</v>
      </c>
      <c r="C634">
        <v>1</v>
      </c>
      <c r="D634">
        <v>13</v>
      </c>
      <c r="E634">
        <v>4</v>
      </c>
      <c r="F634">
        <v>31.287686529999998</v>
      </c>
      <c r="G634">
        <v>53</v>
      </c>
      <c r="H634">
        <v>68</v>
      </c>
      <c r="I634">
        <v>29</v>
      </c>
      <c r="J634">
        <v>2</v>
      </c>
      <c r="K634">
        <v>0</v>
      </c>
    </row>
    <row r="635" spans="1:11" x14ac:dyDescent="0.25">
      <c r="A635">
        <v>41</v>
      </c>
      <c r="B635">
        <v>0</v>
      </c>
      <c r="C635">
        <v>2</v>
      </c>
      <c r="D635">
        <v>9</v>
      </c>
      <c r="E635">
        <v>2</v>
      </c>
      <c r="F635">
        <v>32.594007959999999</v>
      </c>
      <c r="G635">
        <v>39</v>
      </c>
      <c r="H635">
        <v>100</v>
      </c>
      <c r="I635">
        <v>91</v>
      </c>
      <c r="J635">
        <v>2</v>
      </c>
      <c r="K635">
        <v>0</v>
      </c>
    </row>
    <row r="636" spans="1:11" x14ac:dyDescent="0.25">
      <c r="A636">
        <v>44</v>
      </c>
      <c r="B636">
        <v>1</v>
      </c>
      <c r="C636">
        <v>2</v>
      </c>
      <c r="D636">
        <v>11</v>
      </c>
      <c r="E636">
        <v>4</v>
      </c>
      <c r="F636">
        <v>27.35250782</v>
      </c>
      <c r="G636">
        <v>27</v>
      </c>
      <c r="H636">
        <v>30</v>
      </c>
      <c r="I636">
        <v>30</v>
      </c>
      <c r="J636">
        <v>2</v>
      </c>
      <c r="K636">
        <v>0</v>
      </c>
    </row>
    <row r="637" spans="1:11" x14ac:dyDescent="0.25">
      <c r="A637">
        <v>48</v>
      </c>
      <c r="B637">
        <v>1</v>
      </c>
      <c r="C637">
        <v>2</v>
      </c>
      <c r="D637">
        <v>9</v>
      </c>
      <c r="E637">
        <v>3</v>
      </c>
      <c r="F637">
        <v>30.126688869999999</v>
      </c>
      <c r="G637">
        <v>36</v>
      </c>
      <c r="H637">
        <v>91</v>
      </c>
      <c r="I637">
        <v>25</v>
      </c>
      <c r="J637">
        <v>2</v>
      </c>
      <c r="K637">
        <v>0</v>
      </c>
    </row>
    <row r="638" spans="1:11" x14ac:dyDescent="0.25">
      <c r="A638">
        <v>33</v>
      </c>
      <c r="B638">
        <v>0</v>
      </c>
      <c r="C638">
        <v>3</v>
      </c>
      <c r="D638">
        <v>12</v>
      </c>
      <c r="E638">
        <v>3</v>
      </c>
      <c r="F638">
        <v>35.189410039999999</v>
      </c>
      <c r="G638">
        <v>64</v>
      </c>
      <c r="H638">
        <v>91</v>
      </c>
      <c r="I638">
        <v>21</v>
      </c>
      <c r="J638">
        <v>2</v>
      </c>
      <c r="K638">
        <v>0</v>
      </c>
    </row>
    <row r="639" spans="1:11" x14ac:dyDescent="0.25">
      <c r="A639">
        <v>47</v>
      </c>
      <c r="B639">
        <v>1</v>
      </c>
      <c r="C639">
        <v>3</v>
      </c>
      <c r="D639">
        <v>12</v>
      </c>
      <c r="E639">
        <v>3</v>
      </c>
      <c r="F639">
        <v>38.655942359999997</v>
      </c>
      <c r="G639">
        <v>73</v>
      </c>
      <c r="H639">
        <v>29</v>
      </c>
      <c r="I639">
        <v>20</v>
      </c>
      <c r="J639">
        <v>2</v>
      </c>
      <c r="K639">
        <v>0</v>
      </c>
    </row>
    <row r="640" spans="1:11" x14ac:dyDescent="0.25">
      <c r="A640">
        <v>24</v>
      </c>
      <c r="B640">
        <v>0</v>
      </c>
      <c r="C640">
        <v>3</v>
      </c>
      <c r="D640">
        <v>10</v>
      </c>
      <c r="E640">
        <v>1</v>
      </c>
      <c r="F640">
        <v>37.372619559999997</v>
      </c>
      <c r="G640">
        <v>54</v>
      </c>
      <c r="H640">
        <v>17</v>
      </c>
      <c r="I640">
        <v>0</v>
      </c>
      <c r="J640">
        <v>3</v>
      </c>
      <c r="K640">
        <v>0</v>
      </c>
    </row>
    <row r="641" spans="1:11" x14ac:dyDescent="0.25">
      <c r="A641">
        <v>34</v>
      </c>
      <c r="B641">
        <v>1</v>
      </c>
      <c r="C641">
        <v>2</v>
      </c>
      <c r="D641">
        <v>5</v>
      </c>
      <c r="E641">
        <v>2</v>
      </c>
      <c r="F641">
        <v>44.480822889999999</v>
      </c>
      <c r="G641">
        <v>3</v>
      </c>
      <c r="H641">
        <v>43</v>
      </c>
      <c r="I641">
        <v>36</v>
      </c>
      <c r="J641">
        <v>2</v>
      </c>
      <c r="K641">
        <v>0</v>
      </c>
    </row>
    <row r="642" spans="1:11" x14ac:dyDescent="0.25">
      <c r="A642">
        <v>36</v>
      </c>
      <c r="B642">
        <v>0</v>
      </c>
      <c r="C642">
        <v>1</v>
      </c>
      <c r="D642">
        <v>15</v>
      </c>
      <c r="E642">
        <v>4</v>
      </c>
      <c r="F642">
        <v>10.472171660000001</v>
      </c>
      <c r="G642">
        <v>98</v>
      </c>
      <c r="H642">
        <v>26</v>
      </c>
      <c r="I642">
        <v>76</v>
      </c>
      <c r="J642">
        <v>3</v>
      </c>
      <c r="K642">
        <v>0</v>
      </c>
    </row>
    <row r="643" spans="1:11" x14ac:dyDescent="0.25">
      <c r="A643">
        <v>49</v>
      </c>
      <c r="B643">
        <v>0</v>
      </c>
      <c r="C643">
        <v>3</v>
      </c>
      <c r="D643">
        <v>7</v>
      </c>
      <c r="E643">
        <v>4</v>
      </c>
      <c r="F643">
        <v>21.057398469999999</v>
      </c>
      <c r="G643">
        <v>9</v>
      </c>
      <c r="H643">
        <v>98</v>
      </c>
      <c r="I643">
        <v>84</v>
      </c>
      <c r="J643">
        <v>2</v>
      </c>
      <c r="K643">
        <v>1</v>
      </c>
    </row>
    <row r="644" spans="1:11" x14ac:dyDescent="0.25">
      <c r="A644">
        <v>33</v>
      </c>
      <c r="B644">
        <v>1</v>
      </c>
      <c r="C644">
        <v>1</v>
      </c>
      <c r="D644">
        <v>7</v>
      </c>
      <c r="E644">
        <v>5</v>
      </c>
      <c r="F644">
        <v>48.389803299999997</v>
      </c>
      <c r="G644">
        <v>46</v>
      </c>
      <c r="H644">
        <v>25</v>
      </c>
      <c r="I644">
        <v>45</v>
      </c>
      <c r="J644">
        <v>2</v>
      </c>
      <c r="K644">
        <v>0</v>
      </c>
    </row>
    <row r="645" spans="1:11" x14ac:dyDescent="0.25">
      <c r="A645">
        <v>49</v>
      </c>
      <c r="B645">
        <v>0</v>
      </c>
      <c r="C645">
        <v>2</v>
      </c>
      <c r="D645">
        <v>10</v>
      </c>
      <c r="E645">
        <v>3</v>
      </c>
      <c r="F645">
        <v>20.829528719999999</v>
      </c>
      <c r="G645">
        <v>74</v>
      </c>
      <c r="H645">
        <v>59</v>
      </c>
      <c r="I645">
        <v>8</v>
      </c>
      <c r="J645">
        <v>3</v>
      </c>
      <c r="K645">
        <v>0</v>
      </c>
    </row>
    <row r="646" spans="1:11" x14ac:dyDescent="0.25">
      <c r="A646">
        <v>39</v>
      </c>
      <c r="B646">
        <v>1</v>
      </c>
      <c r="C646">
        <v>1</v>
      </c>
      <c r="D646">
        <v>8</v>
      </c>
      <c r="E646">
        <v>3</v>
      </c>
      <c r="F646">
        <v>7.2435038450000002</v>
      </c>
      <c r="G646">
        <v>13</v>
      </c>
      <c r="H646">
        <v>17</v>
      </c>
      <c r="I646">
        <v>16</v>
      </c>
      <c r="J646">
        <v>1</v>
      </c>
      <c r="K646">
        <v>0</v>
      </c>
    </row>
    <row r="647" spans="1:11" x14ac:dyDescent="0.25">
      <c r="A647">
        <v>24</v>
      </c>
      <c r="B647">
        <v>1</v>
      </c>
      <c r="C647">
        <v>2</v>
      </c>
      <c r="D647">
        <v>7</v>
      </c>
      <c r="E647">
        <v>3</v>
      </c>
      <c r="F647">
        <v>27.27225632</v>
      </c>
      <c r="G647">
        <v>37</v>
      </c>
      <c r="H647">
        <v>96</v>
      </c>
      <c r="I647">
        <v>46</v>
      </c>
      <c r="J647">
        <v>2</v>
      </c>
      <c r="K647">
        <v>0</v>
      </c>
    </row>
    <row r="648" spans="1:11" x14ac:dyDescent="0.25">
      <c r="A648">
        <v>31</v>
      </c>
      <c r="B648">
        <v>0</v>
      </c>
      <c r="C648">
        <v>1</v>
      </c>
      <c r="D648">
        <v>12</v>
      </c>
      <c r="E648">
        <v>4</v>
      </c>
      <c r="F648">
        <v>6.474548628</v>
      </c>
      <c r="G648">
        <v>11</v>
      </c>
      <c r="H648">
        <v>88</v>
      </c>
      <c r="I648">
        <v>84</v>
      </c>
      <c r="J648">
        <v>2</v>
      </c>
      <c r="K648">
        <v>0</v>
      </c>
    </row>
    <row r="649" spans="1:11" x14ac:dyDescent="0.25">
      <c r="A649">
        <v>35</v>
      </c>
      <c r="B649">
        <v>0</v>
      </c>
      <c r="C649">
        <v>2</v>
      </c>
      <c r="D649">
        <v>10</v>
      </c>
      <c r="E649">
        <v>5</v>
      </c>
      <c r="F649">
        <v>11.14266194</v>
      </c>
      <c r="G649">
        <v>44</v>
      </c>
      <c r="H649">
        <v>55</v>
      </c>
      <c r="I649">
        <v>94</v>
      </c>
      <c r="J649">
        <v>2</v>
      </c>
      <c r="K649">
        <v>0</v>
      </c>
    </row>
    <row r="650" spans="1:11" x14ac:dyDescent="0.25">
      <c r="A650">
        <v>45</v>
      </c>
      <c r="B650">
        <v>1</v>
      </c>
      <c r="C650">
        <v>4</v>
      </c>
      <c r="D650">
        <v>1</v>
      </c>
      <c r="E650">
        <v>1</v>
      </c>
      <c r="F650">
        <v>50.915937829999997</v>
      </c>
      <c r="G650">
        <v>16</v>
      </c>
      <c r="H650">
        <v>30</v>
      </c>
      <c r="I650">
        <v>58</v>
      </c>
      <c r="J650">
        <v>1</v>
      </c>
      <c r="K650">
        <v>0</v>
      </c>
    </row>
    <row r="651" spans="1:11" x14ac:dyDescent="0.25">
      <c r="A651">
        <v>45</v>
      </c>
      <c r="B651">
        <v>0</v>
      </c>
      <c r="C651">
        <v>1</v>
      </c>
      <c r="D651">
        <v>13</v>
      </c>
      <c r="E651">
        <v>2</v>
      </c>
      <c r="F651">
        <v>28.068131919999999</v>
      </c>
      <c r="G651">
        <v>79</v>
      </c>
      <c r="H651">
        <v>100</v>
      </c>
      <c r="I651">
        <v>53</v>
      </c>
      <c r="J651">
        <v>2</v>
      </c>
      <c r="K651">
        <v>0</v>
      </c>
    </row>
    <row r="652" spans="1:11" x14ac:dyDescent="0.25">
      <c r="A652">
        <v>35</v>
      </c>
      <c r="B652">
        <v>0</v>
      </c>
      <c r="C652">
        <v>1</v>
      </c>
      <c r="D652">
        <v>13</v>
      </c>
      <c r="E652">
        <v>1</v>
      </c>
      <c r="F652">
        <v>15.20291945</v>
      </c>
      <c r="G652">
        <v>34</v>
      </c>
      <c r="H652">
        <v>58</v>
      </c>
      <c r="I652">
        <v>85</v>
      </c>
      <c r="J652">
        <v>2</v>
      </c>
      <c r="K652">
        <v>0</v>
      </c>
    </row>
    <row r="653" spans="1:11" x14ac:dyDescent="0.25">
      <c r="A653">
        <v>40</v>
      </c>
      <c r="B653">
        <v>0</v>
      </c>
      <c r="C653">
        <v>2</v>
      </c>
      <c r="D653">
        <v>11</v>
      </c>
      <c r="E653">
        <v>4</v>
      </c>
      <c r="F653">
        <v>50.73874773</v>
      </c>
      <c r="G653">
        <v>65</v>
      </c>
      <c r="H653">
        <v>1</v>
      </c>
      <c r="I653">
        <v>11</v>
      </c>
      <c r="J653">
        <v>2</v>
      </c>
      <c r="K653">
        <v>0</v>
      </c>
    </row>
    <row r="654" spans="1:11" x14ac:dyDescent="0.25">
      <c r="A654">
        <v>26</v>
      </c>
      <c r="B654">
        <v>0</v>
      </c>
      <c r="C654">
        <v>3</v>
      </c>
      <c r="D654">
        <v>9</v>
      </c>
      <c r="E654">
        <v>3</v>
      </c>
      <c r="F654">
        <v>49.327945929999998</v>
      </c>
      <c r="G654">
        <v>74</v>
      </c>
      <c r="H654">
        <v>96</v>
      </c>
      <c r="I654">
        <v>63</v>
      </c>
      <c r="J654">
        <v>3</v>
      </c>
      <c r="K654">
        <v>1</v>
      </c>
    </row>
    <row r="655" spans="1:11" x14ac:dyDescent="0.25">
      <c r="A655">
        <v>23</v>
      </c>
      <c r="B655">
        <v>0</v>
      </c>
      <c r="C655">
        <v>2</v>
      </c>
      <c r="D655">
        <v>11</v>
      </c>
      <c r="E655">
        <v>2</v>
      </c>
      <c r="F655">
        <v>23.03695205</v>
      </c>
      <c r="G655">
        <v>40</v>
      </c>
      <c r="H655">
        <v>38</v>
      </c>
      <c r="I655">
        <v>5</v>
      </c>
      <c r="J655">
        <v>3</v>
      </c>
      <c r="K655">
        <v>0</v>
      </c>
    </row>
    <row r="656" spans="1:11" x14ac:dyDescent="0.25">
      <c r="A656">
        <v>20</v>
      </c>
      <c r="B656">
        <v>1</v>
      </c>
      <c r="C656">
        <v>2</v>
      </c>
      <c r="D656">
        <v>10</v>
      </c>
      <c r="E656">
        <v>4</v>
      </c>
      <c r="F656">
        <v>14.02015544</v>
      </c>
      <c r="G656">
        <v>66</v>
      </c>
      <c r="H656">
        <v>60</v>
      </c>
      <c r="I656">
        <v>52</v>
      </c>
      <c r="J656">
        <v>2</v>
      </c>
      <c r="K656">
        <v>0</v>
      </c>
    </row>
    <row r="657" spans="1:11" x14ac:dyDescent="0.25">
      <c r="A657">
        <v>49</v>
      </c>
      <c r="B657">
        <v>1</v>
      </c>
      <c r="C657">
        <v>1</v>
      </c>
      <c r="D657">
        <v>14</v>
      </c>
      <c r="E657">
        <v>4</v>
      </c>
      <c r="F657">
        <v>42.919981900000003</v>
      </c>
      <c r="G657">
        <v>28</v>
      </c>
      <c r="H657">
        <v>62</v>
      </c>
      <c r="I657">
        <v>15</v>
      </c>
      <c r="J657">
        <v>3</v>
      </c>
      <c r="K657">
        <v>0</v>
      </c>
    </row>
    <row r="658" spans="1:11" x14ac:dyDescent="0.25">
      <c r="A658">
        <v>49</v>
      </c>
      <c r="B658">
        <v>0</v>
      </c>
      <c r="C658">
        <v>3</v>
      </c>
      <c r="D658">
        <v>15</v>
      </c>
      <c r="E658">
        <v>4</v>
      </c>
      <c r="F658">
        <v>36.781035850000002</v>
      </c>
      <c r="G658">
        <v>17</v>
      </c>
      <c r="H658">
        <v>95</v>
      </c>
      <c r="I658">
        <v>89</v>
      </c>
      <c r="J658">
        <v>2</v>
      </c>
      <c r="K658">
        <v>1</v>
      </c>
    </row>
    <row r="659" spans="1:11" x14ac:dyDescent="0.25">
      <c r="A659">
        <v>24</v>
      </c>
      <c r="B659">
        <v>0</v>
      </c>
      <c r="C659">
        <v>2</v>
      </c>
      <c r="D659">
        <v>0</v>
      </c>
      <c r="E659">
        <v>2</v>
      </c>
      <c r="F659">
        <v>35.347071749999998</v>
      </c>
      <c r="G659">
        <v>19</v>
      </c>
      <c r="H659">
        <v>17</v>
      </c>
      <c r="I659">
        <v>4</v>
      </c>
      <c r="J659">
        <v>2</v>
      </c>
      <c r="K659">
        <v>0</v>
      </c>
    </row>
    <row r="660" spans="1:11" x14ac:dyDescent="0.25">
      <c r="A660">
        <v>42</v>
      </c>
      <c r="B660">
        <v>0</v>
      </c>
      <c r="C660">
        <v>3</v>
      </c>
      <c r="D660">
        <v>9</v>
      </c>
      <c r="E660">
        <v>2</v>
      </c>
      <c r="F660">
        <v>45.655687069999999</v>
      </c>
      <c r="G660">
        <v>13</v>
      </c>
      <c r="H660">
        <v>16</v>
      </c>
      <c r="I660">
        <v>72</v>
      </c>
      <c r="J660">
        <v>2</v>
      </c>
      <c r="K660">
        <v>0</v>
      </c>
    </row>
    <row r="661" spans="1:11" x14ac:dyDescent="0.25">
      <c r="A661">
        <v>45</v>
      </c>
      <c r="B661">
        <v>1</v>
      </c>
      <c r="C661">
        <v>4</v>
      </c>
      <c r="D661">
        <v>1</v>
      </c>
      <c r="E661">
        <v>5</v>
      </c>
      <c r="F661">
        <v>35.470856689999998</v>
      </c>
      <c r="G661">
        <v>33</v>
      </c>
      <c r="H661">
        <v>97</v>
      </c>
      <c r="I661">
        <v>45</v>
      </c>
      <c r="J661">
        <v>2</v>
      </c>
      <c r="K661">
        <v>0</v>
      </c>
    </row>
    <row r="662" spans="1:11" x14ac:dyDescent="0.25">
      <c r="A662">
        <v>29</v>
      </c>
      <c r="B662">
        <v>0</v>
      </c>
      <c r="C662">
        <v>2</v>
      </c>
      <c r="D662">
        <v>1</v>
      </c>
      <c r="E662">
        <v>5</v>
      </c>
      <c r="F662">
        <v>15.18989715</v>
      </c>
      <c r="G662">
        <v>48</v>
      </c>
      <c r="H662">
        <v>38</v>
      </c>
      <c r="I662">
        <v>13</v>
      </c>
      <c r="J662">
        <v>1</v>
      </c>
      <c r="K662">
        <v>0</v>
      </c>
    </row>
    <row r="663" spans="1:11" x14ac:dyDescent="0.25">
      <c r="A663">
        <v>41</v>
      </c>
      <c r="B663">
        <v>1</v>
      </c>
      <c r="C663">
        <v>3</v>
      </c>
      <c r="D663">
        <v>11</v>
      </c>
      <c r="E663">
        <v>1</v>
      </c>
      <c r="F663">
        <v>35.693158089999997</v>
      </c>
      <c r="G663">
        <v>53</v>
      </c>
      <c r="H663">
        <v>70</v>
      </c>
      <c r="I663">
        <v>43</v>
      </c>
      <c r="J663">
        <v>2</v>
      </c>
      <c r="K663">
        <v>0</v>
      </c>
    </row>
    <row r="664" spans="1:11" x14ac:dyDescent="0.25">
      <c r="A664">
        <v>24</v>
      </c>
      <c r="B664">
        <v>1</v>
      </c>
      <c r="C664">
        <v>1</v>
      </c>
      <c r="D664">
        <v>2</v>
      </c>
      <c r="E664">
        <v>2</v>
      </c>
      <c r="F664">
        <v>16.29067556</v>
      </c>
      <c r="G664">
        <v>30</v>
      </c>
      <c r="H664">
        <v>53</v>
      </c>
      <c r="I664">
        <v>62</v>
      </c>
      <c r="J664">
        <v>2</v>
      </c>
      <c r="K664">
        <v>0</v>
      </c>
    </row>
    <row r="665" spans="1:11" x14ac:dyDescent="0.25">
      <c r="A665">
        <v>23</v>
      </c>
      <c r="B665">
        <v>1</v>
      </c>
      <c r="C665">
        <v>3</v>
      </c>
      <c r="D665">
        <v>9</v>
      </c>
      <c r="E665">
        <v>2</v>
      </c>
      <c r="F665">
        <v>38.961948980000003</v>
      </c>
      <c r="G665">
        <v>57</v>
      </c>
      <c r="H665">
        <v>98</v>
      </c>
      <c r="I665">
        <v>93</v>
      </c>
      <c r="J665">
        <v>2</v>
      </c>
      <c r="K665">
        <v>1</v>
      </c>
    </row>
    <row r="666" spans="1:11" x14ac:dyDescent="0.25">
      <c r="A666">
        <v>21</v>
      </c>
      <c r="B666">
        <v>0</v>
      </c>
      <c r="C666">
        <v>2</v>
      </c>
      <c r="D666">
        <v>6</v>
      </c>
      <c r="E666">
        <v>2</v>
      </c>
      <c r="F666">
        <v>31.987392719999999</v>
      </c>
      <c r="G666">
        <v>41</v>
      </c>
      <c r="H666">
        <v>93</v>
      </c>
      <c r="I666">
        <v>51</v>
      </c>
      <c r="J666">
        <v>3</v>
      </c>
      <c r="K666">
        <v>0</v>
      </c>
    </row>
    <row r="667" spans="1:11" x14ac:dyDescent="0.25">
      <c r="A667">
        <v>39</v>
      </c>
      <c r="B667">
        <v>1</v>
      </c>
      <c r="C667">
        <v>3</v>
      </c>
      <c r="D667">
        <v>1</v>
      </c>
      <c r="E667">
        <v>5</v>
      </c>
      <c r="F667">
        <v>4.8705775989999998</v>
      </c>
      <c r="G667">
        <v>57</v>
      </c>
      <c r="H667">
        <v>75</v>
      </c>
      <c r="I667">
        <v>25</v>
      </c>
      <c r="J667">
        <v>2</v>
      </c>
      <c r="K667">
        <v>0</v>
      </c>
    </row>
    <row r="668" spans="1:11" x14ac:dyDescent="0.25">
      <c r="A668">
        <v>50</v>
      </c>
      <c r="B668">
        <v>0</v>
      </c>
      <c r="C668">
        <v>1</v>
      </c>
      <c r="D668">
        <v>13</v>
      </c>
      <c r="E668">
        <v>4</v>
      </c>
      <c r="F668">
        <v>26.641768119999998</v>
      </c>
      <c r="G668">
        <v>81</v>
      </c>
      <c r="H668">
        <v>34</v>
      </c>
      <c r="I668">
        <v>52</v>
      </c>
      <c r="J668">
        <v>1</v>
      </c>
      <c r="K668">
        <v>1</v>
      </c>
    </row>
    <row r="669" spans="1:11" x14ac:dyDescent="0.25">
      <c r="A669">
        <v>29</v>
      </c>
      <c r="B669">
        <v>1</v>
      </c>
      <c r="C669">
        <v>1</v>
      </c>
      <c r="D669">
        <v>15</v>
      </c>
      <c r="E669">
        <v>3</v>
      </c>
      <c r="F669">
        <v>18.165048460000001</v>
      </c>
      <c r="G669">
        <v>29</v>
      </c>
      <c r="H669">
        <v>10</v>
      </c>
      <c r="I669">
        <v>28</v>
      </c>
      <c r="J669">
        <v>2</v>
      </c>
      <c r="K669">
        <v>0</v>
      </c>
    </row>
    <row r="670" spans="1:11" x14ac:dyDescent="0.25">
      <c r="A670">
        <v>45</v>
      </c>
      <c r="B670">
        <v>0</v>
      </c>
      <c r="C670">
        <v>2</v>
      </c>
      <c r="D670">
        <v>0</v>
      </c>
      <c r="E670">
        <v>5</v>
      </c>
      <c r="F670">
        <v>17.428531639999999</v>
      </c>
      <c r="G670">
        <v>24</v>
      </c>
      <c r="H670">
        <v>60</v>
      </c>
      <c r="I670">
        <v>18</v>
      </c>
      <c r="J670">
        <v>2</v>
      </c>
      <c r="K670">
        <v>0</v>
      </c>
    </row>
    <row r="671" spans="1:11" x14ac:dyDescent="0.25">
      <c r="A671">
        <v>38</v>
      </c>
      <c r="B671">
        <v>1</v>
      </c>
      <c r="C671">
        <v>2</v>
      </c>
      <c r="D671">
        <v>15</v>
      </c>
      <c r="E671">
        <v>2</v>
      </c>
      <c r="F671">
        <v>31.11281512</v>
      </c>
      <c r="G671">
        <v>62</v>
      </c>
      <c r="H671">
        <v>43</v>
      </c>
      <c r="I671">
        <v>46</v>
      </c>
      <c r="J671">
        <v>2</v>
      </c>
      <c r="K671">
        <v>0</v>
      </c>
    </row>
    <row r="672" spans="1:11" x14ac:dyDescent="0.25">
      <c r="A672">
        <v>45</v>
      </c>
      <c r="B672">
        <v>0</v>
      </c>
      <c r="C672">
        <v>2</v>
      </c>
      <c r="D672">
        <v>13</v>
      </c>
      <c r="E672">
        <v>5</v>
      </c>
      <c r="F672">
        <v>17.116241219999999</v>
      </c>
      <c r="G672">
        <v>18</v>
      </c>
      <c r="H672">
        <v>67</v>
      </c>
      <c r="I672">
        <v>7</v>
      </c>
      <c r="J672">
        <v>1</v>
      </c>
      <c r="K672">
        <v>1</v>
      </c>
    </row>
    <row r="673" spans="1:11" x14ac:dyDescent="0.25">
      <c r="A673">
        <v>20</v>
      </c>
      <c r="B673">
        <v>1</v>
      </c>
      <c r="C673">
        <v>2</v>
      </c>
      <c r="D673">
        <v>5</v>
      </c>
      <c r="E673">
        <v>1</v>
      </c>
      <c r="F673">
        <v>39.844687409999999</v>
      </c>
      <c r="G673">
        <v>71</v>
      </c>
      <c r="H673">
        <v>24</v>
      </c>
      <c r="I673">
        <v>22</v>
      </c>
      <c r="J673">
        <v>2</v>
      </c>
      <c r="K673">
        <v>0</v>
      </c>
    </row>
    <row r="674" spans="1:11" x14ac:dyDescent="0.25">
      <c r="A674">
        <v>43</v>
      </c>
      <c r="B674">
        <v>0</v>
      </c>
      <c r="C674">
        <v>1</v>
      </c>
      <c r="D674">
        <v>8</v>
      </c>
      <c r="E674">
        <v>2</v>
      </c>
      <c r="F674">
        <v>4.5395718010000001</v>
      </c>
      <c r="G674">
        <v>91</v>
      </c>
      <c r="H674">
        <v>47</v>
      </c>
      <c r="I674">
        <v>34</v>
      </c>
      <c r="J674">
        <v>3</v>
      </c>
      <c r="K674">
        <v>0</v>
      </c>
    </row>
    <row r="675" spans="1:11" x14ac:dyDescent="0.25">
      <c r="A675">
        <v>24</v>
      </c>
      <c r="B675">
        <v>0</v>
      </c>
      <c r="C675">
        <v>2</v>
      </c>
      <c r="D675">
        <v>14</v>
      </c>
      <c r="E675">
        <v>1</v>
      </c>
      <c r="F675">
        <v>34.019412619999997</v>
      </c>
      <c r="G675">
        <v>7</v>
      </c>
      <c r="H675">
        <v>31</v>
      </c>
      <c r="I675">
        <v>94</v>
      </c>
      <c r="J675">
        <v>2</v>
      </c>
      <c r="K675">
        <v>0</v>
      </c>
    </row>
    <row r="676" spans="1:11" x14ac:dyDescent="0.25">
      <c r="A676">
        <v>32</v>
      </c>
      <c r="B676">
        <v>0</v>
      </c>
      <c r="C676">
        <v>3</v>
      </c>
      <c r="D676">
        <v>2</v>
      </c>
      <c r="E676">
        <v>2</v>
      </c>
      <c r="F676">
        <v>41.459740179999997</v>
      </c>
      <c r="G676">
        <v>94</v>
      </c>
      <c r="H676">
        <v>83</v>
      </c>
      <c r="I676">
        <v>52</v>
      </c>
      <c r="J676">
        <v>3</v>
      </c>
      <c r="K676">
        <v>0</v>
      </c>
    </row>
    <row r="677" spans="1:11" x14ac:dyDescent="0.25">
      <c r="A677">
        <v>23</v>
      </c>
      <c r="B677">
        <v>0</v>
      </c>
      <c r="C677">
        <v>2</v>
      </c>
      <c r="D677">
        <v>5</v>
      </c>
      <c r="E677">
        <v>5</v>
      </c>
      <c r="F677">
        <v>34.6415845</v>
      </c>
      <c r="G677">
        <v>2</v>
      </c>
      <c r="H677">
        <v>94</v>
      </c>
      <c r="I677">
        <v>98</v>
      </c>
      <c r="J677">
        <v>3</v>
      </c>
      <c r="K677">
        <v>0</v>
      </c>
    </row>
    <row r="678" spans="1:11" x14ac:dyDescent="0.25">
      <c r="A678">
        <v>35</v>
      </c>
      <c r="B678">
        <v>1</v>
      </c>
      <c r="C678">
        <v>1</v>
      </c>
      <c r="D678">
        <v>2</v>
      </c>
      <c r="E678">
        <v>4</v>
      </c>
      <c r="F678">
        <v>25.861459750000002</v>
      </c>
      <c r="G678">
        <v>66</v>
      </c>
      <c r="H678">
        <v>3</v>
      </c>
      <c r="I678">
        <v>95</v>
      </c>
      <c r="J678">
        <v>1</v>
      </c>
      <c r="K678">
        <v>0</v>
      </c>
    </row>
    <row r="679" spans="1:11" x14ac:dyDescent="0.25">
      <c r="A679">
        <v>43</v>
      </c>
      <c r="B679">
        <v>1</v>
      </c>
      <c r="C679">
        <v>2</v>
      </c>
      <c r="D679">
        <v>13</v>
      </c>
      <c r="E679">
        <v>3</v>
      </c>
      <c r="F679">
        <v>48.515350689999998</v>
      </c>
      <c r="G679">
        <v>85</v>
      </c>
      <c r="H679">
        <v>37</v>
      </c>
      <c r="I679">
        <v>57</v>
      </c>
      <c r="J679">
        <v>2</v>
      </c>
      <c r="K679">
        <v>0</v>
      </c>
    </row>
    <row r="680" spans="1:11" x14ac:dyDescent="0.25">
      <c r="A680">
        <v>35</v>
      </c>
      <c r="B680">
        <v>0</v>
      </c>
      <c r="C680">
        <v>1</v>
      </c>
      <c r="D680">
        <v>12</v>
      </c>
      <c r="E680">
        <v>1</v>
      </c>
      <c r="F680">
        <v>15.99692449</v>
      </c>
      <c r="G680">
        <v>80</v>
      </c>
      <c r="H680">
        <v>62</v>
      </c>
      <c r="I680">
        <v>4</v>
      </c>
      <c r="J680">
        <v>2</v>
      </c>
      <c r="K680">
        <v>0</v>
      </c>
    </row>
    <row r="681" spans="1:11" x14ac:dyDescent="0.25">
      <c r="A681">
        <v>42</v>
      </c>
      <c r="B681">
        <v>1</v>
      </c>
      <c r="C681">
        <v>4</v>
      </c>
      <c r="D681">
        <v>0</v>
      </c>
      <c r="E681">
        <v>5</v>
      </c>
      <c r="F681">
        <v>1.958394376</v>
      </c>
      <c r="G681">
        <v>99</v>
      </c>
      <c r="H681">
        <v>46</v>
      </c>
      <c r="I681">
        <v>15</v>
      </c>
      <c r="J681">
        <v>1</v>
      </c>
      <c r="K681">
        <v>1</v>
      </c>
    </row>
    <row r="682" spans="1:11" x14ac:dyDescent="0.25">
      <c r="A682">
        <v>21</v>
      </c>
      <c r="B682">
        <v>0</v>
      </c>
      <c r="C682">
        <v>1</v>
      </c>
      <c r="D682">
        <v>13</v>
      </c>
      <c r="E682">
        <v>4</v>
      </c>
      <c r="F682">
        <v>22.599468569999999</v>
      </c>
      <c r="G682">
        <v>16</v>
      </c>
      <c r="H682">
        <v>0</v>
      </c>
      <c r="I682">
        <v>16</v>
      </c>
      <c r="J682">
        <v>2</v>
      </c>
      <c r="K682">
        <v>0</v>
      </c>
    </row>
    <row r="683" spans="1:11" x14ac:dyDescent="0.25">
      <c r="A683">
        <v>36</v>
      </c>
      <c r="B683">
        <v>0</v>
      </c>
      <c r="C683">
        <v>3</v>
      </c>
      <c r="D683">
        <v>12</v>
      </c>
      <c r="E683">
        <v>5</v>
      </c>
      <c r="F683">
        <v>2.6505967949999998</v>
      </c>
      <c r="G683">
        <v>13</v>
      </c>
      <c r="H683">
        <v>2</v>
      </c>
      <c r="I683">
        <v>31</v>
      </c>
      <c r="J683">
        <v>2</v>
      </c>
      <c r="K683">
        <v>0</v>
      </c>
    </row>
    <row r="684" spans="1:11" x14ac:dyDescent="0.25">
      <c r="A684">
        <v>47</v>
      </c>
      <c r="B684">
        <v>1</v>
      </c>
      <c r="C684">
        <v>4</v>
      </c>
      <c r="D684">
        <v>15</v>
      </c>
      <c r="E684">
        <v>1</v>
      </c>
      <c r="F684">
        <v>48.696837629999997</v>
      </c>
      <c r="G684">
        <v>8</v>
      </c>
      <c r="H684">
        <v>100</v>
      </c>
      <c r="I684">
        <v>95</v>
      </c>
      <c r="J684">
        <v>1</v>
      </c>
      <c r="K684">
        <v>1</v>
      </c>
    </row>
    <row r="685" spans="1:11" x14ac:dyDescent="0.25">
      <c r="A685">
        <v>46</v>
      </c>
      <c r="B685">
        <v>0</v>
      </c>
      <c r="C685">
        <v>3</v>
      </c>
      <c r="D685">
        <v>11</v>
      </c>
      <c r="E685">
        <v>3</v>
      </c>
      <c r="F685">
        <v>11.49590229</v>
      </c>
      <c r="G685">
        <v>61</v>
      </c>
      <c r="H685">
        <v>85</v>
      </c>
      <c r="I685">
        <v>51</v>
      </c>
      <c r="J685">
        <v>3</v>
      </c>
      <c r="K685">
        <v>0</v>
      </c>
    </row>
    <row r="686" spans="1:11" x14ac:dyDescent="0.25">
      <c r="A686">
        <v>39</v>
      </c>
      <c r="B686">
        <v>0</v>
      </c>
      <c r="C686">
        <v>2</v>
      </c>
      <c r="D686">
        <v>4</v>
      </c>
      <c r="E686">
        <v>5</v>
      </c>
      <c r="F686">
        <v>40.446351200000002</v>
      </c>
      <c r="G686">
        <v>93</v>
      </c>
      <c r="H686">
        <v>61</v>
      </c>
      <c r="I686">
        <v>19</v>
      </c>
      <c r="J686">
        <v>2</v>
      </c>
      <c r="K686">
        <v>0</v>
      </c>
    </row>
    <row r="687" spans="1:11" x14ac:dyDescent="0.25">
      <c r="A687">
        <v>43</v>
      </c>
      <c r="B687">
        <v>1</v>
      </c>
      <c r="C687">
        <v>3</v>
      </c>
      <c r="D687">
        <v>9</v>
      </c>
      <c r="E687">
        <v>2</v>
      </c>
      <c r="F687">
        <v>39.728604160000003</v>
      </c>
      <c r="G687">
        <v>20</v>
      </c>
      <c r="H687">
        <v>63</v>
      </c>
      <c r="I687">
        <v>65</v>
      </c>
      <c r="J687">
        <v>3</v>
      </c>
      <c r="K687">
        <v>1</v>
      </c>
    </row>
    <row r="688" spans="1:11" x14ac:dyDescent="0.25">
      <c r="A688">
        <v>31</v>
      </c>
      <c r="B688">
        <v>0</v>
      </c>
      <c r="C688">
        <v>4</v>
      </c>
      <c r="D688">
        <v>13</v>
      </c>
      <c r="E688">
        <v>4</v>
      </c>
      <c r="F688">
        <v>11.88644498</v>
      </c>
      <c r="G688">
        <v>75</v>
      </c>
      <c r="H688">
        <v>16</v>
      </c>
      <c r="I688">
        <v>83</v>
      </c>
      <c r="J688">
        <v>2</v>
      </c>
      <c r="K688">
        <v>1</v>
      </c>
    </row>
    <row r="689" spans="1:11" x14ac:dyDescent="0.25">
      <c r="A689">
        <v>37</v>
      </c>
      <c r="B689">
        <v>0</v>
      </c>
      <c r="C689">
        <v>2</v>
      </c>
      <c r="D689">
        <v>12</v>
      </c>
      <c r="E689">
        <v>5</v>
      </c>
      <c r="F689">
        <v>32.061326520000001</v>
      </c>
      <c r="G689">
        <v>36</v>
      </c>
      <c r="H689">
        <v>77</v>
      </c>
      <c r="I689">
        <v>81</v>
      </c>
      <c r="J689">
        <v>3</v>
      </c>
      <c r="K689">
        <v>0</v>
      </c>
    </row>
    <row r="690" spans="1:11" x14ac:dyDescent="0.25">
      <c r="A690">
        <v>22</v>
      </c>
      <c r="B690">
        <v>0</v>
      </c>
      <c r="C690">
        <v>2</v>
      </c>
      <c r="D690">
        <v>10</v>
      </c>
      <c r="E690">
        <v>4</v>
      </c>
      <c r="F690">
        <v>3.4039484240000002</v>
      </c>
      <c r="G690">
        <v>95</v>
      </c>
      <c r="H690">
        <v>61</v>
      </c>
      <c r="I690">
        <v>0</v>
      </c>
      <c r="J690">
        <v>2</v>
      </c>
      <c r="K690">
        <v>0</v>
      </c>
    </row>
    <row r="691" spans="1:11" x14ac:dyDescent="0.25">
      <c r="A691">
        <v>47</v>
      </c>
      <c r="B691">
        <v>0</v>
      </c>
      <c r="C691">
        <v>2</v>
      </c>
      <c r="D691">
        <v>3</v>
      </c>
      <c r="E691">
        <v>2</v>
      </c>
      <c r="F691">
        <v>25.17872929</v>
      </c>
      <c r="G691">
        <v>10</v>
      </c>
      <c r="H691">
        <v>34</v>
      </c>
      <c r="I691">
        <v>57</v>
      </c>
      <c r="J691">
        <v>1</v>
      </c>
      <c r="K691">
        <v>0</v>
      </c>
    </row>
    <row r="692" spans="1:11" x14ac:dyDescent="0.25">
      <c r="A692">
        <v>20</v>
      </c>
      <c r="B692">
        <v>1</v>
      </c>
      <c r="C692">
        <v>2</v>
      </c>
      <c r="D692">
        <v>6</v>
      </c>
      <c r="E692">
        <v>3</v>
      </c>
      <c r="F692">
        <v>1.7323563639999999</v>
      </c>
      <c r="G692">
        <v>19</v>
      </c>
      <c r="H692">
        <v>12</v>
      </c>
      <c r="I692">
        <v>92</v>
      </c>
      <c r="J692">
        <v>2</v>
      </c>
      <c r="K692">
        <v>0</v>
      </c>
    </row>
    <row r="693" spans="1:11" x14ac:dyDescent="0.25">
      <c r="A693">
        <v>20</v>
      </c>
      <c r="B693">
        <v>1</v>
      </c>
      <c r="C693">
        <v>2</v>
      </c>
      <c r="D693">
        <v>5</v>
      </c>
      <c r="E693">
        <v>3</v>
      </c>
      <c r="F693">
        <v>47.057194010000003</v>
      </c>
      <c r="G693">
        <v>34</v>
      </c>
      <c r="H693">
        <v>34</v>
      </c>
      <c r="I693">
        <v>92</v>
      </c>
      <c r="J693">
        <v>2</v>
      </c>
      <c r="K693">
        <v>0</v>
      </c>
    </row>
    <row r="694" spans="1:11" x14ac:dyDescent="0.25">
      <c r="A694">
        <v>48</v>
      </c>
      <c r="B694">
        <v>1</v>
      </c>
      <c r="C694">
        <v>2</v>
      </c>
      <c r="D694">
        <v>9</v>
      </c>
      <c r="E694">
        <v>2</v>
      </c>
      <c r="F694">
        <v>49.804301209999998</v>
      </c>
      <c r="G694">
        <v>52</v>
      </c>
      <c r="H694">
        <v>42</v>
      </c>
      <c r="I694">
        <v>82</v>
      </c>
      <c r="J694">
        <v>2</v>
      </c>
      <c r="K694">
        <v>0</v>
      </c>
    </row>
    <row r="695" spans="1:11" x14ac:dyDescent="0.25">
      <c r="A695">
        <v>38</v>
      </c>
      <c r="B695">
        <v>0</v>
      </c>
      <c r="C695">
        <v>2</v>
      </c>
      <c r="D695">
        <v>6</v>
      </c>
      <c r="E695">
        <v>4</v>
      </c>
      <c r="F695">
        <v>12.114138329999999</v>
      </c>
      <c r="G695">
        <v>46</v>
      </c>
      <c r="H695">
        <v>1</v>
      </c>
      <c r="I695">
        <v>43</v>
      </c>
      <c r="J695">
        <v>2</v>
      </c>
      <c r="K695">
        <v>0</v>
      </c>
    </row>
    <row r="696" spans="1:11" x14ac:dyDescent="0.25">
      <c r="A696">
        <v>30</v>
      </c>
      <c r="B696">
        <v>0</v>
      </c>
      <c r="C696">
        <v>1</v>
      </c>
      <c r="D696">
        <v>4</v>
      </c>
      <c r="E696">
        <v>5</v>
      </c>
      <c r="F696">
        <v>11.40530173</v>
      </c>
      <c r="G696">
        <v>74</v>
      </c>
      <c r="H696">
        <v>55</v>
      </c>
      <c r="I696">
        <v>5</v>
      </c>
      <c r="J696">
        <v>1</v>
      </c>
      <c r="K696">
        <v>1</v>
      </c>
    </row>
    <row r="697" spans="1:11" x14ac:dyDescent="0.25">
      <c r="A697">
        <v>24</v>
      </c>
      <c r="B697">
        <v>1</v>
      </c>
      <c r="C697">
        <v>1</v>
      </c>
      <c r="D697">
        <v>14</v>
      </c>
      <c r="E697">
        <v>2</v>
      </c>
      <c r="F697">
        <v>38.686008829999999</v>
      </c>
      <c r="G697">
        <v>51</v>
      </c>
      <c r="H697">
        <v>76</v>
      </c>
      <c r="I697">
        <v>49</v>
      </c>
      <c r="J697">
        <v>2</v>
      </c>
      <c r="K697">
        <v>0</v>
      </c>
    </row>
    <row r="698" spans="1:11" x14ac:dyDescent="0.25">
      <c r="A698">
        <v>31</v>
      </c>
      <c r="B698">
        <v>0</v>
      </c>
      <c r="C698">
        <v>2</v>
      </c>
      <c r="D698">
        <v>14</v>
      </c>
      <c r="E698">
        <v>1</v>
      </c>
      <c r="F698">
        <v>13.66896994</v>
      </c>
      <c r="G698">
        <v>7</v>
      </c>
      <c r="H698">
        <v>50</v>
      </c>
      <c r="I698">
        <v>71</v>
      </c>
      <c r="J698">
        <v>2</v>
      </c>
      <c r="K698">
        <v>0</v>
      </c>
    </row>
    <row r="699" spans="1:11" x14ac:dyDescent="0.25">
      <c r="A699">
        <v>22</v>
      </c>
      <c r="B699">
        <v>0</v>
      </c>
      <c r="C699">
        <v>1</v>
      </c>
      <c r="D699">
        <v>3</v>
      </c>
      <c r="E699">
        <v>4</v>
      </c>
      <c r="F699">
        <v>45.753827960000002</v>
      </c>
      <c r="G699">
        <v>3</v>
      </c>
      <c r="H699">
        <v>53</v>
      </c>
      <c r="I699">
        <v>87</v>
      </c>
      <c r="J699">
        <v>2</v>
      </c>
      <c r="K699">
        <v>0</v>
      </c>
    </row>
    <row r="700" spans="1:11" x14ac:dyDescent="0.25">
      <c r="A700">
        <v>20</v>
      </c>
      <c r="B700">
        <v>0</v>
      </c>
      <c r="C700">
        <v>2</v>
      </c>
      <c r="D700">
        <v>15</v>
      </c>
      <c r="E700">
        <v>3</v>
      </c>
      <c r="F700">
        <v>29.696456810000001</v>
      </c>
      <c r="G700">
        <v>26</v>
      </c>
      <c r="H700">
        <v>15</v>
      </c>
      <c r="I700">
        <v>19</v>
      </c>
      <c r="J700">
        <v>2</v>
      </c>
      <c r="K700">
        <v>0</v>
      </c>
    </row>
    <row r="701" spans="1:11" x14ac:dyDescent="0.25">
      <c r="A701">
        <v>20</v>
      </c>
      <c r="B701">
        <v>0</v>
      </c>
      <c r="C701">
        <v>2</v>
      </c>
      <c r="D701">
        <v>6</v>
      </c>
      <c r="E701">
        <v>2</v>
      </c>
      <c r="F701">
        <v>18.538881150000002</v>
      </c>
      <c r="G701">
        <v>43</v>
      </c>
      <c r="H701">
        <v>17</v>
      </c>
      <c r="I701">
        <v>13</v>
      </c>
      <c r="J701">
        <v>3</v>
      </c>
      <c r="K701">
        <v>0</v>
      </c>
    </row>
    <row r="702" spans="1:11" x14ac:dyDescent="0.25">
      <c r="A702">
        <v>27</v>
      </c>
      <c r="B702">
        <v>1</v>
      </c>
      <c r="C702">
        <v>3</v>
      </c>
      <c r="D702">
        <v>6</v>
      </c>
      <c r="E702">
        <v>3</v>
      </c>
      <c r="F702">
        <v>42.634687319999998</v>
      </c>
      <c r="G702">
        <v>39</v>
      </c>
      <c r="H702">
        <v>6</v>
      </c>
      <c r="I702">
        <v>4</v>
      </c>
      <c r="J702">
        <v>2</v>
      </c>
      <c r="K702">
        <v>0</v>
      </c>
    </row>
    <row r="703" spans="1:11" x14ac:dyDescent="0.25">
      <c r="A703">
        <v>29</v>
      </c>
      <c r="B703">
        <v>1</v>
      </c>
      <c r="C703">
        <v>1</v>
      </c>
      <c r="D703">
        <v>5</v>
      </c>
      <c r="E703">
        <v>4</v>
      </c>
      <c r="F703">
        <v>25.67033502</v>
      </c>
      <c r="G703">
        <v>46</v>
      </c>
      <c r="H703">
        <v>44</v>
      </c>
      <c r="I703">
        <v>40</v>
      </c>
      <c r="J703">
        <v>2</v>
      </c>
      <c r="K703">
        <v>0</v>
      </c>
    </row>
    <row r="704" spans="1:11" x14ac:dyDescent="0.25">
      <c r="A704">
        <v>30</v>
      </c>
      <c r="B704">
        <v>1</v>
      </c>
      <c r="C704">
        <v>2</v>
      </c>
      <c r="D704">
        <v>7</v>
      </c>
      <c r="E704">
        <v>3</v>
      </c>
      <c r="F704">
        <v>46.581645690000002</v>
      </c>
      <c r="G704">
        <v>93</v>
      </c>
      <c r="H704">
        <v>35</v>
      </c>
      <c r="I704">
        <v>39</v>
      </c>
      <c r="J704">
        <v>3</v>
      </c>
      <c r="K704">
        <v>0</v>
      </c>
    </row>
    <row r="705" spans="1:11" x14ac:dyDescent="0.25">
      <c r="A705">
        <v>31</v>
      </c>
      <c r="B705">
        <v>0</v>
      </c>
      <c r="C705">
        <v>3</v>
      </c>
      <c r="D705">
        <v>3</v>
      </c>
      <c r="E705">
        <v>2</v>
      </c>
      <c r="F705">
        <v>47.40071184</v>
      </c>
      <c r="G705">
        <v>43</v>
      </c>
      <c r="H705">
        <v>40</v>
      </c>
      <c r="I705">
        <v>33</v>
      </c>
      <c r="J705">
        <v>2</v>
      </c>
      <c r="K705">
        <v>0</v>
      </c>
    </row>
    <row r="706" spans="1:11" x14ac:dyDescent="0.25">
      <c r="A706">
        <v>48</v>
      </c>
      <c r="B706">
        <v>1</v>
      </c>
      <c r="C706">
        <v>2</v>
      </c>
      <c r="D706">
        <v>9</v>
      </c>
      <c r="E706">
        <v>4</v>
      </c>
      <c r="F706">
        <v>9.2710076059999995</v>
      </c>
      <c r="G706">
        <v>47</v>
      </c>
      <c r="H706">
        <v>93</v>
      </c>
      <c r="I706">
        <v>79</v>
      </c>
      <c r="J706">
        <v>1</v>
      </c>
      <c r="K706">
        <v>1</v>
      </c>
    </row>
    <row r="707" spans="1:11" x14ac:dyDescent="0.25">
      <c r="A707">
        <v>32</v>
      </c>
      <c r="B707">
        <v>1</v>
      </c>
      <c r="C707">
        <v>1</v>
      </c>
      <c r="D707">
        <v>4</v>
      </c>
      <c r="E707">
        <v>1</v>
      </c>
      <c r="F707">
        <v>1.116170307</v>
      </c>
      <c r="G707">
        <v>90</v>
      </c>
      <c r="H707">
        <v>41</v>
      </c>
      <c r="I707">
        <v>44</v>
      </c>
      <c r="J707">
        <v>1</v>
      </c>
      <c r="K707">
        <v>0</v>
      </c>
    </row>
    <row r="708" spans="1:11" x14ac:dyDescent="0.25">
      <c r="A708">
        <v>31</v>
      </c>
      <c r="B708">
        <v>0</v>
      </c>
      <c r="C708">
        <v>3</v>
      </c>
      <c r="D708">
        <v>3</v>
      </c>
      <c r="E708">
        <v>2</v>
      </c>
      <c r="F708">
        <v>50.196547010000003</v>
      </c>
      <c r="G708">
        <v>84</v>
      </c>
      <c r="H708">
        <v>6</v>
      </c>
      <c r="I708">
        <v>70</v>
      </c>
      <c r="J708">
        <v>2</v>
      </c>
      <c r="K708">
        <v>0</v>
      </c>
    </row>
    <row r="709" spans="1:11" x14ac:dyDescent="0.25">
      <c r="A709">
        <v>50</v>
      </c>
      <c r="B709">
        <v>0</v>
      </c>
      <c r="C709">
        <v>3</v>
      </c>
      <c r="D709">
        <v>11</v>
      </c>
      <c r="E709">
        <v>5</v>
      </c>
      <c r="F709">
        <v>46.306876809999999</v>
      </c>
      <c r="G709">
        <v>51</v>
      </c>
      <c r="H709">
        <v>14</v>
      </c>
      <c r="I709">
        <v>79</v>
      </c>
      <c r="J709">
        <v>1</v>
      </c>
      <c r="K709">
        <v>1</v>
      </c>
    </row>
    <row r="710" spans="1:11" x14ac:dyDescent="0.25">
      <c r="A710">
        <v>33</v>
      </c>
      <c r="B710">
        <v>1</v>
      </c>
      <c r="C710">
        <v>2</v>
      </c>
      <c r="D710">
        <v>0</v>
      </c>
      <c r="E710">
        <v>2</v>
      </c>
      <c r="F710">
        <v>3.772261785</v>
      </c>
      <c r="G710">
        <v>83</v>
      </c>
      <c r="H710">
        <v>59</v>
      </c>
      <c r="I710">
        <v>70</v>
      </c>
      <c r="J710">
        <v>2</v>
      </c>
      <c r="K710">
        <v>0</v>
      </c>
    </row>
    <row r="711" spans="1:11" x14ac:dyDescent="0.25">
      <c r="A711">
        <v>21</v>
      </c>
      <c r="B711">
        <v>1</v>
      </c>
      <c r="C711">
        <v>2</v>
      </c>
      <c r="D711">
        <v>11</v>
      </c>
      <c r="E711">
        <v>4</v>
      </c>
      <c r="F711">
        <v>42.651713200000003</v>
      </c>
      <c r="G711">
        <v>67</v>
      </c>
      <c r="H711">
        <v>39</v>
      </c>
      <c r="I711">
        <v>26</v>
      </c>
      <c r="J711">
        <v>1</v>
      </c>
      <c r="K711">
        <v>0</v>
      </c>
    </row>
    <row r="712" spans="1:11" x14ac:dyDescent="0.25">
      <c r="A712">
        <v>48</v>
      </c>
      <c r="B712">
        <v>1</v>
      </c>
      <c r="C712">
        <v>4</v>
      </c>
      <c r="D712">
        <v>7</v>
      </c>
      <c r="E712">
        <v>2</v>
      </c>
      <c r="F712">
        <v>23.89024663</v>
      </c>
      <c r="G712">
        <v>10</v>
      </c>
      <c r="H712">
        <v>82</v>
      </c>
      <c r="I712">
        <v>77</v>
      </c>
      <c r="J712">
        <v>1</v>
      </c>
      <c r="K712">
        <v>1</v>
      </c>
    </row>
    <row r="713" spans="1:11" x14ac:dyDescent="0.25">
      <c r="A713">
        <v>38</v>
      </c>
      <c r="B713">
        <v>1</v>
      </c>
      <c r="C713">
        <v>2</v>
      </c>
      <c r="D713">
        <v>0</v>
      </c>
      <c r="E713">
        <v>1</v>
      </c>
      <c r="F713">
        <v>13.94808025</v>
      </c>
      <c r="G713">
        <v>76</v>
      </c>
      <c r="H713">
        <v>36</v>
      </c>
      <c r="I713">
        <v>77</v>
      </c>
      <c r="J713">
        <v>2</v>
      </c>
      <c r="K713">
        <v>0</v>
      </c>
    </row>
    <row r="714" spans="1:11" x14ac:dyDescent="0.25">
      <c r="A714">
        <v>37</v>
      </c>
      <c r="B714">
        <v>0</v>
      </c>
      <c r="C714">
        <v>2</v>
      </c>
      <c r="D714">
        <v>4</v>
      </c>
      <c r="E714">
        <v>1</v>
      </c>
      <c r="F714">
        <v>44.937326179999999</v>
      </c>
      <c r="G714">
        <v>72</v>
      </c>
      <c r="H714">
        <v>65</v>
      </c>
      <c r="I714">
        <v>43</v>
      </c>
      <c r="J714">
        <v>3</v>
      </c>
      <c r="K714">
        <v>0</v>
      </c>
    </row>
    <row r="715" spans="1:11" x14ac:dyDescent="0.25">
      <c r="A715">
        <v>22</v>
      </c>
      <c r="B715">
        <v>1</v>
      </c>
      <c r="C715">
        <v>3</v>
      </c>
      <c r="D715">
        <v>14</v>
      </c>
      <c r="E715">
        <v>5</v>
      </c>
      <c r="F715">
        <v>10.83336162</v>
      </c>
      <c r="G715">
        <v>3</v>
      </c>
      <c r="H715">
        <v>54</v>
      </c>
      <c r="I715">
        <v>32</v>
      </c>
      <c r="J715">
        <v>2</v>
      </c>
      <c r="K715">
        <v>0</v>
      </c>
    </row>
    <row r="716" spans="1:11" x14ac:dyDescent="0.25">
      <c r="A716">
        <v>42</v>
      </c>
      <c r="B716">
        <v>1</v>
      </c>
      <c r="C716">
        <v>2</v>
      </c>
      <c r="D716">
        <v>5</v>
      </c>
      <c r="E716">
        <v>3</v>
      </c>
      <c r="F716">
        <v>48.36499997</v>
      </c>
      <c r="G716">
        <v>75</v>
      </c>
      <c r="H716">
        <v>76</v>
      </c>
      <c r="I716">
        <v>32</v>
      </c>
      <c r="J716">
        <v>3</v>
      </c>
      <c r="K716">
        <v>0</v>
      </c>
    </row>
    <row r="717" spans="1:11" x14ac:dyDescent="0.25">
      <c r="A717">
        <v>36</v>
      </c>
      <c r="B717">
        <v>0</v>
      </c>
      <c r="C717">
        <v>2</v>
      </c>
      <c r="D717">
        <v>5</v>
      </c>
      <c r="E717">
        <v>4</v>
      </c>
      <c r="F717">
        <v>11.28107438</v>
      </c>
      <c r="G717">
        <v>72</v>
      </c>
      <c r="H717">
        <v>94</v>
      </c>
      <c r="I717">
        <v>43</v>
      </c>
      <c r="J717">
        <v>3</v>
      </c>
      <c r="K717">
        <v>0</v>
      </c>
    </row>
    <row r="718" spans="1:11" x14ac:dyDescent="0.25">
      <c r="A718">
        <v>45</v>
      </c>
      <c r="B718">
        <v>1</v>
      </c>
      <c r="C718">
        <v>2</v>
      </c>
      <c r="D718">
        <v>12</v>
      </c>
      <c r="E718">
        <v>4</v>
      </c>
      <c r="F718">
        <v>31.684159390000001</v>
      </c>
      <c r="G718">
        <v>76</v>
      </c>
      <c r="H718">
        <v>79</v>
      </c>
      <c r="I718">
        <v>19</v>
      </c>
      <c r="J718">
        <v>1</v>
      </c>
      <c r="K718">
        <v>1</v>
      </c>
    </row>
    <row r="719" spans="1:11" x14ac:dyDescent="0.25">
      <c r="A719">
        <v>27</v>
      </c>
      <c r="B719">
        <v>0</v>
      </c>
      <c r="C719">
        <v>3</v>
      </c>
      <c r="D719">
        <v>4</v>
      </c>
      <c r="E719">
        <v>3</v>
      </c>
      <c r="F719">
        <v>12.15431673</v>
      </c>
      <c r="G719">
        <v>47</v>
      </c>
      <c r="H719">
        <v>55</v>
      </c>
      <c r="I719">
        <v>35</v>
      </c>
      <c r="J719">
        <v>2</v>
      </c>
      <c r="K719">
        <v>0</v>
      </c>
    </row>
    <row r="720" spans="1:11" x14ac:dyDescent="0.25">
      <c r="A720">
        <v>48</v>
      </c>
      <c r="B720">
        <v>0</v>
      </c>
      <c r="C720">
        <v>2</v>
      </c>
      <c r="D720">
        <v>15</v>
      </c>
      <c r="E720">
        <v>1</v>
      </c>
      <c r="F720">
        <v>28.283433250000002</v>
      </c>
      <c r="G720">
        <v>25</v>
      </c>
      <c r="H720">
        <v>43</v>
      </c>
      <c r="I720">
        <v>6</v>
      </c>
      <c r="J720">
        <v>2</v>
      </c>
      <c r="K720">
        <v>0</v>
      </c>
    </row>
    <row r="721" spans="1:11" x14ac:dyDescent="0.25">
      <c r="A721">
        <v>45</v>
      </c>
      <c r="B721">
        <v>0</v>
      </c>
      <c r="C721">
        <v>2</v>
      </c>
      <c r="D721">
        <v>2</v>
      </c>
      <c r="E721">
        <v>1</v>
      </c>
      <c r="F721">
        <v>35.198756500000002</v>
      </c>
      <c r="G721">
        <v>76</v>
      </c>
      <c r="H721">
        <v>56</v>
      </c>
      <c r="I721">
        <v>31</v>
      </c>
      <c r="J721">
        <v>3</v>
      </c>
      <c r="K721">
        <v>0</v>
      </c>
    </row>
    <row r="722" spans="1:11" x14ac:dyDescent="0.25">
      <c r="A722">
        <v>29</v>
      </c>
      <c r="B722">
        <v>1</v>
      </c>
      <c r="C722">
        <v>2</v>
      </c>
      <c r="D722">
        <v>14</v>
      </c>
      <c r="E722">
        <v>2</v>
      </c>
      <c r="F722">
        <v>10.51139654</v>
      </c>
      <c r="G722">
        <v>38</v>
      </c>
      <c r="H722">
        <v>5</v>
      </c>
      <c r="I722">
        <v>66</v>
      </c>
      <c r="J722">
        <v>2</v>
      </c>
      <c r="K722">
        <v>0</v>
      </c>
    </row>
    <row r="723" spans="1:11" x14ac:dyDescent="0.25">
      <c r="A723">
        <v>45</v>
      </c>
      <c r="B723">
        <v>1</v>
      </c>
      <c r="C723">
        <v>2</v>
      </c>
      <c r="D723">
        <v>4</v>
      </c>
      <c r="E723">
        <v>5</v>
      </c>
      <c r="F723">
        <v>27.04428914</v>
      </c>
      <c r="G723">
        <v>91</v>
      </c>
      <c r="H723">
        <v>91</v>
      </c>
      <c r="I723">
        <v>38</v>
      </c>
      <c r="J723">
        <v>3</v>
      </c>
      <c r="K723">
        <v>0</v>
      </c>
    </row>
    <row r="724" spans="1:11" x14ac:dyDescent="0.25">
      <c r="A724">
        <v>49</v>
      </c>
      <c r="B724">
        <v>0</v>
      </c>
      <c r="C724">
        <v>2</v>
      </c>
      <c r="D724">
        <v>11</v>
      </c>
      <c r="E724">
        <v>5</v>
      </c>
      <c r="F724">
        <v>24.452987220000001</v>
      </c>
      <c r="G724">
        <v>57</v>
      </c>
      <c r="H724">
        <v>31</v>
      </c>
      <c r="I724">
        <v>92</v>
      </c>
      <c r="J724">
        <v>1</v>
      </c>
      <c r="K724">
        <v>1</v>
      </c>
    </row>
    <row r="725" spans="1:11" x14ac:dyDescent="0.25">
      <c r="A725">
        <v>21</v>
      </c>
      <c r="B725">
        <v>1</v>
      </c>
      <c r="C725">
        <v>3</v>
      </c>
      <c r="D725">
        <v>7</v>
      </c>
      <c r="E725">
        <v>5</v>
      </c>
      <c r="F725">
        <v>4.5518710699999998</v>
      </c>
      <c r="G725">
        <v>18</v>
      </c>
      <c r="H725">
        <v>73</v>
      </c>
      <c r="I725">
        <v>23</v>
      </c>
      <c r="J725">
        <v>1</v>
      </c>
      <c r="K725">
        <v>1</v>
      </c>
    </row>
    <row r="726" spans="1:11" x14ac:dyDescent="0.25">
      <c r="A726">
        <v>38</v>
      </c>
      <c r="B726">
        <v>1</v>
      </c>
      <c r="C726">
        <v>2</v>
      </c>
      <c r="D726">
        <v>13</v>
      </c>
      <c r="E726">
        <v>2</v>
      </c>
      <c r="F726">
        <v>41.915390879999997</v>
      </c>
      <c r="G726">
        <v>87</v>
      </c>
      <c r="H726">
        <v>17</v>
      </c>
      <c r="I726">
        <v>85</v>
      </c>
      <c r="J726">
        <v>2</v>
      </c>
      <c r="K726">
        <v>0</v>
      </c>
    </row>
    <row r="727" spans="1:11" x14ac:dyDescent="0.25">
      <c r="A727">
        <v>28</v>
      </c>
      <c r="B727">
        <v>0</v>
      </c>
      <c r="C727">
        <v>1</v>
      </c>
      <c r="D727">
        <v>1</v>
      </c>
      <c r="E727">
        <v>5</v>
      </c>
      <c r="F727">
        <v>17.78412003</v>
      </c>
      <c r="G727">
        <v>82</v>
      </c>
      <c r="H727">
        <v>67</v>
      </c>
      <c r="I727">
        <v>69</v>
      </c>
      <c r="J727">
        <v>2</v>
      </c>
      <c r="K727">
        <v>0</v>
      </c>
    </row>
    <row r="728" spans="1:11" x14ac:dyDescent="0.25">
      <c r="A728">
        <v>26</v>
      </c>
      <c r="B728">
        <v>0</v>
      </c>
      <c r="C728">
        <v>3</v>
      </c>
      <c r="D728">
        <v>15</v>
      </c>
      <c r="E728">
        <v>3</v>
      </c>
      <c r="F728">
        <v>29.729109879999999</v>
      </c>
      <c r="G728">
        <v>76</v>
      </c>
      <c r="H728">
        <v>72</v>
      </c>
      <c r="I728">
        <v>87</v>
      </c>
      <c r="J728">
        <v>1</v>
      </c>
      <c r="K728">
        <v>1</v>
      </c>
    </row>
    <row r="729" spans="1:11" x14ac:dyDescent="0.25">
      <c r="A729">
        <v>23</v>
      </c>
      <c r="B729">
        <v>1</v>
      </c>
      <c r="C729">
        <v>1</v>
      </c>
      <c r="D729">
        <v>5</v>
      </c>
      <c r="E729">
        <v>2</v>
      </c>
      <c r="F729">
        <v>26.739211749999999</v>
      </c>
      <c r="G729">
        <v>76</v>
      </c>
      <c r="H729">
        <v>6</v>
      </c>
      <c r="I729">
        <v>86</v>
      </c>
      <c r="J729">
        <v>2</v>
      </c>
      <c r="K729">
        <v>0</v>
      </c>
    </row>
    <row r="730" spans="1:11" x14ac:dyDescent="0.25">
      <c r="A730">
        <v>45</v>
      </c>
      <c r="B730">
        <v>0</v>
      </c>
      <c r="C730">
        <v>4</v>
      </c>
      <c r="D730">
        <v>8</v>
      </c>
      <c r="E730">
        <v>3</v>
      </c>
      <c r="F730">
        <v>26.663025229999999</v>
      </c>
      <c r="G730">
        <v>57</v>
      </c>
      <c r="H730">
        <v>7</v>
      </c>
      <c r="I730">
        <v>53</v>
      </c>
      <c r="J730">
        <v>1</v>
      </c>
      <c r="K730">
        <v>1</v>
      </c>
    </row>
    <row r="731" spans="1:11" x14ac:dyDescent="0.25">
      <c r="A731">
        <v>40</v>
      </c>
      <c r="B731">
        <v>1</v>
      </c>
      <c r="C731">
        <v>1</v>
      </c>
      <c r="D731">
        <v>7</v>
      </c>
      <c r="E731">
        <v>2</v>
      </c>
      <c r="F731">
        <v>6.3611197099999996</v>
      </c>
      <c r="G731">
        <v>27</v>
      </c>
      <c r="H731">
        <v>63</v>
      </c>
      <c r="I731">
        <v>37</v>
      </c>
      <c r="J731">
        <v>2</v>
      </c>
      <c r="K731">
        <v>0</v>
      </c>
    </row>
    <row r="732" spans="1:11" x14ac:dyDescent="0.25">
      <c r="A732">
        <v>37</v>
      </c>
      <c r="B732">
        <v>1</v>
      </c>
      <c r="C732">
        <v>2</v>
      </c>
      <c r="D732">
        <v>13</v>
      </c>
      <c r="E732">
        <v>5</v>
      </c>
      <c r="F732">
        <v>22.174100459999998</v>
      </c>
      <c r="G732">
        <v>65</v>
      </c>
      <c r="H732">
        <v>6</v>
      </c>
      <c r="I732">
        <v>73</v>
      </c>
      <c r="J732">
        <v>3</v>
      </c>
      <c r="K732">
        <v>0</v>
      </c>
    </row>
    <row r="733" spans="1:11" x14ac:dyDescent="0.25">
      <c r="A733">
        <v>32</v>
      </c>
      <c r="B733">
        <v>1</v>
      </c>
      <c r="C733">
        <v>1</v>
      </c>
      <c r="D733">
        <v>10</v>
      </c>
      <c r="E733">
        <v>3</v>
      </c>
      <c r="F733">
        <v>23.618337960000002</v>
      </c>
      <c r="G733">
        <v>9</v>
      </c>
      <c r="H733">
        <v>40</v>
      </c>
      <c r="I733">
        <v>79</v>
      </c>
      <c r="J733">
        <v>3</v>
      </c>
      <c r="K733">
        <v>0</v>
      </c>
    </row>
    <row r="734" spans="1:11" x14ac:dyDescent="0.25">
      <c r="A734">
        <v>30</v>
      </c>
      <c r="B734">
        <v>1</v>
      </c>
      <c r="C734">
        <v>4</v>
      </c>
      <c r="D734">
        <v>7</v>
      </c>
      <c r="E734">
        <v>3</v>
      </c>
      <c r="F734">
        <v>37.682142020000001</v>
      </c>
      <c r="G734">
        <v>85</v>
      </c>
      <c r="H734">
        <v>39</v>
      </c>
      <c r="I734">
        <v>74</v>
      </c>
      <c r="J734">
        <v>2</v>
      </c>
      <c r="K734">
        <v>1</v>
      </c>
    </row>
    <row r="735" spans="1:11" x14ac:dyDescent="0.25">
      <c r="A735">
        <v>48</v>
      </c>
      <c r="B735">
        <v>0</v>
      </c>
      <c r="C735">
        <v>2</v>
      </c>
      <c r="D735">
        <v>7</v>
      </c>
      <c r="E735">
        <v>3</v>
      </c>
      <c r="F735">
        <v>43.000941599999997</v>
      </c>
      <c r="G735">
        <v>76</v>
      </c>
      <c r="H735">
        <v>2</v>
      </c>
      <c r="I735">
        <v>31</v>
      </c>
      <c r="J735">
        <v>2</v>
      </c>
      <c r="K735">
        <v>0</v>
      </c>
    </row>
    <row r="736" spans="1:11" x14ac:dyDescent="0.25">
      <c r="A736">
        <v>43</v>
      </c>
      <c r="B736">
        <v>0</v>
      </c>
      <c r="C736">
        <v>1</v>
      </c>
      <c r="D736">
        <v>14</v>
      </c>
      <c r="E736">
        <v>2</v>
      </c>
      <c r="F736">
        <v>28.249113909999998</v>
      </c>
      <c r="G736">
        <v>57</v>
      </c>
      <c r="H736">
        <v>16</v>
      </c>
      <c r="I736">
        <v>44</v>
      </c>
      <c r="J736">
        <v>2</v>
      </c>
      <c r="K736">
        <v>0</v>
      </c>
    </row>
    <row r="737" spans="1:11" x14ac:dyDescent="0.25">
      <c r="A737">
        <v>23</v>
      </c>
      <c r="B737">
        <v>0</v>
      </c>
      <c r="C737">
        <v>2</v>
      </c>
      <c r="D737">
        <v>12</v>
      </c>
      <c r="E737">
        <v>4</v>
      </c>
      <c r="F737">
        <v>5.3391477030000001</v>
      </c>
      <c r="G737">
        <v>72</v>
      </c>
      <c r="H737">
        <v>65</v>
      </c>
      <c r="I737">
        <v>60</v>
      </c>
      <c r="J737">
        <v>1</v>
      </c>
      <c r="K737">
        <v>1</v>
      </c>
    </row>
    <row r="738" spans="1:11" x14ac:dyDescent="0.25">
      <c r="A738">
        <v>44</v>
      </c>
      <c r="B738">
        <v>0</v>
      </c>
      <c r="C738">
        <v>1</v>
      </c>
      <c r="D738">
        <v>6</v>
      </c>
      <c r="E738">
        <v>5</v>
      </c>
      <c r="F738">
        <v>12.842473529999999</v>
      </c>
      <c r="G738">
        <v>96</v>
      </c>
      <c r="H738">
        <v>78</v>
      </c>
      <c r="I738">
        <v>69</v>
      </c>
      <c r="J738">
        <v>2</v>
      </c>
      <c r="K738">
        <v>1</v>
      </c>
    </row>
    <row r="739" spans="1:11" x14ac:dyDescent="0.25">
      <c r="A739">
        <v>40</v>
      </c>
      <c r="B739">
        <v>1</v>
      </c>
      <c r="C739">
        <v>1</v>
      </c>
      <c r="D739">
        <v>7</v>
      </c>
      <c r="E739">
        <v>3</v>
      </c>
      <c r="F739">
        <v>9.2467013429999998</v>
      </c>
      <c r="G739">
        <v>13</v>
      </c>
      <c r="H739">
        <v>92</v>
      </c>
      <c r="I739">
        <v>87</v>
      </c>
      <c r="J739">
        <v>1</v>
      </c>
      <c r="K739">
        <v>1</v>
      </c>
    </row>
    <row r="740" spans="1:11" x14ac:dyDescent="0.25">
      <c r="A740">
        <v>48</v>
      </c>
      <c r="B740">
        <v>1</v>
      </c>
      <c r="C740">
        <v>4</v>
      </c>
      <c r="D740">
        <v>12</v>
      </c>
      <c r="E740">
        <v>4</v>
      </c>
      <c r="F740">
        <v>7.2307531589999998</v>
      </c>
      <c r="G740">
        <v>83</v>
      </c>
      <c r="H740">
        <v>51</v>
      </c>
      <c r="I740">
        <v>96</v>
      </c>
      <c r="J740">
        <v>3</v>
      </c>
      <c r="K740">
        <v>1</v>
      </c>
    </row>
    <row r="741" spans="1:11" x14ac:dyDescent="0.25">
      <c r="A741">
        <v>44</v>
      </c>
      <c r="B741">
        <v>0</v>
      </c>
      <c r="C741">
        <v>2</v>
      </c>
      <c r="D741">
        <v>5</v>
      </c>
      <c r="E741">
        <v>5</v>
      </c>
      <c r="F741">
        <v>19.294964929999999</v>
      </c>
      <c r="G741">
        <v>14</v>
      </c>
      <c r="H741">
        <v>21</v>
      </c>
      <c r="I741">
        <v>52</v>
      </c>
      <c r="J741">
        <v>3</v>
      </c>
      <c r="K741">
        <v>0</v>
      </c>
    </row>
    <row r="742" spans="1:11" x14ac:dyDescent="0.25">
      <c r="A742">
        <v>23</v>
      </c>
      <c r="B742">
        <v>1</v>
      </c>
      <c r="C742">
        <v>3</v>
      </c>
      <c r="D742">
        <v>1</v>
      </c>
      <c r="E742">
        <v>5</v>
      </c>
      <c r="F742">
        <v>12.469675110000001</v>
      </c>
      <c r="G742">
        <v>95</v>
      </c>
      <c r="H742">
        <v>3</v>
      </c>
      <c r="I742">
        <v>50</v>
      </c>
      <c r="J742">
        <v>2</v>
      </c>
      <c r="K742">
        <v>0</v>
      </c>
    </row>
    <row r="743" spans="1:11" x14ac:dyDescent="0.25">
      <c r="A743">
        <v>29</v>
      </c>
      <c r="B743">
        <v>1</v>
      </c>
      <c r="C743">
        <v>2</v>
      </c>
      <c r="D743">
        <v>1</v>
      </c>
      <c r="E743">
        <v>3</v>
      </c>
      <c r="F743">
        <v>11.915155589999999</v>
      </c>
      <c r="G743">
        <v>32</v>
      </c>
      <c r="H743">
        <v>5</v>
      </c>
      <c r="I743">
        <v>75</v>
      </c>
      <c r="J743">
        <v>2</v>
      </c>
      <c r="K743">
        <v>0</v>
      </c>
    </row>
    <row r="744" spans="1:11" x14ac:dyDescent="0.25">
      <c r="A744">
        <v>24</v>
      </c>
      <c r="B744">
        <v>1</v>
      </c>
      <c r="C744">
        <v>2</v>
      </c>
      <c r="D744">
        <v>7</v>
      </c>
      <c r="E744">
        <v>3</v>
      </c>
      <c r="F744">
        <v>3.734658729</v>
      </c>
      <c r="G744">
        <v>16</v>
      </c>
      <c r="H744">
        <v>37</v>
      </c>
      <c r="I744">
        <v>55</v>
      </c>
      <c r="J744">
        <v>1</v>
      </c>
      <c r="K744">
        <v>0</v>
      </c>
    </row>
    <row r="745" spans="1:11" x14ac:dyDescent="0.25">
      <c r="A745">
        <v>28</v>
      </c>
      <c r="B745">
        <v>0</v>
      </c>
      <c r="C745">
        <v>1</v>
      </c>
      <c r="D745">
        <v>10</v>
      </c>
      <c r="E745">
        <v>2</v>
      </c>
      <c r="F745">
        <v>1.8835022400000001</v>
      </c>
      <c r="G745">
        <v>23</v>
      </c>
      <c r="H745">
        <v>25</v>
      </c>
      <c r="I745">
        <v>26</v>
      </c>
      <c r="J745">
        <v>2</v>
      </c>
      <c r="K745">
        <v>0</v>
      </c>
    </row>
    <row r="746" spans="1:11" x14ac:dyDescent="0.25">
      <c r="A746">
        <v>43</v>
      </c>
      <c r="B746">
        <v>0</v>
      </c>
      <c r="C746">
        <v>2</v>
      </c>
      <c r="D746">
        <v>0</v>
      </c>
      <c r="E746">
        <v>4</v>
      </c>
      <c r="F746">
        <v>6.138412132</v>
      </c>
      <c r="G746">
        <v>29</v>
      </c>
      <c r="H746">
        <v>10</v>
      </c>
      <c r="I746">
        <v>37</v>
      </c>
      <c r="J746">
        <v>2</v>
      </c>
      <c r="K746">
        <v>0</v>
      </c>
    </row>
    <row r="747" spans="1:11" x14ac:dyDescent="0.25">
      <c r="A747">
        <v>22</v>
      </c>
      <c r="B747">
        <v>0</v>
      </c>
      <c r="C747">
        <v>3</v>
      </c>
      <c r="D747">
        <v>5</v>
      </c>
      <c r="E747">
        <v>4</v>
      </c>
      <c r="F747">
        <v>9.6098739710000007</v>
      </c>
      <c r="G747">
        <v>61</v>
      </c>
      <c r="H747">
        <v>89</v>
      </c>
      <c r="I747">
        <v>61</v>
      </c>
      <c r="J747">
        <v>2</v>
      </c>
      <c r="K747">
        <v>0</v>
      </c>
    </row>
    <row r="748" spans="1:11" x14ac:dyDescent="0.25">
      <c r="A748">
        <v>36</v>
      </c>
      <c r="B748">
        <v>1</v>
      </c>
      <c r="C748">
        <v>4</v>
      </c>
      <c r="D748">
        <v>12</v>
      </c>
      <c r="E748">
        <v>3</v>
      </c>
      <c r="F748">
        <v>22.54918644</v>
      </c>
      <c r="G748">
        <v>12</v>
      </c>
      <c r="H748">
        <v>16</v>
      </c>
      <c r="I748">
        <v>17</v>
      </c>
      <c r="J748">
        <v>1</v>
      </c>
      <c r="K748">
        <v>1</v>
      </c>
    </row>
    <row r="749" spans="1:11" x14ac:dyDescent="0.25">
      <c r="A749">
        <v>22</v>
      </c>
      <c r="B749">
        <v>0</v>
      </c>
      <c r="C749">
        <v>2</v>
      </c>
      <c r="D749">
        <v>15</v>
      </c>
      <c r="E749">
        <v>5</v>
      </c>
      <c r="F749">
        <v>26.52601306</v>
      </c>
      <c r="G749">
        <v>61</v>
      </c>
      <c r="H749">
        <v>87</v>
      </c>
      <c r="I749">
        <v>63</v>
      </c>
      <c r="J749">
        <v>3</v>
      </c>
      <c r="K749">
        <v>0</v>
      </c>
    </row>
    <row r="750" spans="1:11" x14ac:dyDescent="0.25">
      <c r="A750">
        <v>35</v>
      </c>
      <c r="B750">
        <v>0</v>
      </c>
      <c r="C750">
        <v>2</v>
      </c>
      <c r="D750">
        <v>5</v>
      </c>
      <c r="E750">
        <v>3</v>
      </c>
      <c r="F750">
        <v>8.0295959089999993</v>
      </c>
      <c r="G750">
        <v>46</v>
      </c>
      <c r="H750">
        <v>91</v>
      </c>
      <c r="I750">
        <v>76</v>
      </c>
      <c r="J750">
        <v>2</v>
      </c>
      <c r="K750">
        <v>0</v>
      </c>
    </row>
    <row r="751" spans="1:11" x14ac:dyDescent="0.25">
      <c r="A751">
        <v>23</v>
      </c>
      <c r="B751">
        <v>0</v>
      </c>
      <c r="C751">
        <v>2</v>
      </c>
      <c r="D751">
        <v>15</v>
      </c>
      <c r="E751">
        <v>5</v>
      </c>
      <c r="F751">
        <v>22.239167080000001</v>
      </c>
      <c r="G751">
        <v>15</v>
      </c>
      <c r="H751">
        <v>98</v>
      </c>
      <c r="I751">
        <v>29</v>
      </c>
      <c r="J751">
        <v>3</v>
      </c>
      <c r="K751">
        <v>0</v>
      </c>
    </row>
    <row r="752" spans="1:11" x14ac:dyDescent="0.25">
      <c r="A752">
        <v>37</v>
      </c>
      <c r="B752">
        <v>0</v>
      </c>
      <c r="C752">
        <v>4</v>
      </c>
      <c r="D752">
        <v>10</v>
      </c>
      <c r="E752">
        <v>5</v>
      </c>
      <c r="F752">
        <v>18.087442119999999</v>
      </c>
      <c r="G752">
        <v>65</v>
      </c>
      <c r="H752">
        <v>30</v>
      </c>
      <c r="I752">
        <v>48</v>
      </c>
      <c r="J752">
        <v>3</v>
      </c>
      <c r="K752">
        <v>0</v>
      </c>
    </row>
    <row r="753" spans="1:11" x14ac:dyDescent="0.25">
      <c r="A753">
        <v>36</v>
      </c>
      <c r="B753">
        <v>0</v>
      </c>
      <c r="C753">
        <v>2</v>
      </c>
      <c r="D753">
        <v>3</v>
      </c>
      <c r="E753">
        <v>3</v>
      </c>
      <c r="F753">
        <v>10.17118217</v>
      </c>
      <c r="G753">
        <v>80</v>
      </c>
      <c r="H753">
        <v>76</v>
      </c>
      <c r="I753">
        <v>40</v>
      </c>
      <c r="J753">
        <v>3</v>
      </c>
      <c r="K753">
        <v>0</v>
      </c>
    </row>
    <row r="754" spans="1:11" x14ac:dyDescent="0.25">
      <c r="A754">
        <v>26</v>
      </c>
      <c r="B754">
        <v>0</v>
      </c>
      <c r="C754">
        <v>2</v>
      </c>
      <c r="D754">
        <v>11</v>
      </c>
      <c r="E754">
        <v>1</v>
      </c>
      <c r="F754">
        <v>1.3420374070000001</v>
      </c>
      <c r="G754">
        <v>95</v>
      </c>
      <c r="H754">
        <v>34</v>
      </c>
      <c r="I754">
        <v>12</v>
      </c>
      <c r="J754">
        <v>1</v>
      </c>
      <c r="K754">
        <v>1</v>
      </c>
    </row>
    <row r="755" spans="1:11" x14ac:dyDescent="0.25">
      <c r="A755">
        <v>43</v>
      </c>
      <c r="B755">
        <v>1</v>
      </c>
      <c r="C755">
        <v>3</v>
      </c>
      <c r="D755">
        <v>10</v>
      </c>
      <c r="E755">
        <v>4</v>
      </c>
      <c r="F755">
        <v>24.350893330000002</v>
      </c>
      <c r="G755">
        <v>42</v>
      </c>
      <c r="H755">
        <v>15</v>
      </c>
      <c r="I755">
        <v>33</v>
      </c>
      <c r="J755">
        <v>1</v>
      </c>
      <c r="K755">
        <v>1</v>
      </c>
    </row>
    <row r="756" spans="1:11" x14ac:dyDescent="0.25">
      <c r="A756">
        <v>42</v>
      </c>
      <c r="B756">
        <v>1</v>
      </c>
      <c r="C756">
        <v>1</v>
      </c>
      <c r="D756">
        <v>12</v>
      </c>
      <c r="E756">
        <v>5</v>
      </c>
      <c r="F756">
        <v>35.282587460000002</v>
      </c>
      <c r="G756">
        <v>7</v>
      </c>
      <c r="H756">
        <v>78</v>
      </c>
      <c r="I756">
        <v>99</v>
      </c>
      <c r="J756">
        <v>2</v>
      </c>
      <c r="K756">
        <v>0</v>
      </c>
    </row>
    <row r="757" spans="1:11" x14ac:dyDescent="0.25">
      <c r="A757">
        <v>49</v>
      </c>
      <c r="B757">
        <v>0</v>
      </c>
      <c r="C757">
        <v>1</v>
      </c>
      <c r="D757">
        <v>14</v>
      </c>
      <c r="E757">
        <v>5</v>
      </c>
      <c r="F757">
        <v>12.313866709999999</v>
      </c>
      <c r="G757">
        <v>2</v>
      </c>
      <c r="H757">
        <v>17</v>
      </c>
      <c r="I757">
        <v>93</v>
      </c>
      <c r="J757">
        <v>1</v>
      </c>
      <c r="K757">
        <v>1</v>
      </c>
    </row>
    <row r="758" spans="1:11" x14ac:dyDescent="0.25">
      <c r="A758">
        <v>24</v>
      </c>
      <c r="B758">
        <v>0</v>
      </c>
      <c r="C758">
        <v>2</v>
      </c>
      <c r="D758">
        <v>10</v>
      </c>
      <c r="E758">
        <v>1</v>
      </c>
      <c r="F758">
        <v>7.5903414949999997</v>
      </c>
      <c r="G758">
        <v>11</v>
      </c>
      <c r="H758">
        <v>100</v>
      </c>
      <c r="I758">
        <v>24</v>
      </c>
      <c r="J758">
        <v>2</v>
      </c>
      <c r="K758">
        <v>0</v>
      </c>
    </row>
    <row r="759" spans="1:11" x14ac:dyDescent="0.25">
      <c r="A759">
        <v>31</v>
      </c>
      <c r="B759">
        <v>1</v>
      </c>
      <c r="C759">
        <v>4</v>
      </c>
      <c r="D759">
        <v>15</v>
      </c>
      <c r="E759">
        <v>2</v>
      </c>
      <c r="F759">
        <v>45.352137220000003</v>
      </c>
      <c r="G759">
        <v>83</v>
      </c>
      <c r="H759">
        <v>61</v>
      </c>
      <c r="I759">
        <v>65</v>
      </c>
      <c r="J759">
        <v>2</v>
      </c>
      <c r="K759">
        <v>1</v>
      </c>
    </row>
    <row r="760" spans="1:11" x14ac:dyDescent="0.25">
      <c r="A760">
        <v>36</v>
      </c>
      <c r="B760">
        <v>1</v>
      </c>
      <c r="C760">
        <v>2</v>
      </c>
      <c r="D760">
        <v>12</v>
      </c>
      <c r="E760">
        <v>1</v>
      </c>
      <c r="F760">
        <v>14.751238620000001</v>
      </c>
      <c r="G760">
        <v>15</v>
      </c>
      <c r="H760">
        <v>26</v>
      </c>
      <c r="I760">
        <v>99</v>
      </c>
      <c r="J760">
        <v>2</v>
      </c>
      <c r="K760">
        <v>0</v>
      </c>
    </row>
    <row r="761" spans="1:11" x14ac:dyDescent="0.25">
      <c r="A761">
        <v>42</v>
      </c>
      <c r="B761">
        <v>0</v>
      </c>
      <c r="C761">
        <v>2</v>
      </c>
      <c r="D761">
        <v>9</v>
      </c>
      <c r="E761">
        <v>1</v>
      </c>
      <c r="F761">
        <v>12.180630989999999</v>
      </c>
      <c r="G761">
        <v>77</v>
      </c>
      <c r="H761">
        <v>34</v>
      </c>
      <c r="I761">
        <v>17</v>
      </c>
      <c r="J761">
        <v>1</v>
      </c>
      <c r="K761">
        <v>1</v>
      </c>
    </row>
    <row r="762" spans="1:11" x14ac:dyDescent="0.25">
      <c r="A762">
        <v>32</v>
      </c>
      <c r="B762">
        <v>0</v>
      </c>
      <c r="C762">
        <v>2</v>
      </c>
      <c r="D762">
        <v>2</v>
      </c>
      <c r="E762">
        <v>5</v>
      </c>
      <c r="F762">
        <v>43.854846979999998</v>
      </c>
      <c r="G762">
        <v>79</v>
      </c>
      <c r="H762">
        <v>44</v>
      </c>
      <c r="I762">
        <v>4</v>
      </c>
      <c r="J762">
        <v>3</v>
      </c>
      <c r="K762">
        <v>0</v>
      </c>
    </row>
    <row r="763" spans="1:11" x14ac:dyDescent="0.25">
      <c r="A763">
        <v>42</v>
      </c>
      <c r="B763">
        <v>0</v>
      </c>
      <c r="C763">
        <v>2</v>
      </c>
      <c r="D763">
        <v>12</v>
      </c>
      <c r="E763">
        <v>4</v>
      </c>
      <c r="F763">
        <v>41.85535496</v>
      </c>
      <c r="G763">
        <v>58</v>
      </c>
      <c r="H763">
        <v>34</v>
      </c>
      <c r="I763">
        <v>18</v>
      </c>
      <c r="J763">
        <v>1</v>
      </c>
      <c r="K763">
        <v>0</v>
      </c>
    </row>
    <row r="764" spans="1:11" x14ac:dyDescent="0.25">
      <c r="A764">
        <v>44</v>
      </c>
      <c r="B764">
        <v>0</v>
      </c>
      <c r="C764">
        <v>2</v>
      </c>
      <c r="D764">
        <v>10</v>
      </c>
      <c r="E764">
        <v>1</v>
      </c>
      <c r="F764">
        <v>23.417323530000001</v>
      </c>
      <c r="G764">
        <v>48</v>
      </c>
      <c r="H764">
        <v>27</v>
      </c>
      <c r="I764">
        <v>41</v>
      </c>
      <c r="J764">
        <v>2</v>
      </c>
      <c r="K764">
        <v>0</v>
      </c>
    </row>
    <row r="765" spans="1:11" x14ac:dyDescent="0.25">
      <c r="A765">
        <v>22</v>
      </c>
      <c r="B765">
        <v>1</v>
      </c>
      <c r="C765">
        <v>2</v>
      </c>
      <c r="D765">
        <v>2</v>
      </c>
      <c r="E765">
        <v>2</v>
      </c>
      <c r="F765">
        <v>25.46194307</v>
      </c>
      <c r="G765">
        <v>62</v>
      </c>
      <c r="H765">
        <v>8</v>
      </c>
      <c r="I765">
        <v>17</v>
      </c>
      <c r="J765">
        <v>2</v>
      </c>
      <c r="K765">
        <v>0</v>
      </c>
    </row>
    <row r="766" spans="1:11" x14ac:dyDescent="0.25">
      <c r="A766">
        <v>28</v>
      </c>
      <c r="B766">
        <v>0</v>
      </c>
      <c r="C766">
        <v>2</v>
      </c>
      <c r="D766">
        <v>14</v>
      </c>
      <c r="E766">
        <v>3</v>
      </c>
      <c r="F766">
        <v>11.88743524</v>
      </c>
      <c r="G766">
        <v>61</v>
      </c>
      <c r="H766">
        <v>75</v>
      </c>
      <c r="I766">
        <v>31</v>
      </c>
      <c r="J766">
        <v>2</v>
      </c>
      <c r="K766">
        <v>0</v>
      </c>
    </row>
    <row r="767" spans="1:11" x14ac:dyDescent="0.25">
      <c r="A767">
        <v>49</v>
      </c>
      <c r="B767">
        <v>0</v>
      </c>
      <c r="C767">
        <v>2</v>
      </c>
      <c r="D767">
        <v>14</v>
      </c>
      <c r="E767">
        <v>1</v>
      </c>
      <c r="F767">
        <v>4.9150835239999999</v>
      </c>
      <c r="G767">
        <v>48</v>
      </c>
      <c r="H767">
        <v>14</v>
      </c>
      <c r="I767">
        <v>20</v>
      </c>
      <c r="J767">
        <v>2</v>
      </c>
      <c r="K767">
        <v>0</v>
      </c>
    </row>
    <row r="768" spans="1:11" x14ac:dyDescent="0.25">
      <c r="A768">
        <v>36</v>
      </c>
      <c r="B768">
        <v>0</v>
      </c>
      <c r="C768">
        <v>2</v>
      </c>
      <c r="D768">
        <v>15</v>
      </c>
      <c r="E768">
        <v>1</v>
      </c>
      <c r="F768">
        <v>29.67159127</v>
      </c>
      <c r="G768">
        <v>50</v>
      </c>
      <c r="H768">
        <v>20</v>
      </c>
      <c r="I768">
        <v>9</v>
      </c>
      <c r="J768">
        <v>1</v>
      </c>
      <c r="K768">
        <v>0</v>
      </c>
    </row>
    <row r="769" spans="1:11" x14ac:dyDescent="0.25">
      <c r="A769">
        <v>36</v>
      </c>
      <c r="B769">
        <v>0</v>
      </c>
      <c r="C769">
        <v>2</v>
      </c>
      <c r="D769">
        <v>12</v>
      </c>
      <c r="E769">
        <v>2</v>
      </c>
      <c r="F769">
        <v>5.91724608</v>
      </c>
      <c r="G769">
        <v>32</v>
      </c>
      <c r="H769">
        <v>51</v>
      </c>
      <c r="I769">
        <v>36</v>
      </c>
      <c r="J769">
        <v>2</v>
      </c>
      <c r="K769">
        <v>0</v>
      </c>
    </row>
    <row r="770" spans="1:11" x14ac:dyDescent="0.25">
      <c r="A770">
        <v>49</v>
      </c>
      <c r="B770">
        <v>1</v>
      </c>
      <c r="C770">
        <v>3</v>
      </c>
      <c r="D770">
        <v>12</v>
      </c>
      <c r="E770">
        <v>4</v>
      </c>
      <c r="F770">
        <v>23.463727349999999</v>
      </c>
      <c r="G770">
        <v>29</v>
      </c>
      <c r="H770">
        <v>34</v>
      </c>
      <c r="I770">
        <v>48</v>
      </c>
      <c r="J770">
        <v>1</v>
      </c>
      <c r="K770">
        <v>1</v>
      </c>
    </row>
    <row r="771" spans="1:11" x14ac:dyDescent="0.25">
      <c r="A771">
        <v>39</v>
      </c>
      <c r="B771">
        <v>1</v>
      </c>
      <c r="C771">
        <v>1</v>
      </c>
      <c r="D771">
        <v>0</v>
      </c>
      <c r="E771">
        <v>1</v>
      </c>
      <c r="F771">
        <v>48.024859929999998</v>
      </c>
      <c r="G771">
        <v>58</v>
      </c>
      <c r="H771">
        <v>96</v>
      </c>
      <c r="I771">
        <v>85</v>
      </c>
      <c r="J771">
        <v>1</v>
      </c>
      <c r="K771">
        <v>1</v>
      </c>
    </row>
    <row r="772" spans="1:11" x14ac:dyDescent="0.25">
      <c r="A772">
        <v>35</v>
      </c>
      <c r="B772">
        <v>1</v>
      </c>
      <c r="C772">
        <v>3</v>
      </c>
      <c r="D772">
        <v>2</v>
      </c>
      <c r="E772">
        <v>1</v>
      </c>
      <c r="F772">
        <v>48.641719459999997</v>
      </c>
      <c r="G772">
        <v>75</v>
      </c>
      <c r="H772">
        <v>50</v>
      </c>
      <c r="I772">
        <v>12</v>
      </c>
      <c r="J772">
        <v>2</v>
      </c>
      <c r="K772">
        <v>0</v>
      </c>
    </row>
    <row r="773" spans="1:11" x14ac:dyDescent="0.25">
      <c r="A773">
        <v>44</v>
      </c>
      <c r="B773">
        <v>0</v>
      </c>
      <c r="C773">
        <v>3</v>
      </c>
      <c r="D773">
        <v>3</v>
      </c>
      <c r="E773">
        <v>4</v>
      </c>
      <c r="F773">
        <v>12.966614330000001</v>
      </c>
      <c r="G773">
        <v>14</v>
      </c>
      <c r="H773">
        <v>82</v>
      </c>
      <c r="I773">
        <v>54</v>
      </c>
      <c r="J773">
        <v>2</v>
      </c>
      <c r="K773">
        <v>0</v>
      </c>
    </row>
    <row r="774" spans="1:11" x14ac:dyDescent="0.25">
      <c r="A774">
        <v>41</v>
      </c>
      <c r="B774">
        <v>0</v>
      </c>
      <c r="C774">
        <v>2</v>
      </c>
      <c r="D774">
        <v>10</v>
      </c>
      <c r="E774">
        <v>2</v>
      </c>
      <c r="F774">
        <v>32.205671000000002</v>
      </c>
      <c r="G774">
        <v>81</v>
      </c>
      <c r="H774">
        <v>54</v>
      </c>
      <c r="I774">
        <v>16</v>
      </c>
      <c r="J774">
        <v>2</v>
      </c>
      <c r="K774">
        <v>0</v>
      </c>
    </row>
    <row r="775" spans="1:11" x14ac:dyDescent="0.25">
      <c r="A775">
        <v>32</v>
      </c>
      <c r="B775">
        <v>1</v>
      </c>
      <c r="C775">
        <v>2</v>
      </c>
      <c r="D775">
        <v>10</v>
      </c>
      <c r="E775">
        <v>1</v>
      </c>
      <c r="F775">
        <v>24.70381321</v>
      </c>
      <c r="G775">
        <v>91</v>
      </c>
      <c r="H775">
        <v>86</v>
      </c>
      <c r="I775">
        <v>8</v>
      </c>
      <c r="J775">
        <v>2</v>
      </c>
      <c r="K775">
        <v>0</v>
      </c>
    </row>
    <row r="776" spans="1:11" x14ac:dyDescent="0.25">
      <c r="A776">
        <v>46</v>
      </c>
      <c r="B776">
        <v>0</v>
      </c>
      <c r="C776">
        <v>2</v>
      </c>
      <c r="D776">
        <v>4</v>
      </c>
      <c r="E776">
        <v>4</v>
      </c>
      <c r="F776">
        <v>44.784256380000002</v>
      </c>
      <c r="G776">
        <v>22</v>
      </c>
      <c r="H776">
        <v>76</v>
      </c>
      <c r="I776">
        <v>87</v>
      </c>
      <c r="J776">
        <v>3</v>
      </c>
      <c r="K776">
        <v>0</v>
      </c>
    </row>
    <row r="777" spans="1:11" x14ac:dyDescent="0.25">
      <c r="A777">
        <v>38</v>
      </c>
      <c r="B777">
        <v>0</v>
      </c>
      <c r="C777">
        <v>2</v>
      </c>
      <c r="D777">
        <v>2</v>
      </c>
      <c r="E777">
        <v>1</v>
      </c>
      <c r="F777">
        <v>14.57154321</v>
      </c>
      <c r="G777">
        <v>77</v>
      </c>
      <c r="H777">
        <v>43</v>
      </c>
      <c r="I777">
        <v>43</v>
      </c>
      <c r="J777">
        <v>3</v>
      </c>
      <c r="K777">
        <v>0</v>
      </c>
    </row>
    <row r="778" spans="1:11" x14ac:dyDescent="0.25">
      <c r="A778">
        <v>36</v>
      </c>
      <c r="B778">
        <v>1</v>
      </c>
      <c r="C778">
        <v>2</v>
      </c>
      <c r="D778">
        <v>5</v>
      </c>
      <c r="E778">
        <v>3</v>
      </c>
      <c r="F778">
        <v>1.185120342</v>
      </c>
      <c r="G778">
        <v>93</v>
      </c>
      <c r="H778">
        <v>64</v>
      </c>
      <c r="I778">
        <v>77</v>
      </c>
      <c r="J778">
        <v>2</v>
      </c>
      <c r="K778">
        <v>0</v>
      </c>
    </row>
    <row r="779" spans="1:11" x14ac:dyDescent="0.25">
      <c r="A779">
        <v>23</v>
      </c>
      <c r="B779">
        <v>1</v>
      </c>
      <c r="C779">
        <v>1</v>
      </c>
      <c r="D779">
        <v>10</v>
      </c>
      <c r="E779">
        <v>5</v>
      </c>
      <c r="F779">
        <v>9.1280602969999993</v>
      </c>
      <c r="G779">
        <v>96</v>
      </c>
      <c r="H779">
        <v>92</v>
      </c>
      <c r="I779">
        <v>45</v>
      </c>
      <c r="J779">
        <v>1</v>
      </c>
      <c r="K779">
        <v>1</v>
      </c>
    </row>
    <row r="780" spans="1:11" x14ac:dyDescent="0.25">
      <c r="A780">
        <v>31</v>
      </c>
      <c r="B780">
        <v>1</v>
      </c>
      <c r="C780">
        <v>2</v>
      </c>
      <c r="D780">
        <v>13</v>
      </c>
      <c r="E780">
        <v>3</v>
      </c>
      <c r="F780">
        <v>18.476140059999999</v>
      </c>
      <c r="G780">
        <v>44</v>
      </c>
      <c r="H780">
        <v>87</v>
      </c>
      <c r="I780">
        <v>7</v>
      </c>
      <c r="J780">
        <v>2</v>
      </c>
      <c r="K780">
        <v>0</v>
      </c>
    </row>
    <row r="781" spans="1:11" x14ac:dyDescent="0.25">
      <c r="A781">
        <v>48</v>
      </c>
      <c r="B781">
        <v>1</v>
      </c>
      <c r="C781">
        <v>3</v>
      </c>
      <c r="D781">
        <v>14</v>
      </c>
      <c r="E781">
        <v>1</v>
      </c>
      <c r="F781">
        <v>16.78605649</v>
      </c>
      <c r="G781">
        <v>61</v>
      </c>
      <c r="H781">
        <v>79</v>
      </c>
      <c r="I781">
        <v>36</v>
      </c>
      <c r="J781">
        <v>1</v>
      </c>
      <c r="K781">
        <v>1</v>
      </c>
    </row>
    <row r="782" spans="1:11" x14ac:dyDescent="0.25">
      <c r="A782">
        <v>28</v>
      </c>
      <c r="B782">
        <v>0</v>
      </c>
      <c r="C782">
        <v>2</v>
      </c>
      <c r="D782">
        <v>11</v>
      </c>
      <c r="E782">
        <v>2</v>
      </c>
      <c r="F782">
        <v>40.568145960000003</v>
      </c>
      <c r="G782">
        <v>78</v>
      </c>
      <c r="H782">
        <v>24</v>
      </c>
      <c r="I782">
        <v>18</v>
      </c>
      <c r="J782">
        <v>2</v>
      </c>
      <c r="K782">
        <v>0</v>
      </c>
    </row>
    <row r="783" spans="1:11" x14ac:dyDescent="0.25">
      <c r="A783">
        <v>38</v>
      </c>
      <c r="B783">
        <v>0</v>
      </c>
      <c r="C783">
        <v>3</v>
      </c>
      <c r="D783">
        <v>15</v>
      </c>
      <c r="E783">
        <v>5</v>
      </c>
      <c r="F783">
        <v>35.028033309999998</v>
      </c>
      <c r="G783">
        <v>70</v>
      </c>
      <c r="H783">
        <v>86</v>
      </c>
      <c r="I783">
        <v>62</v>
      </c>
      <c r="J783">
        <v>2</v>
      </c>
      <c r="K783">
        <v>1</v>
      </c>
    </row>
    <row r="784" spans="1:11" x14ac:dyDescent="0.25">
      <c r="A784">
        <v>31</v>
      </c>
      <c r="B784">
        <v>1</v>
      </c>
      <c r="C784">
        <v>2</v>
      </c>
      <c r="D784">
        <v>4</v>
      </c>
      <c r="E784">
        <v>3</v>
      </c>
      <c r="F784">
        <v>15.977815980000001</v>
      </c>
      <c r="G784">
        <v>14</v>
      </c>
      <c r="H784">
        <v>91</v>
      </c>
      <c r="I784">
        <v>91</v>
      </c>
      <c r="J784">
        <v>2</v>
      </c>
      <c r="K784">
        <v>0</v>
      </c>
    </row>
    <row r="785" spans="1:11" x14ac:dyDescent="0.25">
      <c r="A785">
        <v>28</v>
      </c>
      <c r="B785">
        <v>0</v>
      </c>
      <c r="C785">
        <v>3</v>
      </c>
      <c r="D785">
        <v>2</v>
      </c>
      <c r="E785">
        <v>4</v>
      </c>
      <c r="F785">
        <v>23.88719086</v>
      </c>
      <c r="G785">
        <v>45</v>
      </c>
      <c r="H785">
        <v>46</v>
      </c>
      <c r="I785">
        <v>45</v>
      </c>
      <c r="J785">
        <v>2</v>
      </c>
      <c r="K785">
        <v>0</v>
      </c>
    </row>
    <row r="786" spans="1:11" x14ac:dyDescent="0.25">
      <c r="A786">
        <v>26</v>
      </c>
      <c r="B786">
        <v>1</v>
      </c>
      <c r="C786">
        <v>2</v>
      </c>
      <c r="D786">
        <v>5</v>
      </c>
      <c r="E786">
        <v>2</v>
      </c>
      <c r="F786">
        <v>5.7779551979999999</v>
      </c>
      <c r="G786">
        <v>63</v>
      </c>
      <c r="H786">
        <v>79</v>
      </c>
      <c r="I786">
        <v>93</v>
      </c>
      <c r="J786">
        <v>1</v>
      </c>
      <c r="K786">
        <v>1</v>
      </c>
    </row>
    <row r="787" spans="1:11" x14ac:dyDescent="0.25">
      <c r="A787">
        <v>47</v>
      </c>
      <c r="B787">
        <v>1</v>
      </c>
      <c r="C787">
        <v>1</v>
      </c>
      <c r="D787">
        <v>5</v>
      </c>
      <c r="E787">
        <v>3</v>
      </c>
      <c r="F787">
        <v>45.907322239999999</v>
      </c>
      <c r="G787">
        <v>45</v>
      </c>
      <c r="H787">
        <v>55</v>
      </c>
      <c r="I787">
        <v>70</v>
      </c>
      <c r="J787">
        <v>2</v>
      </c>
      <c r="K787">
        <v>0</v>
      </c>
    </row>
    <row r="788" spans="1:11" x14ac:dyDescent="0.25">
      <c r="A788">
        <v>33</v>
      </c>
      <c r="B788">
        <v>0</v>
      </c>
      <c r="C788">
        <v>2</v>
      </c>
      <c r="D788">
        <v>14</v>
      </c>
      <c r="E788">
        <v>4</v>
      </c>
      <c r="F788">
        <v>47.77124122</v>
      </c>
      <c r="G788">
        <v>55</v>
      </c>
      <c r="H788">
        <v>37</v>
      </c>
      <c r="I788">
        <v>25</v>
      </c>
      <c r="J788">
        <v>2</v>
      </c>
      <c r="K788">
        <v>0</v>
      </c>
    </row>
    <row r="789" spans="1:11" x14ac:dyDescent="0.25">
      <c r="A789">
        <v>50</v>
      </c>
      <c r="B789">
        <v>1</v>
      </c>
      <c r="C789">
        <v>1</v>
      </c>
      <c r="D789">
        <v>13</v>
      </c>
      <c r="E789">
        <v>1</v>
      </c>
      <c r="F789">
        <v>49.990176769999998</v>
      </c>
      <c r="G789">
        <v>43</v>
      </c>
      <c r="H789">
        <v>10</v>
      </c>
      <c r="I789">
        <v>45</v>
      </c>
      <c r="J789">
        <v>2</v>
      </c>
      <c r="K789">
        <v>0</v>
      </c>
    </row>
    <row r="790" spans="1:11" x14ac:dyDescent="0.25">
      <c r="A790">
        <v>39</v>
      </c>
      <c r="B790">
        <v>0</v>
      </c>
      <c r="C790">
        <v>2</v>
      </c>
      <c r="D790">
        <v>7</v>
      </c>
      <c r="E790">
        <v>4</v>
      </c>
      <c r="F790">
        <v>44.427641540000003</v>
      </c>
      <c r="G790">
        <v>74</v>
      </c>
      <c r="H790">
        <v>66</v>
      </c>
      <c r="I790">
        <v>45</v>
      </c>
      <c r="J790">
        <v>2</v>
      </c>
      <c r="K790">
        <v>0</v>
      </c>
    </row>
    <row r="791" spans="1:11" x14ac:dyDescent="0.25">
      <c r="A791">
        <v>38</v>
      </c>
      <c r="B791">
        <v>0</v>
      </c>
      <c r="C791">
        <v>4</v>
      </c>
      <c r="D791">
        <v>1</v>
      </c>
      <c r="E791">
        <v>3</v>
      </c>
      <c r="F791">
        <v>9.6980443849999993</v>
      </c>
      <c r="G791">
        <v>28</v>
      </c>
      <c r="H791">
        <v>14</v>
      </c>
      <c r="I791">
        <v>74</v>
      </c>
      <c r="J791">
        <v>2</v>
      </c>
      <c r="K791">
        <v>0</v>
      </c>
    </row>
    <row r="792" spans="1:11" x14ac:dyDescent="0.25">
      <c r="A792">
        <v>45</v>
      </c>
      <c r="B792">
        <v>0</v>
      </c>
      <c r="C792">
        <v>1</v>
      </c>
      <c r="D792">
        <v>0</v>
      </c>
      <c r="E792">
        <v>3</v>
      </c>
      <c r="F792">
        <v>3.3098241599999998</v>
      </c>
      <c r="G792">
        <v>94</v>
      </c>
      <c r="H792">
        <v>0</v>
      </c>
      <c r="I792">
        <v>13</v>
      </c>
      <c r="J792">
        <v>2</v>
      </c>
      <c r="K792">
        <v>0</v>
      </c>
    </row>
    <row r="793" spans="1:11" x14ac:dyDescent="0.25">
      <c r="A793">
        <v>34</v>
      </c>
      <c r="B793">
        <v>0</v>
      </c>
      <c r="C793">
        <v>2</v>
      </c>
      <c r="D793">
        <v>15</v>
      </c>
      <c r="E793">
        <v>1</v>
      </c>
      <c r="F793">
        <v>29.979836370000001</v>
      </c>
      <c r="G793">
        <v>61</v>
      </c>
      <c r="H793">
        <v>6</v>
      </c>
      <c r="I793">
        <v>84</v>
      </c>
      <c r="J793">
        <v>2</v>
      </c>
      <c r="K793">
        <v>0</v>
      </c>
    </row>
    <row r="794" spans="1:11" x14ac:dyDescent="0.25">
      <c r="A794">
        <v>35</v>
      </c>
      <c r="B794">
        <v>1</v>
      </c>
      <c r="C794">
        <v>3</v>
      </c>
      <c r="D794">
        <v>3</v>
      </c>
      <c r="E794">
        <v>4</v>
      </c>
      <c r="F794">
        <v>46.630251340000001</v>
      </c>
      <c r="G794">
        <v>88</v>
      </c>
      <c r="H794">
        <v>0</v>
      </c>
      <c r="I794">
        <v>62</v>
      </c>
      <c r="J794">
        <v>1</v>
      </c>
      <c r="K794">
        <v>1</v>
      </c>
    </row>
    <row r="795" spans="1:11" x14ac:dyDescent="0.25">
      <c r="A795">
        <v>40</v>
      </c>
      <c r="B795">
        <v>0</v>
      </c>
      <c r="C795">
        <v>3</v>
      </c>
      <c r="D795">
        <v>15</v>
      </c>
      <c r="E795">
        <v>4</v>
      </c>
      <c r="F795">
        <v>9.8675680830000001</v>
      </c>
      <c r="G795">
        <v>51</v>
      </c>
      <c r="H795">
        <v>48</v>
      </c>
      <c r="I795">
        <v>71</v>
      </c>
      <c r="J795">
        <v>1</v>
      </c>
      <c r="K795">
        <v>1</v>
      </c>
    </row>
    <row r="796" spans="1:11" x14ac:dyDescent="0.25">
      <c r="A796">
        <v>24</v>
      </c>
      <c r="B796">
        <v>1</v>
      </c>
      <c r="C796">
        <v>2</v>
      </c>
      <c r="D796">
        <v>6</v>
      </c>
      <c r="E796">
        <v>1</v>
      </c>
      <c r="F796">
        <v>1.352145731</v>
      </c>
      <c r="G796">
        <v>53</v>
      </c>
      <c r="H796">
        <v>95</v>
      </c>
      <c r="I796">
        <v>2</v>
      </c>
      <c r="J796">
        <v>2</v>
      </c>
      <c r="K796">
        <v>0</v>
      </c>
    </row>
    <row r="797" spans="1:11" x14ac:dyDescent="0.25">
      <c r="A797">
        <v>22</v>
      </c>
      <c r="B797">
        <v>1</v>
      </c>
      <c r="C797">
        <v>2</v>
      </c>
      <c r="D797">
        <v>14</v>
      </c>
      <c r="E797">
        <v>4</v>
      </c>
      <c r="F797">
        <v>41.274802299999998</v>
      </c>
      <c r="G797">
        <v>87</v>
      </c>
      <c r="H797">
        <v>72</v>
      </c>
      <c r="I797">
        <v>27</v>
      </c>
      <c r="J797">
        <v>1</v>
      </c>
      <c r="K797">
        <v>1</v>
      </c>
    </row>
    <row r="798" spans="1:11" x14ac:dyDescent="0.25">
      <c r="A798">
        <v>31</v>
      </c>
      <c r="B798">
        <v>1</v>
      </c>
      <c r="C798">
        <v>2</v>
      </c>
      <c r="D798">
        <v>15</v>
      </c>
      <c r="E798">
        <v>1</v>
      </c>
      <c r="F798">
        <v>4.8397842139999998</v>
      </c>
      <c r="G798">
        <v>56</v>
      </c>
      <c r="H798">
        <v>28</v>
      </c>
      <c r="I798">
        <v>28</v>
      </c>
      <c r="J798">
        <v>2</v>
      </c>
      <c r="K798">
        <v>0</v>
      </c>
    </row>
    <row r="799" spans="1:11" x14ac:dyDescent="0.25">
      <c r="A799">
        <v>44</v>
      </c>
      <c r="B799">
        <v>1</v>
      </c>
      <c r="C799">
        <v>2</v>
      </c>
      <c r="D799">
        <v>10</v>
      </c>
      <c r="E799">
        <v>2</v>
      </c>
      <c r="F799">
        <v>21.685301599999999</v>
      </c>
      <c r="G799">
        <v>82</v>
      </c>
      <c r="H799">
        <v>25</v>
      </c>
      <c r="I799">
        <v>86</v>
      </c>
      <c r="J799">
        <v>2</v>
      </c>
      <c r="K799">
        <v>0</v>
      </c>
    </row>
    <row r="800" spans="1:11" x14ac:dyDescent="0.25">
      <c r="A800">
        <v>39</v>
      </c>
      <c r="B800">
        <v>0</v>
      </c>
      <c r="C800">
        <v>3</v>
      </c>
      <c r="D800">
        <v>9</v>
      </c>
      <c r="E800">
        <v>3</v>
      </c>
      <c r="F800">
        <v>34.944366860000002</v>
      </c>
      <c r="G800">
        <v>65</v>
      </c>
      <c r="H800">
        <v>86</v>
      </c>
      <c r="I800">
        <v>17</v>
      </c>
      <c r="J800">
        <v>3</v>
      </c>
      <c r="K800">
        <v>0</v>
      </c>
    </row>
    <row r="801" spans="1:11" x14ac:dyDescent="0.25">
      <c r="A801">
        <v>46</v>
      </c>
      <c r="B801">
        <v>0</v>
      </c>
      <c r="C801">
        <v>4</v>
      </c>
      <c r="D801">
        <v>2</v>
      </c>
      <c r="E801">
        <v>2</v>
      </c>
      <c r="F801">
        <v>12.839879270000001</v>
      </c>
      <c r="G801">
        <v>21</v>
      </c>
      <c r="H801">
        <v>44</v>
      </c>
      <c r="I801">
        <v>34</v>
      </c>
      <c r="J801">
        <v>3</v>
      </c>
      <c r="K801">
        <v>0</v>
      </c>
    </row>
    <row r="802" spans="1:11" x14ac:dyDescent="0.25">
      <c r="A802">
        <v>40</v>
      </c>
      <c r="B802">
        <v>1</v>
      </c>
      <c r="C802">
        <v>3</v>
      </c>
      <c r="D802">
        <v>2</v>
      </c>
      <c r="E802">
        <v>5</v>
      </c>
      <c r="F802">
        <v>5.1981281719999997</v>
      </c>
      <c r="G802">
        <v>19</v>
      </c>
      <c r="H802">
        <v>92</v>
      </c>
      <c r="I802">
        <v>76</v>
      </c>
      <c r="J802">
        <v>1</v>
      </c>
      <c r="K802">
        <v>1</v>
      </c>
    </row>
    <row r="803" spans="1:11" x14ac:dyDescent="0.25">
      <c r="A803">
        <v>23</v>
      </c>
      <c r="B803">
        <v>1</v>
      </c>
      <c r="C803">
        <v>3</v>
      </c>
      <c r="D803">
        <v>15</v>
      </c>
      <c r="E803">
        <v>5</v>
      </c>
      <c r="F803">
        <v>39.501061419999999</v>
      </c>
      <c r="G803">
        <v>32</v>
      </c>
      <c r="H803">
        <v>96</v>
      </c>
      <c r="I803">
        <v>75</v>
      </c>
      <c r="J803">
        <v>3</v>
      </c>
      <c r="K803">
        <v>1</v>
      </c>
    </row>
    <row r="804" spans="1:11" x14ac:dyDescent="0.25">
      <c r="A804">
        <v>40</v>
      </c>
      <c r="B804">
        <v>0</v>
      </c>
      <c r="C804">
        <v>1</v>
      </c>
      <c r="D804">
        <v>4</v>
      </c>
      <c r="E804">
        <v>5</v>
      </c>
      <c r="F804">
        <v>32.508754240000002</v>
      </c>
      <c r="G804">
        <v>71</v>
      </c>
      <c r="H804">
        <v>70</v>
      </c>
      <c r="I804">
        <v>46</v>
      </c>
      <c r="J804">
        <v>2</v>
      </c>
      <c r="K804">
        <v>0</v>
      </c>
    </row>
    <row r="805" spans="1:11" x14ac:dyDescent="0.25">
      <c r="A805">
        <v>42</v>
      </c>
      <c r="B805">
        <v>1</v>
      </c>
      <c r="C805">
        <v>3</v>
      </c>
      <c r="D805">
        <v>4</v>
      </c>
      <c r="E805">
        <v>1</v>
      </c>
      <c r="F805">
        <v>50.424524220000002</v>
      </c>
      <c r="G805">
        <v>24</v>
      </c>
      <c r="H805">
        <v>11</v>
      </c>
      <c r="I805">
        <v>4</v>
      </c>
      <c r="J805">
        <v>2</v>
      </c>
      <c r="K805">
        <v>0</v>
      </c>
    </row>
    <row r="806" spans="1:11" x14ac:dyDescent="0.25">
      <c r="A806">
        <v>35</v>
      </c>
      <c r="B806">
        <v>0</v>
      </c>
      <c r="C806">
        <v>3</v>
      </c>
      <c r="D806">
        <v>12</v>
      </c>
      <c r="E806">
        <v>4</v>
      </c>
      <c r="F806">
        <v>18.215401669999999</v>
      </c>
      <c r="G806">
        <v>45</v>
      </c>
      <c r="H806">
        <v>94</v>
      </c>
      <c r="I806">
        <v>74</v>
      </c>
      <c r="J806">
        <v>1</v>
      </c>
      <c r="K806">
        <v>1</v>
      </c>
    </row>
    <row r="807" spans="1:11" x14ac:dyDescent="0.25">
      <c r="A807">
        <v>44</v>
      </c>
      <c r="B807">
        <v>1</v>
      </c>
      <c r="C807">
        <v>1</v>
      </c>
      <c r="D807">
        <v>9</v>
      </c>
      <c r="E807">
        <v>2</v>
      </c>
      <c r="F807">
        <v>4.0881193150000001</v>
      </c>
      <c r="G807">
        <v>72</v>
      </c>
      <c r="H807">
        <v>31</v>
      </c>
      <c r="I807">
        <v>58</v>
      </c>
      <c r="J807">
        <v>3</v>
      </c>
      <c r="K807">
        <v>0</v>
      </c>
    </row>
    <row r="808" spans="1:11" x14ac:dyDescent="0.25">
      <c r="A808">
        <v>26</v>
      </c>
      <c r="B808">
        <v>0</v>
      </c>
      <c r="C808">
        <v>3</v>
      </c>
      <c r="D808">
        <v>2</v>
      </c>
      <c r="E808">
        <v>2</v>
      </c>
      <c r="F808">
        <v>37.717501769999998</v>
      </c>
      <c r="G808">
        <v>97</v>
      </c>
      <c r="H808">
        <v>19</v>
      </c>
      <c r="I808">
        <v>74</v>
      </c>
      <c r="J808">
        <v>1</v>
      </c>
      <c r="K808">
        <v>1</v>
      </c>
    </row>
    <row r="809" spans="1:11" x14ac:dyDescent="0.25">
      <c r="A809">
        <v>32</v>
      </c>
      <c r="B809">
        <v>1</v>
      </c>
      <c r="C809">
        <v>2</v>
      </c>
      <c r="D809">
        <v>8</v>
      </c>
      <c r="E809">
        <v>2</v>
      </c>
      <c r="F809">
        <v>27.086670940000001</v>
      </c>
      <c r="G809">
        <v>56</v>
      </c>
      <c r="H809">
        <v>50</v>
      </c>
      <c r="I809">
        <v>58</v>
      </c>
      <c r="J809">
        <v>3</v>
      </c>
      <c r="K809">
        <v>0</v>
      </c>
    </row>
    <row r="810" spans="1:11" x14ac:dyDescent="0.25">
      <c r="A810">
        <v>40</v>
      </c>
      <c r="B810">
        <v>1</v>
      </c>
      <c r="C810">
        <v>2</v>
      </c>
      <c r="D810">
        <v>3</v>
      </c>
      <c r="E810">
        <v>2</v>
      </c>
      <c r="F810">
        <v>11.66019657</v>
      </c>
      <c r="G810">
        <v>86</v>
      </c>
      <c r="H810">
        <v>80</v>
      </c>
      <c r="I810">
        <v>46</v>
      </c>
      <c r="J810">
        <v>1</v>
      </c>
      <c r="K810">
        <v>1</v>
      </c>
    </row>
    <row r="811" spans="1:11" x14ac:dyDescent="0.25">
      <c r="A811">
        <v>29</v>
      </c>
      <c r="B811">
        <v>0</v>
      </c>
      <c r="C811">
        <v>3</v>
      </c>
      <c r="D811">
        <v>12</v>
      </c>
      <c r="E811">
        <v>5</v>
      </c>
      <c r="F811">
        <v>40.086449450000003</v>
      </c>
      <c r="G811">
        <v>4</v>
      </c>
      <c r="H811">
        <v>35</v>
      </c>
      <c r="I811">
        <v>94</v>
      </c>
      <c r="J811">
        <v>2</v>
      </c>
      <c r="K811">
        <v>0</v>
      </c>
    </row>
    <row r="812" spans="1:11" x14ac:dyDescent="0.25">
      <c r="A812">
        <v>45</v>
      </c>
      <c r="B812">
        <v>1</v>
      </c>
      <c r="C812">
        <v>2</v>
      </c>
      <c r="D812">
        <v>12</v>
      </c>
      <c r="E812">
        <v>2</v>
      </c>
      <c r="F812">
        <v>11.18777429</v>
      </c>
      <c r="G812">
        <v>54</v>
      </c>
      <c r="H812">
        <v>66</v>
      </c>
      <c r="I812">
        <v>94</v>
      </c>
      <c r="J812">
        <v>2</v>
      </c>
      <c r="K812">
        <v>0</v>
      </c>
    </row>
    <row r="813" spans="1:11" x14ac:dyDescent="0.25">
      <c r="A813">
        <v>26</v>
      </c>
      <c r="B813">
        <v>1</v>
      </c>
      <c r="C813">
        <v>1</v>
      </c>
      <c r="D813">
        <v>14</v>
      </c>
      <c r="E813">
        <v>4</v>
      </c>
      <c r="F813">
        <v>14.033082739999999</v>
      </c>
      <c r="G813">
        <v>60</v>
      </c>
      <c r="H813">
        <v>0</v>
      </c>
      <c r="I813">
        <v>12</v>
      </c>
      <c r="J813">
        <v>1</v>
      </c>
      <c r="K813">
        <v>0</v>
      </c>
    </row>
    <row r="814" spans="1:11" x14ac:dyDescent="0.25">
      <c r="A814">
        <v>33</v>
      </c>
      <c r="B814">
        <v>0</v>
      </c>
      <c r="C814">
        <v>2</v>
      </c>
      <c r="D814">
        <v>2</v>
      </c>
      <c r="E814">
        <v>5</v>
      </c>
      <c r="F814">
        <v>5.6264277180000004</v>
      </c>
      <c r="G814">
        <v>88</v>
      </c>
      <c r="H814">
        <v>26</v>
      </c>
      <c r="I814">
        <v>77</v>
      </c>
      <c r="J814">
        <v>1</v>
      </c>
      <c r="K814">
        <v>1</v>
      </c>
    </row>
    <row r="815" spans="1:11" x14ac:dyDescent="0.25">
      <c r="A815">
        <v>50</v>
      </c>
      <c r="B815">
        <v>1</v>
      </c>
      <c r="C815">
        <v>2</v>
      </c>
      <c r="D815">
        <v>10</v>
      </c>
      <c r="E815">
        <v>2</v>
      </c>
      <c r="F815">
        <v>20.971613949999998</v>
      </c>
      <c r="G815">
        <v>7</v>
      </c>
      <c r="H815">
        <v>39</v>
      </c>
      <c r="I815">
        <v>88</v>
      </c>
      <c r="J815">
        <v>2</v>
      </c>
      <c r="K815">
        <v>0</v>
      </c>
    </row>
    <row r="816" spans="1:11" x14ac:dyDescent="0.25">
      <c r="A816">
        <v>45</v>
      </c>
      <c r="B816">
        <v>0</v>
      </c>
      <c r="C816">
        <v>4</v>
      </c>
      <c r="D816">
        <v>1</v>
      </c>
      <c r="E816">
        <v>1</v>
      </c>
      <c r="F816">
        <v>21.946461200000002</v>
      </c>
      <c r="G816">
        <v>15</v>
      </c>
      <c r="H816">
        <v>96</v>
      </c>
      <c r="I816">
        <v>32</v>
      </c>
      <c r="J816">
        <v>1</v>
      </c>
      <c r="K816">
        <v>1</v>
      </c>
    </row>
    <row r="817" spans="1:11" x14ac:dyDescent="0.25">
      <c r="A817">
        <v>24</v>
      </c>
      <c r="B817">
        <v>0</v>
      </c>
      <c r="C817">
        <v>2</v>
      </c>
      <c r="D817">
        <v>9</v>
      </c>
      <c r="E817">
        <v>3</v>
      </c>
      <c r="F817">
        <v>26.728089520000001</v>
      </c>
      <c r="G817">
        <v>47</v>
      </c>
      <c r="H817">
        <v>83</v>
      </c>
      <c r="I817">
        <v>96</v>
      </c>
      <c r="J817">
        <v>2</v>
      </c>
      <c r="K817">
        <v>0</v>
      </c>
    </row>
    <row r="818" spans="1:11" x14ac:dyDescent="0.25">
      <c r="A818">
        <v>22</v>
      </c>
      <c r="B818">
        <v>1</v>
      </c>
      <c r="C818">
        <v>2</v>
      </c>
      <c r="D818">
        <v>12</v>
      </c>
      <c r="E818">
        <v>3</v>
      </c>
      <c r="F818">
        <v>36.448213359999997</v>
      </c>
      <c r="G818">
        <v>60</v>
      </c>
      <c r="H818">
        <v>13</v>
      </c>
      <c r="I818">
        <v>61</v>
      </c>
      <c r="J818">
        <v>2</v>
      </c>
      <c r="K818">
        <v>0</v>
      </c>
    </row>
    <row r="819" spans="1:11" x14ac:dyDescent="0.25">
      <c r="A819">
        <v>42</v>
      </c>
      <c r="B819">
        <v>1</v>
      </c>
      <c r="C819">
        <v>3</v>
      </c>
      <c r="D819">
        <v>10</v>
      </c>
      <c r="E819">
        <v>3</v>
      </c>
      <c r="F819">
        <v>46.305046429999997</v>
      </c>
      <c r="G819">
        <v>14</v>
      </c>
      <c r="H819">
        <v>99</v>
      </c>
      <c r="I819">
        <v>78</v>
      </c>
      <c r="J819">
        <v>3</v>
      </c>
      <c r="K819">
        <v>1</v>
      </c>
    </row>
    <row r="820" spans="1:11" x14ac:dyDescent="0.25">
      <c r="A820">
        <v>48</v>
      </c>
      <c r="B820">
        <v>1</v>
      </c>
      <c r="C820">
        <v>2</v>
      </c>
      <c r="D820">
        <v>8</v>
      </c>
      <c r="E820">
        <v>5</v>
      </c>
      <c r="F820">
        <v>7.8867049439999999</v>
      </c>
      <c r="G820">
        <v>64</v>
      </c>
      <c r="H820">
        <v>68</v>
      </c>
      <c r="I820">
        <v>15</v>
      </c>
      <c r="J820">
        <v>2</v>
      </c>
      <c r="K820">
        <v>0</v>
      </c>
    </row>
    <row r="821" spans="1:11" x14ac:dyDescent="0.25">
      <c r="A821">
        <v>30</v>
      </c>
      <c r="B821">
        <v>1</v>
      </c>
      <c r="C821">
        <v>2</v>
      </c>
      <c r="D821">
        <v>3</v>
      </c>
      <c r="E821">
        <v>2</v>
      </c>
      <c r="F821">
        <v>3.7174049170000001</v>
      </c>
      <c r="G821">
        <v>21</v>
      </c>
      <c r="H821">
        <v>86</v>
      </c>
      <c r="I821">
        <v>43</v>
      </c>
      <c r="J821">
        <v>1</v>
      </c>
      <c r="K821">
        <v>0</v>
      </c>
    </row>
    <row r="822" spans="1:11" x14ac:dyDescent="0.25">
      <c r="A822">
        <v>30</v>
      </c>
      <c r="B822">
        <v>1</v>
      </c>
      <c r="C822">
        <v>2</v>
      </c>
      <c r="D822">
        <v>15</v>
      </c>
      <c r="E822">
        <v>5</v>
      </c>
      <c r="F822">
        <v>1.9265616800000001</v>
      </c>
      <c r="G822">
        <v>2</v>
      </c>
      <c r="H822">
        <v>78</v>
      </c>
      <c r="I822">
        <v>57</v>
      </c>
      <c r="J822">
        <v>2</v>
      </c>
      <c r="K822">
        <v>0</v>
      </c>
    </row>
    <row r="823" spans="1:11" x14ac:dyDescent="0.25">
      <c r="A823">
        <v>37</v>
      </c>
      <c r="B823">
        <v>1</v>
      </c>
      <c r="C823">
        <v>3</v>
      </c>
      <c r="D823">
        <v>2</v>
      </c>
      <c r="E823">
        <v>4</v>
      </c>
      <c r="F823">
        <v>8.1810689029999999</v>
      </c>
      <c r="G823">
        <v>53</v>
      </c>
      <c r="H823">
        <v>5</v>
      </c>
      <c r="I823">
        <v>5</v>
      </c>
      <c r="J823">
        <v>1</v>
      </c>
      <c r="K823">
        <v>0</v>
      </c>
    </row>
    <row r="824" spans="1:11" x14ac:dyDescent="0.25">
      <c r="A824">
        <v>34</v>
      </c>
      <c r="B824">
        <v>1</v>
      </c>
      <c r="C824">
        <v>2</v>
      </c>
      <c r="D824">
        <v>6</v>
      </c>
      <c r="E824">
        <v>1</v>
      </c>
      <c r="F824">
        <v>33.897474289999998</v>
      </c>
      <c r="G824">
        <v>13</v>
      </c>
      <c r="H824">
        <v>32</v>
      </c>
      <c r="I824">
        <v>88</v>
      </c>
      <c r="J824">
        <v>3</v>
      </c>
      <c r="K824">
        <v>0</v>
      </c>
    </row>
    <row r="825" spans="1:11" x14ac:dyDescent="0.25">
      <c r="A825">
        <v>31</v>
      </c>
      <c r="B825">
        <v>0</v>
      </c>
      <c r="C825">
        <v>2</v>
      </c>
      <c r="D825">
        <v>7</v>
      </c>
      <c r="E825">
        <v>1</v>
      </c>
      <c r="F825">
        <v>37.3738539</v>
      </c>
      <c r="G825">
        <v>35</v>
      </c>
      <c r="H825">
        <v>54</v>
      </c>
      <c r="I825">
        <v>14</v>
      </c>
      <c r="J825">
        <v>3</v>
      </c>
      <c r="K825">
        <v>0</v>
      </c>
    </row>
    <row r="826" spans="1:11" x14ac:dyDescent="0.25">
      <c r="A826">
        <v>28</v>
      </c>
      <c r="B826">
        <v>1</v>
      </c>
      <c r="C826">
        <v>1</v>
      </c>
      <c r="D826">
        <v>10</v>
      </c>
      <c r="E826">
        <v>3</v>
      </c>
      <c r="F826">
        <v>40.32528568</v>
      </c>
      <c r="G826">
        <v>81</v>
      </c>
      <c r="H826">
        <v>18</v>
      </c>
      <c r="I826">
        <v>3</v>
      </c>
      <c r="J826">
        <v>2</v>
      </c>
      <c r="K826">
        <v>0</v>
      </c>
    </row>
    <row r="827" spans="1:11" x14ac:dyDescent="0.25">
      <c r="A827">
        <v>29</v>
      </c>
      <c r="B827">
        <v>0</v>
      </c>
      <c r="C827">
        <v>1</v>
      </c>
      <c r="D827">
        <v>13</v>
      </c>
      <c r="E827">
        <v>3</v>
      </c>
      <c r="F827">
        <v>13.185410600000001</v>
      </c>
      <c r="G827">
        <v>81</v>
      </c>
      <c r="H827">
        <v>76</v>
      </c>
      <c r="I827">
        <v>55</v>
      </c>
      <c r="J827">
        <v>1</v>
      </c>
      <c r="K827">
        <v>1</v>
      </c>
    </row>
    <row r="828" spans="1:11" x14ac:dyDescent="0.25">
      <c r="A828">
        <v>45</v>
      </c>
      <c r="B828">
        <v>1</v>
      </c>
      <c r="C828">
        <v>1</v>
      </c>
      <c r="D828">
        <v>1</v>
      </c>
      <c r="E828">
        <v>3</v>
      </c>
      <c r="F828">
        <v>16.294740659999999</v>
      </c>
      <c r="G828">
        <v>66</v>
      </c>
      <c r="H828">
        <v>28</v>
      </c>
      <c r="I828">
        <v>63</v>
      </c>
      <c r="J828">
        <v>3</v>
      </c>
      <c r="K828">
        <v>0</v>
      </c>
    </row>
    <row r="829" spans="1:11" x14ac:dyDescent="0.25">
      <c r="A829">
        <v>31</v>
      </c>
      <c r="B829">
        <v>1</v>
      </c>
      <c r="C829">
        <v>1</v>
      </c>
      <c r="D829">
        <v>6</v>
      </c>
      <c r="E829">
        <v>2</v>
      </c>
      <c r="F829">
        <v>25.15673228</v>
      </c>
      <c r="G829">
        <v>9</v>
      </c>
      <c r="H829">
        <v>60</v>
      </c>
      <c r="I829">
        <v>67</v>
      </c>
      <c r="J829">
        <v>3</v>
      </c>
      <c r="K829">
        <v>0</v>
      </c>
    </row>
    <row r="830" spans="1:11" x14ac:dyDescent="0.25">
      <c r="A830">
        <v>36</v>
      </c>
      <c r="B830">
        <v>0</v>
      </c>
      <c r="C830">
        <v>2</v>
      </c>
      <c r="D830">
        <v>11</v>
      </c>
      <c r="E830">
        <v>4</v>
      </c>
      <c r="F830">
        <v>4.1591548429999996</v>
      </c>
      <c r="G830">
        <v>48</v>
      </c>
      <c r="H830">
        <v>69</v>
      </c>
      <c r="I830">
        <v>93</v>
      </c>
      <c r="J830">
        <v>3</v>
      </c>
      <c r="K830">
        <v>0</v>
      </c>
    </row>
    <row r="831" spans="1:11" x14ac:dyDescent="0.25">
      <c r="A831">
        <v>48</v>
      </c>
      <c r="B831">
        <v>1</v>
      </c>
      <c r="C831">
        <v>3</v>
      </c>
      <c r="D831">
        <v>4</v>
      </c>
      <c r="E831">
        <v>4</v>
      </c>
      <c r="F831">
        <v>31.557076160000001</v>
      </c>
      <c r="G831">
        <v>64</v>
      </c>
      <c r="H831">
        <v>78</v>
      </c>
      <c r="I831">
        <v>33</v>
      </c>
      <c r="J831">
        <v>3</v>
      </c>
      <c r="K831">
        <v>0</v>
      </c>
    </row>
    <row r="832" spans="1:11" x14ac:dyDescent="0.25">
      <c r="A832">
        <v>25</v>
      </c>
      <c r="B832">
        <v>1</v>
      </c>
      <c r="C832">
        <v>2</v>
      </c>
      <c r="D832">
        <v>14</v>
      </c>
      <c r="E832">
        <v>4</v>
      </c>
      <c r="F832">
        <v>50.18675168</v>
      </c>
      <c r="G832">
        <v>90</v>
      </c>
      <c r="H832">
        <v>79</v>
      </c>
      <c r="I832">
        <v>90</v>
      </c>
      <c r="J832">
        <v>2</v>
      </c>
      <c r="K832">
        <v>1</v>
      </c>
    </row>
    <row r="833" spans="1:11" x14ac:dyDescent="0.25">
      <c r="A833">
        <v>26</v>
      </c>
      <c r="B833">
        <v>0</v>
      </c>
      <c r="C833">
        <v>3</v>
      </c>
      <c r="D833">
        <v>10</v>
      </c>
      <c r="E833">
        <v>4</v>
      </c>
      <c r="F833">
        <v>19.040315570000001</v>
      </c>
      <c r="G833">
        <v>56</v>
      </c>
      <c r="H833">
        <v>23</v>
      </c>
      <c r="I833">
        <v>94</v>
      </c>
      <c r="J833">
        <v>1</v>
      </c>
      <c r="K833">
        <v>1</v>
      </c>
    </row>
    <row r="834" spans="1:11" x14ac:dyDescent="0.25">
      <c r="A834">
        <v>33</v>
      </c>
      <c r="B834">
        <v>1</v>
      </c>
      <c r="C834">
        <v>4</v>
      </c>
      <c r="D834">
        <v>4</v>
      </c>
      <c r="E834">
        <v>3</v>
      </c>
      <c r="F834">
        <v>38.642373749999997</v>
      </c>
      <c r="G834">
        <v>26</v>
      </c>
      <c r="H834">
        <v>22</v>
      </c>
      <c r="I834">
        <v>55</v>
      </c>
      <c r="J834">
        <v>2</v>
      </c>
      <c r="K834">
        <v>0</v>
      </c>
    </row>
    <row r="835" spans="1:11" x14ac:dyDescent="0.25">
      <c r="A835">
        <v>32</v>
      </c>
      <c r="B835">
        <v>1</v>
      </c>
      <c r="C835">
        <v>3</v>
      </c>
      <c r="D835">
        <v>2</v>
      </c>
      <c r="E835">
        <v>1</v>
      </c>
      <c r="F835">
        <v>26.001695779999999</v>
      </c>
      <c r="G835">
        <v>74</v>
      </c>
      <c r="H835">
        <v>9</v>
      </c>
      <c r="I835">
        <v>31</v>
      </c>
      <c r="J835">
        <v>2</v>
      </c>
      <c r="K835">
        <v>0</v>
      </c>
    </row>
    <row r="836" spans="1:11" x14ac:dyDescent="0.25">
      <c r="A836">
        <v>27</v>
      </c>
      <c r="B836">
        <v>1</v>
      </c>
      <c r="C836">
        <v>2</v>
      </c>
      <c r="D836">
        <v>4</v>
      </c>
      <c r="E836">
        <v>3</v>
      </c>
      <c r="F836">
        <v>7.3905922180000001</v>
      </c>
      <c r="G836">
        <v>4</v>
      </c>
      <c r="H836">
        <v>53</v>
      </c>
      <c r="I836">
        <v>8</v>
      </c>
      <c r="J836">
        <v>2</v>
      </c>
      <c r="K836">
        <v>0</v>
      </c>
    </row>
    <row r="837" spans="1:11" x14ac:dyDescent="0.25">
      <c r="A837">
        <v>29</v>
      </c>
      <c r="B837">
        <v>0</v>
      </c>
      <c r="C837">
        <v>2</v>
      </c>
      <c r="D837">
        <v>11</v>
      </c>
      <c r="E837">
        <v>4</v>
      </c>
      <c r="F837">
        <v>30.111872439999999</v>
      </c>
      <c r="G837">
        <v>70</v>
      </c>
      <c r="H837">
        <v>40</v>
      </c>
      <c r="I837">
        <v>62</v>
      </c>
      <c r="J837">
        <v>2</v>
      </c>
      <c r="K837">
        <v>0</v>
      </c>
    </row>
    <row r="838" spans="1:11" x14ac:dyDescent="0.25">
      <c r="A838">
        <v>28</v>
      </c>
      <c r="B838">
        <v>1</v>
      </c>
      <c r="C838">
        <v>2</v>
      </c>
      <c r="D838">
        <v>1</v>
      </c>
      <c r="E838">
        <v>3</v>
      </c>
      <c r="F838">
        <v>15.993713420000001</v>
      </c>
      <c r="G838">
        <v>82</v>
      </c>
      <c r="H838">
        <v>48</v>
      </c>
      <c r="I838">
        <v>71</v>
      </c>
      <c r="J838">
        <v>1</v>
      </c>
      <c r="K838">
        <v>1</v>
      </c>
    </row>
    <row r="839" spans="1:11" x14ac:dyDescent="0.25">
      <c r="A839">
        <v>37</v>
      </c>
      <c r="B839">
        <v>1</v>
      </c>
      <c r="C839">
        <v>1</v>
      </c>
      <c r="D839">
        <v>3</v>
      </c>
      <c r="E839">
        <v>4</v>
      </c>
      <c r="F839">
        <v>2.7201604229999998</v>
      </c>
      <c r="G839">
        <v>56</v>
      </c>
      <c r="H839">
        <v>16</v>
      </c>
      <c r="I839">
        <v>77</v>
      </c>
      <c r="J839">
        <v>2</v>
      </c>
      <c r="K839">
        <v>0</v>
      </c>
    </row>
    <row r="840" spans="1:11" x14ac:dyDescent="0.25">
      <c r="A840">
        <v>46</v>
      </c>
      <c r="B840">
        <v>1</v>
      </c>
      <c r="C840">
        <v>2</v>
      </c>
      <c r="D840">
        <v>5</v>
      </c>
      <c r="E840">
        <v>5</v>
      </c>
      <c r="F840">
        <v>32.746486509999997</v>
      </c>
      <c r="G840">
        <v>92</v>
      </c>
      <c r="H840">
        <v>55</v>
      </c>
      <c r="I840">
        <v>32</v>
      </c>
      <c r="J840">
        <v>2</v>
      </c>
      <c r="K840">
        <v>0</v>
      </c>
    </row>
    <row r="841" spans="1:11" x14ac:dyDescent="0.25">
      <c r="A841">
        <v>45</v>
      </c>
      <c r="B841">
        <v>1</v>
      </c>
      <c r="C841">
        <v>4</v>
      </c>
      <c r="D841">
        <v>0</v>
      </c>
      <c r="E841">
        <v>1</v>
      </c>
      <c r="F841">
        <v>43.94661747</v>
      </c>
      <c r="G841">
        <v>14</v>
      </c>
      <c r="H841">
        <v>44</v>
      </c>
      <c r="I841">
        <v>86</v>
      </c>
      <c r="J841">
        <v>1</v>
      </c>
      <c r="K841">
        <v>1</v>
      </c>
    </row>
    <row r="842" spans="1:11" x14ac:dyDescent="0.25">
      <c r="A842">
        <v>21</v>
      </c>
      <c r="B842">
        <v>0</v>
      </c>
      <c r="C842">
        <v>3</v>
      </c>
      <c r="D842">
        <v>9</v>
      </c>
      <c r="E842">
        <v>5</v>
      </c>
      <c r="F842">
        <v>18.23848834</v>
      </c>
      <c r="G842">
        <v>98</v>
      </c>
      <c r="H842">
        <v>29</v>
      </c>
      <c r="I842">
        <v>20</v>
      </c>
      <c r="J842">
        <v>2</v>
      </c>
      <c r="K842">
        <v>0</v>
      </c>
    </row>
    <row r="843" spans="1:11" x14ac:dyDescent="0.25">
      <c r="A843">
        <v>24</v>
      </c>
      <c r="B843">
        <v>0</v>
      </c>
      <c r="C843">
        <v>2</v>
      </c>
      <c r="D843">
        <v>3</v>
      </c>
      <c r="E843">
        <v>2</v>
      </c>
      <c r="F843">
        <v>20.51477736</v>
      </c>
      <c r="G843">
        <v>100</v>
      </c>
      <c r="H843">
        <v>43</v>
      </c>
      <c r="I843">
        <v>54</v>
      </c>
      <c r="J843">
        <v>3</v>
      </c>
      <c r="K843">
        <v>0</v>
      </c>
    </row>
    <row r="844" spans="1:11" x14ac:dyDescent="0.25">
      <c r="A844">
        <v>48</v>
      </c>
      <c r="B844">
        <v>1</v>
      </c>
      <c r="C844">
        <v>2</v>
      </c>
      <c r="D844">
        <v>5</v>
      </c>
      <c r="E844">
        <v>3</v>
      </c>
      <c r="F844">
        <v>45.551084150000001</v>
      </c>
      <c r="G844">
        <v>75</v>
      </c>
      <c r="H844">
        <v>73</v>
      </c>
      <c r="I844">
        <v>75</v>
      </c>
      <c r="J844">
        <v>3</v>
      </c>
      <c r="K844">
        <v>0</v>
      </c>
    </row>
    <row r="845" spans="1:11" x14ac:dyDescent="0.25">
      <c r="A845">
        <v>24</v>
      </c>
      <c r="B845">
        <v>1</v>
      </c>
      <c r="C845">
        <v>3</v>
      </c>
      <c r="D845">
        <v>8</v>
      </c>
      <c r="E845">
        <v>2</v>
      </c>
      <c r="F845">
        <v>41.680440670000003</v>
      </c>
      <c r="G845">
        <v>29</v>
      </c>
      <c r="H845">
        <v>54</v>
      </c>
      <c r="I845">
        <v>56</v>
      </c>
      <c r="J845">
        <v>2</v>
      </c>
      <c r="K845">
        <v>0</v>
      </c>
    </row>
    <row r="846" spans="1:11" x14ac:dyDescent="0.25">
      <c r="A846">
        <v>25</v>
      </c>
      <c r="B846">
        <v>0</v>
      </c>
      <c r="C846">
        <v>1</v>
      </c>
      <c r="D846">
        <v>13</v>
      </c>
      <c r="E846">
        <v>3</v>
      </c>
      <c r="F846">
        <v>36.747641180000002</v>
      </c>
      <c r="G846">
        <v>19</v>
      </c>
      <c r="H846">
        <v>18</v>
      </c>
      <c r="I846">
        <v>1</v>
      </c>
      <c r="J846">
        <v>2</v>
      </c>
      <c r="K846">
        <v>0</v>
      </c>
    </row>
    <row r="847" spans="1:11" x14ac:dyDescent="0.25">
      <c r="A847">
        <v>38</v>
      </c>
      <c r="B847">
        <v>0</v>
      </c>
      <c r="C847">
        <v>2</v>
      </c>
      <c r="D847">
        <v>10</v>
      </c>
      <c r="E847">
        <v>5</v>
      </c>
      <c r="F847">
        <v>13.439853189999999</v>
      </c>
      <c r="G847">
        <v>36</v>
      </c>
      <c r="H847">
        <v>28</v>
      </c>
      <c r="I847">
        <v>12</v>
      </c>
      <c r="J847">
        <v>1</v>
      </c>
      <c r="K847">
        <v>0</v>
      </c>
    </row>
    <row r="848" spans="1:11" x14ac:dyDescent="0.25">
      <c r="A848">
        <v>27</v>
      </c>
      <c r="B848">
        <v>1</v>
      </c>
      <c r="C848">
        <v>3</v>
      </c>
      <c r="D848">
        <v>15</v>
      </c>
      <c r="E848">
        <v>4</v>
      </c>
      <c r="F848">
        <v>46.510832749999999</v>
      </c>
      <c r="G848">
        <v>2</v>
      </c>
      <c r="H848">
        <v>1</v>
      </c>
      <c r="I848">
        <v>3</v>
      </c>
      <c r="J848">
        <v>2</v>
      </c>
      <c r="K848">
        <v>0</v>
      </c>
    </row>
    <row r="849" spans="1:11" x14ac:dyDescent="0.25">
      <c r="A849">
        <v>35</v>
      </c>
      <c r="B849">
        <v>0</v>
      </c>
      <c r="C849">
        <v>2</v>
      </c>
      <c r="D849">
        <v>10</v>
      </c>
      <c r="E849">
        <v>4</v>
      </c>
      <c r="F849">
        <v>8.7207878769999994</v>
      </c>
      <c r="G849">
        <v>72</v>
      </c>
      <c r="H849">
        <v>35</v>
      </c>
      <c r="I849">
        <v>83</v>
      </c>
      <c r="J849">
        <v>2</v>
      </c>
      <c r="K849">
        <v>0</v>
      </c>
    </row>
    <row r="850" spans="1:11" x14ac:dyDescent="0.25">
      <c r="A850">
        <v>32</v>
      </c>
      <c r="B850">
        <v>1</v>
      </c>
      <c r="C850">
        <v>1</v>
      </c>
      <c r="D850">
        <v>12</v>
      </c>
      <c r="E850">
        <v>3</v>
      </c>
      <c r="F850">
        <v>32.338525969999999</v>
      </c>
      <c r="G850">
        <v>40</v>
      </c>
      <c r="H850">
        <v>18</v>
      </c>
      <c r="I850">
        <v>49</v>
      </c>
      <c r="J850">
        <v>2</v>
      </c>
      <c r="K850">
        <v>0</v>
      </c>
    </row>
    <row r="851" spans="1:11" x14ac:dyDescent="0.25">
      <c r="A851">
        <v>20</v>
      </c>
      <c r="B851">
        <v>0</v>
      </c>
      <c r="C851">
        <v>2</v>
      </c>
      <c r="D851">
        <v>1</v>
      </c>
      <c r="E851">
        <v>4</v>
      </c>
      <c r="F851">
        <v>2.4400590270000002</v>
      </c>
      <c r="G851">
        <v>38</v>
      </c>
      <c r="H851">
        <v>6</v>
      </c>
      <c r="I851">
        <v>47</v>
      </c>
      <c r="J851">
        <v>3</v>
      </c>
      <c r="K851">
        <v>0</v>
      </c>
    </row>
    <row r="852" spans="1:11" x14ac:dyDescent="0.25">
      <c r="A852">
        <v>41</v>
      </c>
      <c r="B852">
        <v>0</v>
      </c>
      <c r="C852">
        <v>3</v>
      </c>
      <c r="D852">
        <v>10</v>
      </c>
      <c r="E852">
        <v>5</v>
      </c>
      <c r="F852">
        <v>33.185990320000002</v>
      </c>
      <c r="G852">
        <v>25</v>
      </c>
      <c r="H852">
        <v>25</v>
      </c>
      <c r="I852">
        <v>77</v>
      </c>
      <c r="J852">
        <v>2</v>
      </c>
      <c r="K852">
        <v>0</v>
      </c>
    </row>
    <row r="853" spans="1:11" x14ac:dyDescent="0.25">
      <c r="A853">
        <v>39</v>
      </c>
      <c r="B853">
        <v>0</v>
      </c>
      <c r="C853">
        <v>2</v>
      </c>
      <c r="D853">
        <v>6</v>
      </c>
      <c r="E853">
        <v>4</v>
      </c>
      <c r="F853">
        <v>14.857217589999999</v>
      </c>
      <c r="G853">
        <v>1</v>
      </c>
      <c r="H853">
        <v>78</v>
      </c>
      <c r="I853">
        <v>29</v>
      </c>
      <c r="J853">
        <v>1</v>
      </c>
      <c r="K853">
        <v>1</v>
      </c>
    </row>
    <row r="854" spans="1:11" x14ac:dyDescent="0.25">
      <c r="A854">
        <v>36</v>
      </c>
      <c r="B854">
        <v>0</v>
      </c>
      <c r="C854">
        <v>2</v>
      </c>
      <c r="D854">
        <v>5</v>
      </c>
      <c r="E854">
        <v>5</v>
      </c>
      <c r="F854">
        <v>23.483848859999998</v>
      </c>
      <c r="G854">
        <v>22</v>
      </c>
      <c r="H854">
        <v>37</v>
      </c>
      <c r="I854">
        <v>28</v>
      </c>
      <c r="J854">
        <v>1</v>
      </c>
      <c r="K854">
        <v>0</v>
      </c>
    </row>
    <row r="855" spans="1:11" x14ac:dyDescent="0.25">
      <c r="A855">
        <v>50</v>
      </c>
      <c r="B855">
        <v>1</v>
      </c>
      <c r="C855">
        <v>2</v>
      </c>
      <c r="D855">
        <v>1</v>
      </c>
      <c r="E855">
        <v>2</v>
      </c>
      <c r="F855">
        <v>18.2632276</v>
      </c>
      <c r="G855">
        <v>22</v>
      </c>
      <c r="H855">
        <v>2</v>
      </c>
      <c r="I855">
        <v>7</v>
      </c>
      <c r="J855">
        <v>2</v>
      </c>
      <c r="K855">
        <v>0</v>
      </c>
    </row>
    <row r="856" spans="1:11" x14ac:dyDescent="0.25">
      <c r="A856">
        <v>26</v>
      </c>
      <c r="B856">
        <v>0</v>
      </c>
      <c r="C856">
        <v>2</v>
      </c>
      <c r="D856">
        <v>7</v>
      </c>
      <c r="E856">
        <v>5</v>
      </c>
      <c r="F856">
        <v>9.6378378120000008</v>
      </c>
      <c r="G856">
        <v>84</v>
      </c>
      <c r="H856">
        <v>79</v>
      </c>
      <c r="I856">
        <v>11</v>
      </c>
      <c r="J856">
        <v>2</v>
      </c>
      <c r="K856">
        <v>0</v>
      </c>
    </row>
    <row r="857" spans="1:11" x14ac:dyDescent="0.25">
      <c r="A857">
        <v>44</v>
      </c>
      <c r="B857">
        <v>0</v>
      </c>
      <c r="C857">
        <v>2</v>
      </c>
      <c r="D857">
        <v>6</v>
      </c>
      <c r="E857">
        <v>1</v>
      </c>
      <c r="F857">
        <v>32.099039500000003</v>
      </c>
      <c r="G857">
        <v>15</v>
      </c>
      <c r="H857">
        <v>65</v>
      </c>
      <c r="I857">
        <v>40</v>
      </c>
      <c r="J857">
        <v>3</v>
      </c>
      <c r="K857">
        <v>0</v>
      </c>
    </row>
    <row r="858" spans="1:11" x14ac:dyDescent="0.25">
      <c r="A858">
        <v>32</v>
      </c>
      <c r="B858">
        <v>1</v>
      </c>
      <c r="C858">
        <v>3</v>
      </c>
      <c r="D858">
        <v>10</v>
      </c>
      <c r="E858">
        <v>1</v>
      </c>
      <c r="F858">
        <v>45.098777759999997</v>
      </c>
      <c r="G858">
        <v>8</v>
      </c>
      <c r="H858">
        <v>94</v>
      </c>
      <c r="I858">
        <v>25</v>
      </c>
      <c r="J858">
        <v>2</v>
      </c>
      <c r="K858">
        <v>0</v>
      </c>
    </row>
    <row r="859" spans="1:11" x14ac:dyDescent="0.25">
      <c r="A859">
        <v>23</v>
      </c>
      <c r="B859">
        <v>0</v>
      </c>
      <c r="C859">
        <v>1</v>
      </c>
      <c r="D859">
        <v>4</v>
      </c>
      <c r="E859">
        <v>1</v>
      </c>
      <c r="F859">
        <v>48.95421211</v>
      </c>
      <c r="G859">
        <v>12</v>
      </c>
      <c r="H859">
        <v>91</v>
      </c>
      <c r="I859">
        <v>49</v>
      </c>
      <c r="J859">
        <v>2</v>
      </c>
      <c r="K859">
        <v>0</v>
      </c>
    </row>
    <row r="860" spans="1:11" x14ac:dyDescent="0.25">
      <c r="A860">
        <v>23</v>
      </c>
      <c r="B860">
        <v>0</v>
      </c>
      <c r="C860">
        <v>3</v>
      </c>
      <c r="D860">
        <v>11</v>
      </c>
      <c r="E860">
        <v>3</v>
      </c>
      <c r="F860">
        <v>10.61731816</v>
      </c>
      <c r="G860">
        <v>27</v>
      </c>
      <c r="H860">
        <v>70</v>
      </c>
      <c r="I860">
        <v>1</v>
      </c>
      <c r="J860">
        <v>2</v>
      </c>
      <c r="K860">
        <v>0</v>
      </c>
    </row>
    <row r="861" spans="1:11" x14ac:dyDescent="0.25">
      <c r="A861">
        <v>25</v>
      </c>
      <c r="B861">
        <v>1</v>
      </c>
      <c r="C861">
        <v>1</v>
      </c>
      <c r="D861">
        <v>4</v>
      </c>
      <c r="E861">
        <v>3</v>
      </c>
      <c r="F861">
        <v>36.868638699999998</v>
      </c>
      <c r="G861">
        <v>26</v>
      </c>
      <c r="H861">
        <v>93</v>
      </c>
      <c r="I861">
        <v>54</v>
      </c>
      <c r="J861">
        <v>2</v>
      </c>
      <c r="K861">
        <v>0</v>
      </c>
    </row>
    <row r="862" spans="1:11" x14ac:dyDescent="0.25">
      <c r="A862">
        <v>47</v>
      </c>
      <c r="B862">
        <v>0</v>
      </c>
      <c r="C862">
        <v>2</v>
      </c>
      <c r="D862">
        <v>6</v>
      </c>
      <c r="E862">
        <v>3</v>
      </c>
      <c r="F862">
        <v>34.21696833</v>
      </c>
      <c r="G862">
        <v>50</v>
      </c>
      <c r="H862">
        <v>42</v>
      </c>
      <c r="I862">
        <v>55</v>
      </c>
      <c r="J862">
        <v>2</v>
      </c>
      <c r="K862">
        <v>0</v>
      </c>
    </row>
    <row r="863" spans="1:11" x14ac:dyDescent="0.25">
      <c r="A863">
        <v>50</v>
      </c>
      <c r="B863">
        <v>1</v>
      </c>
      <c r="C863">
        <v>1</v>
      </c>
      <c r="D863">
        <v>8</v>
      </c>
      <c r="E863">
        <v>5</v>
      </c>
      <c r="F863">
        <v>18.168889480000001</v>
      </c>
      <c r="G863">
        <v>63</v>
      </c>
      <c r="H863">
        <v>61</v>
      </c>
      <c r="I863">
        <v>13</v>
      </c>
      <c r="J863">
        <v>2</v>
      </c>
      <c r="K863">
        <v>0</v>
      </c>
    </row>
    <row r="864" spans="1:11" x14ac:dyDescent="0.25">
      <c r="A864">
        <v>38</v>
      </c>
      <c r="B864">
        <v>1</v>
      </c>
      <c r="C864">
        <v>2</v>
      </c>
      <c r="D864">
        <v>10</v>
      </c>
      <c r="E864">
        <v>3</v>
      </c>
      <c r="F864">
        <v>1.954959968</v>
      </c>
      <c r="G864">
        <v>51</v>
      </c>
      <c r="H864">
        <v>70</v>
      </c>
      <c r="I864">
        <v>5</v>
      </c>
      <c r="J864">
        <v>2</v>
      </c>
      <c r="K864">
        <v>0</v>
      </c>
    </row>
    <row r="865" spans="1:11" x14ac:dyDescent="0.25">
      <c r="A865">
        <v>48</v>
      </c>
      <c r="B865">
        <v>1</v>
      </c>
      <c r="C865">
        <v>2</v>
      </c>
      <c r="D865">
        <v>14</v>
      </c>
      <c r="E865">
        <v>2</v>
      </c>
      <c r="F865">
        <v>35.489562370000002</v>
      </c>
      <c r="G865">
        <v>80</v>
      </c>
      <c r="H865">
        <v>99</v>
      </c>
      <c r="I865">
        <v>94</v>
      </c>
      <c r="J865">
        <v>1</v>
      </c>
      <c r="K865">
        <v>1</v>
      </c>
    </row>
    <row r="866" spans="1:11" x14ac:dyDescent="0.25">
      <c r="A866">
        <v>31</v>
      </c>
      <c r="B866">
        <v>1</v>
      </c>
      <c r="C866">
        <v>2</v>
      </c>
      <c r="D866">
        <v>8</v>
      </c>
      <c r="E866">
        <v>1</v>
      </c>
      <c r="F866">
        <v>48.274743030000003</v>
      </c>
      <c r="G866">
        <v>37</v>
      </c>
      <c r="H866">
        <v>92</v>
      </c>
      <c r="I866">
        <v>80</v>
      </c>
      <c r="J866">
        <v>3</v>
      </c>
      <c r="K866">
        <v>0</v>
      </c>
    </row>
    <row r="867" spans="1:11" x14ac:dyDescent="0.25">
      <c r="A867">
        <v>41</v>
      </c>
      <c r="B867">
        <v>0</v>
      </c>
      <c r="C867">
        <v>1</v>
      </c>
      <c r="D867">
        <v>8</v>
      </c>
      <c r="E867">
        <v>5</v>
      </c>
      <c r="F867">
        <v>32.606006100000002</v>
      </c>
      <c r="G867">
        <v>99</v>
      </c>
      <c r="H867">
        <v>23</v>
      </c>
      <c r="I867">
        <v>88</v>
      </c>
      <c r="J867">
        <v>2</v>
      </c>
      <c r="K867">
        <v>0</v>
      </c>
    </row>
    <row r="868" spans="1:11" x14ac:dyDescent="0.25">
      <c r="A868">
        <v>26</v>
      </c>
      <c r="B868">
        <v>1</v>
      </c>
      <c r="C868">
        <v>2</v>
      </c>
      <c r="D868">
        <v>5</v>
      </c>
      <c r="E868">
        <v>1</v>
      </c>
      <c r="F868">
        <v>22.764636209999999</v>
      </c>
      <c r="G868">
        <v>64</v>
      </c>
      <c r="H868">
        <v>38</v>
      </c>
      <c r="I868">
        <v>60</v>
      </c>
      <c r="J868">
        <v>1</v>
      </c>
      <c r="K868">
        <v>0</v>
      </c>
    </row>
    <row r="869" spans="1:11" x14ac:dyDescent="0.25">
      <c r="A869">
        <v>46</v>
      </c>
      <c r="B869">
        <v>0</v>
      </c>
      <c r="C869">
        <v>1</v>
      </c>
      <c r="D869">
        <v>9</v>
      </c>
      <c r="E869">
        <v>3</v>
      </c>
      <c r="F869">
        <v>27.257694709999999</v>
      </c>
      <c r="G869">
        <v>17</v>
      </c>
      <c r="H869">
        <v>67</v>
      </c>
      <c r="I869">
        <v>95</v>
      </c>
      <c r="J869">
        <v>1</v>
      </c>
      <c r="K869">
        <v>1</v>
      </c>
    </row>
    <row r="870" spans="1:11" x14ac:dyDescent="0.25">
      <c r="A870">
        <v>29</v>
      </c>
      <c r="B870">
        <v>0</v>
      </c>
      <c r="C870">
        <v>3</v>
      </c>
      <c r="D870">
        <v>5</v>
      </c>
      <c r="E870">
        <v>5</v>
      </c>
      <c r="F870">
        <v>10.98144038</v>
      </c>
      <c r="G870">
        <v>62</v>
      </c>
      <c r="H870">
        <v>92</v>
      </c>
      <c r="I870">
        <v>11</v>
      </c>
      <c r="J870">
        <v>1</v>
      </c>
      <c r="K870">
        <v>1</v>
      </c>
    </row>
    <row r="871" spans="1:11" x14ac:dyDescent="0.25">
      <c r="A871">
        <v>45</v>
      </c>
      <c r="B871">
        <v>0</v>
      </c>
      <c r="C871">
        <v>4</v>
      </c>
      <c r="D871">
        <v>2</v>
      </c>
      <c r="E871">
        <v>4</v>
      </c>
      <c r="F871">
        <v>38.527208190000003</v>
      </c>
      <c r="G871">
        <v>50</v>
      </c>
      <c r="H871">
        <v>43</v>
      </c>
      <c r="I871">
        <v>12</v>
      </c>
      <c r="J871">
        <v>2</v>
      </c>
      <c r="K871">
        <v>0</v>
      </c>
    </row>
    <row r="872" spans="1:11" x14ac:dyDescent="0.25">
      <c r="A872">
        <v>38</v>
      </c>
      <c r="B872">
        <v>0</v>
      </c>
      <c r="C872">
        <v>2</v>
      </c>
      <c r="D872">
        <v>0</v>
      </c>
      <c r="E872">
        <v>2</v>
      </c>
      <c r="F872">
        <v>38.320991499999998</v>
      </c>
      <c r="G872">
        <v>8</v>
      </c>
      <c r="H872">
        <v>4</v>
      </c>
      <c r="I872">
        <v>18</v>
      </c>
      <c r="J872">
        <v>1</v>
      </c>
      <c r="K872">
        <v>0</v>
      </c>
    </row>
    <row r="873" spans="1:11" x14ac:dyDescent="0.25">
      <c r="A873">
        <v>26</v>
      </c>
      <c r="B873">
        <v>0</v>
      </c>
      <c r="C873">
        <v>2</v>
      </c>
      <c r="D873">
        <v>15</v>
      </c>
      <c r="E873">
        <v>3</v>
      </c>
      <c r="F873">
        <v>8.2758650189999994</v>
      </c>
      <c r="G873">
        <v>12</v>
      </c>
      <c r="H873">
        <v>54</v>
      </c>
      <c r="I873">
        <v>43</v>
      </c>
      <c r="J873">
        <v>1</v>
      </c>
      <c r="K873">
        <v>1</v>
      </c>
    </row>
    <row r="874" spans="1:11" x14ac:dyDescent="0.25">
      <c r="A874">
        <v>49</v>
      </c>
      <c r="B874">
        <v>0</v>
      </c>
      <c r="C874">
        <v>2</v>
      </c>
      <c r="D874">
        <v>6</v>
      </c>
      <c r="E874">
        <v>3</v>
      </c>
      <c r="F874">
        <v>44.898919120000002</v>
      </c>
      <c r="G874">
        <v>39</v>
      </c>
      <c r="H874">
        <v>92</v>
      </c>
      <c r="I874">
        <v>88</v>
      </c>
      <c r="J874">
        <v>2</v>
      </c>
      <c r="K874">
        <v>0</v>
      </c>
    </row>
    <row r="875" spans="1:11" x14ac:dyDescent="0.25">
      <c r="A875">
        <v>22</v>
      </c>
      <c r="B875">
        <v>0</v>
      </c>
      <c r="C875">
        <v>1</v>
      </c>
      <c r="D875">
        <v>3</v>
      </c>
      <c r="E875">
        <v>2</v>
      </c>
      <c r="F875">
        <v>14.45948697</v>
      </c>
      <c r="G875">
        <v>54</v>
      </c>
      <c r="H875">
        <v>29</v>
      </c>
      <c r="I875">
        <v>94</v>
      </c>
      <c r="J875">
        <v>2</v>
      </c>
      <c r="K875">
        <v>0</v>
      </c>
    </row>
    <row r="876" spans="1:11" x14ac:dyDescent="0.25">
      <c r="A876">
        <v>32</v>
      </c>
      <c r="B876">
        <v>0</v>
      </c>
      <c r="C876">
        <v>2</v>
      </c>
      <c r="D876">
        <v>0</v>
      </c>
      <c r="E876">
        <v>2</v>
      </c>
      <c r="F876">
        <v>50.112803049999997</v>
      </c>
      <c r="G876">
        <v>78</v>
      </c>
      <c r="H876">
        <v>28</v>
      </c>
      <c r="I876">
        <v>58</v>
      </c>
      <c r="J876">
        <v>1</v>
      </c>
      <c r="K876">
        <v>0</v>
      </c>
    </row>
    <row r="877" spans="1:11" x14ac:dyDescent="0.25">
      <c r="A877">
        <v>32</v>
      </c>
      <c r="B877">
        <v>0</v>
      </c>
      <c r="C877">
        <v>3</v>
      </c>
      <c r="D877">
        <v>14</v>
      </c>
      <c r="E877">
        <v>4</v>
      </c>
      <c r="F877">
        <v>20.145150699999999</v>
      </c>
      <c r="G877">
        <v>42</v>
      </c>
      <c r="H877">
        <v>25</v>
      </c>
      <c r="I877">
        <v>36</v>
      </c>
      <c r="J877">
        <v>2</v>
      </c>
      <c r="K877">
        <v>0</v>
      </c>
    </row>
    <row r="878" spans="1:11" x14ac:dyDescent="0.25">
      <c r="A878">
        <v>37</v>
      </c>
      <c r="B878">
        <v>0</v>
      </c>
      <c r="C878">
        <v>2</v>
      </c>
      <c r="D878">
        <v>7</v>
      </c>
      <c r="E878">
        <v>3</v>
      </c>
      <c r="F878">
        <v>9.8942029369999993</v>
      </c>
      <c r="G878">
        <v>43</v>
      </c>
      <c r="H878">
        <v>82</v>
      </c>
      <c r="I878">
        <v>24</v>
      </c>
      <c r="J878">
        <v>2</v>
      </c>
      <c r="K878">
        <v>0</v>
      </c>
    </row>
    <row r="879" spans="1:11" x14ac:dyDescent="0.25">
      <c r="A879">
        <v>47</v>
      </c>
      <c r="B879">
        <v>1</v>
      </c>
      <c r="C879">
        <v>1</v>
      </c>
      <c r="D879">
        <v>11</v>
      </c>
      <c r="E879">
        <v>3</v>
      </c>
      <c r="F879">
        <v>18.586005570000001</v>
      </c>
      <c r="G879">
        <v>67</v>
      </c>
      <c r="H879">
        <v>25</v>
      </c>
      <c r="I879">
        <v>15</v>
      </c>
      <c r="J879">
        <v>3</v>
      </c>
      <c r="K879">
        <v>0</v>
      </c>
    </row>
    <row r="880" spans="1:11" x14ac:dyDescent="0.25">
      <c r="A880">
        <v>49</v>
      </c>
      <c r="B880">
        <v>1</v>
      </c>
      <c r="C880">
        <v>3</v>
      </c>
      <c r="D880">
        <v>5</v>
      </c>
      <c r="E880">
        <v>1</v>
      </c>
      <c r="F880">
        <v>23.009016429999999</v>
      </c>
      <c r="G880">
        <v>32</v>
      </c>
      <c r="H880">
        <v>36</v>
      </c>
      <c r="I880">
        <v>37</v>
      </c>
      <c r="J880">
        <v>2</v>
      </c>
      <c r="K880">
        <v>0</v>
      </c>
    </row>
    <row r="881" spans="1:11" x14ac:dyDescent="0.25">
      <c r="A881">
        <v>45</v>
      </c>
      <c r="B881">
        <v>1</v>
      </c>
      <c r="C881">
        <v>2</v>
      </c>
      <c r="D881">
        <v>5</v>
      </c>
      <c r="E881">
        <v>5</v>
      </c>
      <c r="F881">
        <v>4.4653886519999997</v>
      </c>
      <c r="G881">
        <v>23</v>
      </c>
      <c r="H881">
        <v>90</v>
      </c>
      <c r="I881">
        <v>42</v>
      </c>
      <c r="J881">
        <v>1</v>
      </c>
      <c r="K881">
        <v>0</v>
      </c>
    </row>
    <row r="882" spans="1:11" x14ac:dyDescent="0.25">
      <c r="A882">
        <v>39</v>
      </c>
      <c r="B882">
        <v>0</v>
      </c>
      <c r="C882">
        <v>3</v>
      </c>
      <c r="D882">
        <v>1</v>
      </c>
      <c r="E882">
        <v>5</v>
      </c>
      <c r="F882">
        <v>29.910919060000001</v>
      </c>
      <c r="G882">
        <v>35</v>
      </c>
      <c r="H882">
        <v>93</v>
      </c>
      <c r="I882">
        <v>86</v>
      </c>
      <c r="J882">
        <v>2</v>
      </c>
      <c r="K882">
        <v>0</v>
      </c>
    </row>
    <row r="883" spans="1:11" x14ac:dyDescent="0.25">
      <c r="A883">
        <v>47</v>
      </c>
      <c r="B883">
        <v>1</v>
      </c>
      <c r="C883">
        <v>2</v>
      </c>
      <c r="D883">
        <v>14</v>
      </c>
      <c r="E883">
        <v>1</v>
      </c>
      <c r="F883">
        <v>30.881621989999999</v>
      </c>
      <c r="G883">
        <v>9</v>
      </c>
      <c r="H883">
        <v>52</v>
      </c>
      <c r="I883">
        <v>13</v>
      </c>
      <c r="J883">
        <v>2</v>
      </c>
      <c r="K883">
        <v>0</v>
      </c>
    </row>
    <row r="884" spans="1:11" x14ac:dyDescent="0.25">
      <c r="A884">
        <v>27</v>
      </c>
      <c r="B884">
        <v>1</v>
      </c>
      <c r="C884">
        <v>2</v>
      </c>
      <c r="D884">
        <v>0</v>
      </c>
      <c r="E884">
        <v>5</v>
      </c>
      <c r="F884">
        <v>37.946522770000001</v>
      </c>
      <c r="G884">
        <v>99</v>
      </c>
      <c r="H884">
        <v>29</v>
      </c>
      <c r="I884">
        <v>5</v>
      </c>
      <c r="J884">
        <v>1</v>
      </c>
      <c r="K884">
        <v>0</v>
      </c>
    </row>
    <row r="885" spans="1:11" x14ac:dyDescent="0.25">
      <c r="A885">
        <v>48</v>
      </c>
      <c r="B885">
        <v>1</v>
      </c>
      <c r="C885">
        <v>1</v>
      </c>
      <c r="D885">
        <v>12</v>
      </c>
      <c r="E885">
        <v>2</v>
      </c>
      <c r="F885">
        <v>2.4584946150000002</v>
      </c>
      <c r="G885">
        <v>19</v>
      </c>
      <c r="H885">
        <v>2</v>
      </c>
      <c r="I885">
        <v>88</v>
      </c>
      <c r="J885">
        <v>3</v>
      </c>
      <c r="K885">
        <v>0</v>
      </c>
    </row>
    <row r="886" spans="1:11" x14ac:dyDescent="0.25">
      <c r="A886">
        <v>50</v>
      </c>
      <c r="B886">
        <v>0</v>
      </c>
      <c r="C886">
        <v>1</v>
      </c>
      <c r="D886">
        <v>13</v>
      </c>
      <c r="E886">
        <v>5</v>
      </c>
      <c r="F886">
        <v>28.06191072</v>
      </c>
      <c r="G886">
        <v>74</v>
      </c>
      <c r="H886">
        <v>42</v>
      </c>
      <c r="I886">
        <v>22</v>
      </c>
      <c r="J886">
        <v>2</v>
      </c>
      <c r="K886">
        <v>0</v>
      </c>
    </row>
    <row r="887" spans="1:11" x14ac:dyDescent="0.25">
      <c r="A887">
        <v>28</v>
      </c>
      <c r="B887">
        <v>0</v>
      </c>
      <c r="C887">
        <v>4</v>
      </c>
      <c r="D887">
        <v>13</v>
      </c>
      <c r="E887">
        <v>5</v>
      </c>
      <c r="F887">
        <v>3.6453716639999998</v>
      </c>
      <c r="G887">
        <v>11</v>
      </c>
      <c r="H887">
        <v>6</v>
      </c>
      <c r="I887">
        <v>59</v>
      </c>
      <c r="J887">
        <v>3</v>
      </c>
      <c r="K887">
        <v>0</v>
      </c>
    </row>
    <row r="888" spans="1:11" x14ac:dyDescent="0.25">
      <c r="A888">
        <v>26</v>
      </c>
      <c r="B888">
        <v>0</v>
      </c>
      <c r="C888">
        <v>2</v>
      </c>
      <c r="D888">
        <v>1</v>
      </c>
      <c r="E888">
        <v>1</v>
      </c>
      <c r="F888">
        <v>36.057211000000002</v>
      </c>
      <c r="G888">
        <v>61</v>
      </c>
      <c r="H888">
        <v>48</v>
      </c>
      <c r="I888">
        <v>11</v>
      </c>
      <c r="J888">
        <v>2</v>
      </c>
      <c r="K888">
        <v>0</v>
      </c>
    </row>
    <row r="889" spans="1:11" x14ac:dyDescent="0.25">
      <c r="A889">
        <v>20</v>
      </c>
      <c r="B889">
        <v>0</v>
      </c>
      <c r="C889">
        <v>4</v>
      </c>
      <c r="D889">
        <v>3</v>
      </c>
      <c r="E889">
        <v>4</v>
      </c>
      <c r="F889">
        <v>3.7863992849999999</v>
      </c>
      <c r="G889">
        <v>17</v>
      </c>
      <c r="H889">
        <v>72</v>
      </c>
      <c r="I889">
        <v>12</v>
      </c>
      <c r="J889">
        <v>2</v>
      </c>
      <c r="K889">
        <v>0</v>
      </c>
    </row>
    <row r="890" spans="1:11" x14ac:dyDescent="0.25">
      <c r="A890">
        <v>22</v>
      </c>
      <c r="B890">
        <v>1</v>
      </c>
      <c r="C890">
        <v>2</v>
      </c>
      <c r="D890">
        <v>1</v>
      </c>
      <c r="E890">
        <v>5</v>
      </c>
      <c r="F890">
        <v>46.586392420000003</v>
      </c>
      <c r="G890">
        <v>93</v>
      </c>
      <c r="H890">
        <v>40</v>
      </c>
      <c r="I890">
        <v>99</v>
      </c>
      <c r="J890">
        <v>2</v>
      </c>
      <c r="K890">
        <v>0</v>
      </c>
    </row>
    <row r="891" spans="1:11" x14ac:dyDescent="0.25">
      <c r="A891">
        <v>32</v>
      </c>
      <c r="B891">
        <v>1</v>
      </c>
      <c r="C891">
        <v>1</v>
      </c>
      <c r="D891">
        <v>15</v>
      </c>
      <c r="E891">
        <v>5</v>
      </c>
      <c r="F891">
        <v>36.104128340000003</v>
      </c>
      <c r="G891">
        <v>100</v>
      </c>
      <c r="H891">
        <v>76</v>
      </c>
      <c r="I891">
        <v>97</v>
      </c>
      <c r="J891">
        <v>2</v>
      </c>
      <c r="K891">
        <v>1</v>
      </c>
    </row>
    <row r="892" spans="1:11" x14ac:dyDescent="0.25">
      <c r="A892">
        <v>47</v>
      </c>
      <c r="B892">
        <v>1</v>
      </c>
      <c r="C892">
        <v>1</v>
      </c>
      <c r="D892">
        <v>0</v>
      </c>
      <c r="E892">
        <v>4</v>
      </c>
      <c r="F892">
        <v>26.36948825</v>
      </c>
      <c r="G892">
        <v>62</v>
      </c>
      <c r="H892">
        <v>78</v>
      </c>
      <c r="I892">
        <v>5</v>
      </c>
      <c r="J892">
        <v>2</v>
      </c>
      <c r="K892">
        <v>0</v>
      </c>
    </row>
    <row r="893" spans="1:11" x14ac:dyDescent="0.25">
      <c r="A893">
        <v>49</v>
      </c>
      <c r="B893">
        <v>1</v>
      </c>
      <c r="C893">
        <v>2</v>
      </c>
      <c r="D893">
        <v>6</v>
      </c>
      <c r="E893">
        <v>1</v>
      </c>
      <c r="F893">
        <v>23.075196160000001</v>
      </c>
      <c r="G893">
        <v>83</v>
      </c>
      <c r="H893">
        <v>53</v>
      </c>
      <c r="I893">
        <v>62</v>
      </c>
      <c r="J893">
        <v>3</v>
      </c>
      <c r="K893">
        <v>1</v>
      </c>
    </row>
    <row r="894" spans="1:11" x14ac:dyDescent="0.25">
      <c r="A894">
        <v>44</v>
      </c>
      <c r="B894">
        <v>0</v>
      </c>
      <c r="C894">
        <v>4</v>
      </c>
      <c r="D894">
        <v>10</v>
      </c>
      <c r="E894">
        <v>4</v>
      </c>
      <c r="F894">
        <v>7.5336315210000002</v>
      </c>
      <c r="G894">
        <v>24</v>
      </c>
      <c r="H894">
        <v>68</v>
      </c>
      <c r="I894">
        <v>37</v>
      </c>
      <c r="J894">
        <v>2</v>
      </c>
      <c r="K894">
        <v>0</v>
      </c>
    </row>
    <row r="895" spans="1:11" x14ac:dyDescent="0.25">
      <c r="A895">
        <v>50</v>
      </c>
      <c r="B895">
        <v>0</v>
      </c>
      <c r="C895">
        <v>2</v>
      </c>
      <c r="D895">
        <v>10</v>
      </c>
      <c r="E895">
        <v>1</v>
      </c>
      <c r="F895">
        <v>15.54996948</v>
      </c>
      <c r="G895">
        <v>11</v>
      </c>
      <c r="H895">
        <v>92</v>
      </c>
      <c r="I895">
        <v>49</v>
      </c>
      <c r="J895">
        <v>3</v>
      </c>
      <c r="K895">
        <v>0</v>
      </c>
    </row>
    <row r="896" spans="1:11" x14ac:dyDescent="0.25">
      <c r="A896">
        <v>47</v>
      </c>
      <c r="B896">
        <v>0</v>
      </c>
      <c r="C896">
        <v>2</v>
      </c>
      <c r="D896">
        <v>14</v>
      </c>
      <c r="E896">
        <v>2</v>
      </c>
      <c r="F896">
        <v>44.44795525</v>
      </c>
      <c r="G896">
        <v>20</v>
      </c>
      <c r="H896">
        <v>98</v>
      </c>
      <c r="I896">
        <v>51</v>
      </c>
      <c r="J896">
        <v>3</v>
      </c>
      <c r="K896">
        <v>0</v>
      </c>
    </row>
    <row r="897" spans="1:11" x14ac:dyDescent="0.25">
      <c r="A897">
        <v>36</v>
      </c>
      <c r="B897">
        <v>1</v>
      </c>
      <c r="C897">
        <v>2</v>
      </c>
      <c r="D897">
        <v>11</v>
      </c>
      <c r="E897">
        <v>1</v>
      </c>
      <c r="F897">
        <v>46.222640579999997</v>
      </c>
      <c r="G897">
        <v>24</v>
      </c>
      <c r="H897">
        <v>90</v>
      </c>
      <c r="I897">
        <v>39</v>
      </c>
      <c r="J897">
        <v>3</v>
      </c>
      <c r="K897">
        <v>0</v>
      </c>
    </row>
    <row r="898" spans="1:11" x14ac:dyDescent="0.25">
      <c r="A898">
        <v>44</v>
      </c>
      <c r="B898">
        <v>0</v>
      </c>
      <c r="C898">
        <v>1</v>
      </c>
      <c r="D898">
        <v>7</v>
      </c>
      <c r="E898">
        <v>2</v>
      </c>
      <c r="F898">
        <v>1.037385419</v>
      </c>
      <c r="G898">
        <v>10</v>
      </c>
      <c r="H898">
        <v>26</v>
      </c>
      <c r="I898">
        <v>7</v>
      </c>
      <c r="J898">
        <v>2</v>
      </c>
      <c r="K898">
        <v>0</v>
      </c>
    </row>
    <row r="899" spans="1:11" x14ac:dyDescent="0.25">
      <c r="A899">
        <v>43</v>
      </c>
      <c r="B899">
        <v>0</v>
      </c>
      <c r="C899">
        <v>2</v>
      </c>
      <c r="D899">
        <v>5</v>
      </c>
      <c r="E899">
        <v>2</v>
      </c>
      <c r="F899">
        <v>30.70681957</v>
      </c>
      <c r="G899">
        <v>63</v>
      </c>
      <c r="H899">
        <v>7</v>
      </c>
      <c r="I899">
        <v>60</v>
      </c>
      <c r="J899">
        <v>2</v>
      </c>
      <c r="K899">
        <v>0</v>
      </c>
    </row>
    <row r="900" spans="1:11" x14ac:dyDescent="0.25">
      <c r="A900">
        <v>20</v>
      </c>
      <c r="B900">
        <v>1</v>
      </c>
      <c r="C900">
        <v>1</v>
      </c>
      <c r="D900">
        <v>3</v>
      </c>
      <c r="E900">
        <v>1</v>
      </c>
      <c r="F900">
        <v>36.96503045</v>
      </c>
      <c r="G900">
        <v>72</v>
      </c>
      <c r="H900">
        <v>31</v>
      </c>
      <c r="I900">
        <v>7</v>
      </c>
      <c r="J900">
        <v>1</v>
      </c>
      <c r="K900">
        <v>0</v>
      </c>
    </row>
    <row r="901" spans="1:11" x14ac:dyDescent="0.25">
      <c r="A901">
        <v>25</v>
      </c>
      <c r="B901">
        <v>1</v>
      </c>
      <c r="C901">
        <v>3</v>
      </c>
      <c r="D901">
        <v>13</v>
      </c>
      <c r="E901">
        <v>3</v>
      </c>
      <c r="F901">
        <v>31.93734912</v>
      </c>
      <c r="G901">
        <v>49</v>
      </c>
      <c r="H901">
        <v>83</v>
      </c>
      <c r="I901">
        <v>96</v>
      </c>
      <c r="J901">
        <v>2</v>
      </c>
      <c r="K901">
        <v>1</v>
      </c>
    </row>
    <row r="902" spans="1:11" x14ac:dyDescent="0.25">
      <c r="A902">
        <v>40</v>
      </c>
      <c r="B902">
        <v>0</v>
      </c>
      <c r="C902">
        <v>2</v>
      </c>
      <c r="D902">
        <v>5</v>
      </c>
      <c r="E902">
        <v>1</v>
      </c>
      <c r="F902">
        <v>5.0839882430000003</v>
      </c>
      <c r="G902">
        <v>61</v>
      </c>
      <c r="H902">
        <v>63</v>
      </c>
      <c r="I902">
        <v>33</v>
      </c>
      <c r="J902">
        <v>1</v>
      </c>
      <c r="K902">
        <v>0</v>
      </c>
    </row>
    <row r="903" spans="1:11" x14ac:dyDescent="0.25">
      <c r="A903">
        <v>25</v>
      </c>
      <c r="B903">
        <v>0</v>
      </c>
      <c r="C903">
        <v>2</v>
      </c>
      <c r="D903">
        <v>2</v>
      </c>
      <c r="E903">
        <v>5</v>
      </c>
      <c r="F903">
        <v>11.886244939999999</v>
      </c>
      <c r="G903">
        <v>88</v>
      </c>
      <c r="H903">
        <v>9</v>
      </c>
      <c r="I903">
        <v>78</v>
      </c>
      <c r="J903">
        <v>1</v>
      </c>
      <c r="K903">
        <v>1</v>
      </c>
    </row>
    <row r="904" spans="1:11" x14ac:dyDescent="0.25">
      <c r="A904">
        <v>45</v>
      </c>
      <c r="B904">
        <v>0</v>
      </c>
      <c r="C904">
        <v>2</v>
      </c>
      <c r="D904">
        <v>11</v>
      </c>
      <c r="E904">
        <v>5</v>
      </c>
      <c r="F904">
        <v>13.517013370000001</v>
      </c>
      <c r="G904">
        <v>98</v>
      </c>
      <c r="H904">
        <v>12</v>
      </c>
      <c r="I904">
        <v>99</v>
      </c>
      <c r="J904">
        <v>1</v>
      </c>
      <c r="K904">
        <v>1</v>
      </c>
    </row>
    <row r="905" spans="1:11" x14ac:dyDescent="0.25">
      <c r="A905">
        <v>31</v>
      </c>
      <c r="B905">
        <v>0</v>
      </c>
      <c r="C905">
        <v>2</v>
      </c>
      <c r="D905">
        <v>7</v>
      </c>
      <c r="E905">
        <v>3</v>
      </c>
      <c r="F905">
        <v>42.586231570000002</v>
      </c>
      <c r="G905">
        <v>95</v>
      </c>
      <c r="H905">
        <v>62</v>
      </c>
      <c r="I905">
        <v>59</v>
      </c>
      <c r="J905">
        <v>3</v>
      </c>
      <c r="K905">
        <v>0</v>
      </c>
    </row>
    <row r="906" spans="1:11" x14ac:dyDescent="0.25">
      <c r="A906">
        <v>32</v>
      </c>
      <c r="B906">
        <v>0</v>
      </c>
      <c r="C906">
        <v>4</v>
      </c>
      <c r="D906">
        <v>9</v>
      </c>
      <c r="E906">
        <v>2</v>
      </c>
      <c r="F906">
        <v>24.159971819999999</v>
      </c>
      <c r="G906">
        <v>48</v>
      </c>
      <c r="H906">
        <v>92</v>
      </c>
      <c r="I906">
        <v>56</v>
      </c>
      <c r="J906">
        <v>3</v>
      </c>
      <c r="K906">
        <v>0</v>
      </c>
    </row>
    <row r="907" spans="1:11" x14ac:dyDescent="0.25">
      <c r="A907">
        <v>32</v>
      </c>
      <c r="B907">
        <v>0</v>
      </c>
      <c r="C907">
        <v>2</v>
      </c>
      <c r="D907">
        <v>13</v>
      </c>
      <c r="E907">
        <v>3</v>
      </c>
      <c r="F907">
        <v>25.3414106</v>
      </c>
      <c r="G907">
        <v>13</v>
      </c>
      <c r="H907">
        <v>34</v>
      </c>
      <c r="I907">
        <v>98</v>
      </c>
      <c r="J907">
        <v>2</v>
      </c>
      <c r="K907">
        <v>0</v>
      </c>
    </row>
    <row r="908" spans="1:11" x14ac:dyDescent="0.25">
      <c r="A908">
        <v>48</v>
      </c>
      <c r="B908">
        <v>1</v>
      </c>
      <c r="C908">
        <v>1</v>
      </c>
      <c r="D908">
        <v>12</v>
      </c>
      <c r="E908">
        <v>5</v>
      </c>
      <c r="F908">
        <v>47.744652330000001</v>
      </c>
      <c r="G908">
        <v>0</v>
      </c>
      <c r="H908">
        <v>60</v>
      </c>
      <c r="I908">
        <v>45</v>
      </c>
      <c r="J908">
        <v>2</v>
      </c>
      <c r="K908">
        <v>0</v>
      </c>
    </row>
    <row r="909" spans="1:11" x14ac:dyDescent="0.25">
      <c r="A909">
        <v>34</v>
      </c>
      <c r="B909">
        <v>1</v>
      </c>
      <c r="C909">
        <v>2</v>
      </c>
      <c r="D909">
        <v>12</v>
      </c>
      <c r="E909">
        <v>3</v>
      </c>
      <c r="F909">
        <v>32.854294439999997</v>
      </c>
      <c r="G909">
        <v>80</v>
      </c>
      <c r="H909">
        <v>53</v>
      </c>
      <c r="I909">
        <v>21</v>
      </c>
      <c r="J909">
        <v>2</v>
      </c>
      <c r="K909">
        <v>0</v>
      </c>
    </row>
    <row r="910" spans="1:11" x14ac:dyDescent="0.25">
      <c r="A910">
        <v>40</v>
      </c>
      <c r="B910">
        <v>1</v>
      </c>
      <c r="C910">
        <v>1</v>
      </c>
      <c r="D910">
        <v>1</v>
      </c>
      <c r="E910">
        <v>1</v>
      </c>
      <c r="F910">
        <v>45.933385080000001</v>
      </c>
      <c r="G910">
        <v>24</v>
      </c>
      <c r="H910">
        <v>7</v>
      </c>
      <c r="I910">
        <v>86</v>
      </c>
      <c r="J910">
        <v>2</v>
      </c>
      <c r="K910">
        <v>0</v>
      </c>
    </row>
    <row r="911" spans="1:11" x14ac:dyDescent="0.25">
      <c r="A911">
        <v>35</v>
      </c>
      <c r="B911">
        <v>0</v>
      </c>
      <c r="C911">
        <v>1</v>
      </c>
      <c r="D911">
        <v>4</v>
      </c>
      <c r="E911">
        <v>3</v>
      </c>
      <c r="F911">
        <v>23.825442769999999</v>
      </c>
      <c r="G911">
        <v>58</v>
      </c>
      <c r="H911">
        <v>28</v>
      </c>
      <c r="I911">
        <v>39</v>
      </c>
      <c r="J911">
        <v>2</v>
      </c>
      <c r="K911">
        <v>0</v>
      </c>
    </row>
    <row r="912" spans="1:11" x14ac:dyDescent="0.25">
      <c r="A912">
        <v>41</v>
      </c>
      <c r="B912">
        <v>1</v>
      </c>
      <c r="C912">
        <v>4</v>
      </c>
      <c r="D912">
        <v>0</v>
      </c>
      <c r="E912">
        <v>2</v>
      </c>
      <c r="F912">
        <v>8.4718129260000001</v>
      </c>
      <c r="G912">
        <v>71</v>
      </c>
      <c r="H912">
        <v>94</v>
      </c>
      <c r="I912">
        <v>44</v>
      </c>
      <c r="J912">
        <v>2</v>
      </c>
      <c r="K912">
        <v>0</v>
      </c>
    </row>
    <row r="913" spans="1:11" x14ac:dyDescent="0.25">
      <c r="A913">
        <v>40</v>
      </c>
      <c r="B913">
        <v>0</v>
      </c>
      <c r="C913">
        <v>3</v>
      </c>
      <c r="D913">
        <v>5</v>
      </c>
      <c r="E913">
        <v>1</v>
      </c>
      <c r="F913">
        <v>47.496779699999998</v>
      </c>
      <c r="G913">
        <v>68</v>
      </c>
      <c r="H913">
        <v>40</v>
      </c>
      <c r="I913">
        <v>54</v>
      </c>
      <c r="J913">
        <v>2</v>
      </c>
      <c r="K913">
        <v>0</v>
      </c>
    </row>
    <row r="914" spans="1:11" x14ac:dyDescent="0.25">
      <c r="A914">
        <v>30</v>
      </c>
      <c r="B914">
        <v>0</v>
      </c>
      <c r="C914">
        <v>4</v>
      </c>
      <c r="D914">
        <v>1</v>
      </c>
      <c r="E914">
        <v>4</v>
      </c>
      <c r="F914">
        <v>23.935255779999999</v>
      </c>
      <c r="G914">
        <v>4</v>
      </c>
      <c r="H914">
        <v>29</v>
      </c>
      <c r="I914">
        <v>50</v>
      </c>
      <c r="J914">
        <v>2</v>
      </c>
      <c r="K914">
        <v>0</v>
      </c>
    </row>
    <row r="915" spans="1:11" x14ac:dyDescent="0.25">
      <c r="A915">
        <v>47</v>
      </c>
      <c r="B915">
        <v>1</v>
      </c>
      <c r="C915">
        <v>2</v>
      </c>
      <c r="D915">
        <v>3</v>
      </c>
      <c r="E915">
        <v>5</v>
      </c>
      <c r="F915">
        <v>10.081571090000001</v>
      </c>
      <c r="G915">
        <v>98</v>
      </c>
      <c r="H915">
        <v>85</v>
      </c>
      <c r="I915">
        <v>85</v>
      </c>
      <c r="J915">
        <v>2</v>
      </c>
      <c r="K915">
        <v>0</v>
      </c>
    </row>
    <row r="916" spans="1:11" x14ac:dyDescent="0.25">
      <c r="A916">
        <v>24</v>
      </c>
      <c r="B916">
        <v>0</v>
      </c>
      <c r="C916">
        <v>2</v>
      </c>
      <c r="D916">
        <v>5</v>
      </c>
      <c r="E916">
        <v>5</v>
      </c>
      <c r="F916">
        <v>16.11978702</v>
      </c>
      <c r="G916">
        <v>18</v>
      </c>
      <c r="H916">
        <v>20</v>
      </c>
      <c r="I916">
        <v>4</v>
      </c>
      <c r="J916">
        <v>2</v>
      </c>
      <c r="K916">
        <v>0</v>
      </c>
    </row>
    <row r="917" spans="1:11" x14ac:dyDescent="0.25">
      <c r="A917">
        <v>23</v>
      </c>
      <c r="B917">
        <v>0</v>
      </c>
      <c r="C917">
        <v>1</v>
      </c>
      <c r="D917">
        <v>9</v>
      </c>
      <c r="E917">
        <v>3</v>
      </c>
      <c r="F917">
        <v>3.5401294839999999</v>
      </c>
      <c r="G917">
        <v>22</v>
      </c>
      <c r="H917">
        <v>75</v>
      </c>
      <c r="I917">
        <v>94</v>
      </c>
      <c r="J917">
        <v>3</v>
      </c>
      <c r="K917">
        <v>0</v>
      </c>
    </row>
    <row r="918" spans="1:11" x14ac:dyDescent="0.25">
      <c r="A918">
        <v>22</v>
      </c>
      <c r="B918">
        <v>1</v>
      </c>
      <c r="C918">
        <v>2</v>
      </c>
      <c r="D918">
        <v>10</v>
      </c>
      <c r="E918">
        <v>1</v>
      </c>
      <c r="F918">
        <v>24.415029570000002</v>
      </c>
      <c r="G918">
        <v>8</v>
      </c>
      <c r="H918">
        <v>10</v>
      </c>
      <c r="I918">
        <v>12</v>
      </c>
      <c r="J918">
        <v>1</v>
      </c>
      <c r="K918">
        <v>0</v>
      </c>
    </row>
    <row r="919" spans="1:11" x14ac:dyDescent="0.25">
      <c r="A919">
        <v>38</v>
      </c>
      <c r="B919">
        <v>1</v>
      </c>
      <c r="C919">
        <v>3</v>
      </c>
      <c r="D919">
        <v>7</v>
      </c>
      <c r="E919">
        <v>4</v>
      </c>
      <c r="F919">
        <v>43.656408599999999</v>
      </c>
      <c r="G919">
        <v>93</v>
      </c>
      <c r="H919">
        <v>1</v>
      </c>
      <c r="I919">
        <v>27</v>
      </c>
      <c r="J919">
        <v>2</v>
      </c>
      <c r="K919">
        <v>0</v>
      </c>
    </row>
    <row r="920" spans="1:11" x14ac:dyDescent="0.25">
      <c r="A920">
        <v>39</v>
      </c>
      <c r="B920">
        <v>1</v>
      </c>
      <c r="C920">
        <v>2</v>
      </c>
      <c r="D920">
        <v>11</v>
      </c>
      <c r="E920">
        <v>1</v>
      </c>
      <c r="F920">
        <v>47.679022799999998</v>
      </c>
      <c r="G920">
        <v>49</v>
      </c>
      <c r="H920">
        <v>49</v>
      </c>
      <c r="I920">
        <v>83</v>
      </c>
      <c r="J920">
        <v>2</v>
      </c>
      <c r="K920">
        <v>0</v>
      </c>
    </row>
    <row r="921" spans="1:11" x14ac:dyDescent="0.25">
      <c r="A921">
        <v>44</v>
      </c>
      <c r="B921">
        <v>0</v>
      </c>
      <c r="C921">
        <v>3</v>
      </c>
      <c r="D921">
        <v>7</v>
      </c>
      <c r="E921">
        <v>5</v>
      </c>
      <c r="F921">
        <v>47.630110379999998</v>
      </c>
      <c r="G921">
        <v>15</v>
      </c>
      <c r="H921">
        <v>40</v>
      </c>
      <c r="I921">
        <v>96</v>
      </c>
      <c r="J921">
        <v>1</v>
      </c>
      <c r="K921">
        <v>1</v>
      </c>
    </row>
    <row r="922" spans="1:11" x14ac:dyDescent="0.25">
      <c r="A922">
        <v>37</v>
      </c>
      <c r="B922">
        <v>1</v>
      </c>
      <c r="C922">
        <v>3</v>
      </c>
      <c r="D922">
        <v>10</v>
      </c>
      <c r="E922">
        <v>1</v>
      </c>
      <c r="F922">
        <v>7.2615012810000001</v>
      </c>
      <c r="G922">
        <v>32</v>
      </c>
      <c r="H922">
        <v>65</v>
      </c>
      <c r="I922">
        <v>79</v>
      </c>
      <c r="J922">
        <v>2</v>
      </c>
      <c r="K922">
        <v>1</v>
      </c>
    </row>
    <row r="923" spans="1:11" x14ac:dyDescent="0.25">
      <c r="A923">
        <v>34</v>
      </c>
      <c r="B923">
        <v>1</v>
      </c>
      <c r="C923">
        <v>1</v>
      </c>
      <c r="D923">
        <v>5</v>
      </c>
      <c r="E923">
        <v>4</v>
      </c>
      <c r="F923">
        <v>20.10269413</v>
      </c>
      <c r="G923">
        <v>1</v>
      </c>
      <c r="H923">
        <v>97</v>
      </c>
      <c r="I923">
        <v>61</v>
      </c>
      <c r="J923">
        <v>1</v>
      </c>
      <c r="K923">
        <v>1</v>
      </c>
    </row>
    <row r="924" spans="1:11" x14ac:dyDescent="0.25">
      <c r="A924">
        <v>28</v>
      </c>
      <c r="B924">
        <v>0</v>
      </c>
      <c r="C924">
        <v>2</v>
      </c>
      <c r="D924">
        <v>3</v>
      </c>
      <c r="E924">
        <v>3</v>
      </c>
      <c r="F924">
        <v>2.4114379829999999</v>
      </c>
      <c r="G924">
        <v>13</v>
      </c>
      <c r="H924">
        <v>2</v>
      </c>
      <c r="I924">
        <v>92</v>
      </c>
      <c r="J924">
        <v>2</v>
      </c>
      <c r="K924">
        <v>0</v>
      </c>
    </row>
    <row r="925" spans="1:11" x14ac:dyDescent="0.25">
      <c r="A925">
        <v>36</v>
      </c>
      <c r="B925">
        <v>1</v>
      </c>
      <c r="C925">
        <v>2</v>
      </c>
      <c r="D925">
        <v>7</v>
      </c>
      <c r="E925">
        <v>2</v>
      </c>
      <c r="F925">
        <v>43.758267250000003</v>
      </c>
      <c r="G925">
        <v>0</v>
      </c>
      <c r="H925">
        <v>79</v>
      </c>
      <c r="I925">
        <v>86</v>
      </c>
      <c r="J925">
        <v>2</v>
      </c>
      <c r="K925">
        <v>0</v>
      </c>
    </row>
    <row r="926" spans="1:11" x14ac:dyDescent="0.25">
      <c r="A926">
        <v>33</v>
      </c>
      <c r="B926">
        <v>1</v>
      </c>
      <c r="C926">
        <v>2</v>
      </c>
      <c r="D926">
        <v>12</v>
      </c>
      <c r="E926">
        <v>1</v>
      </c>
      <c r="F926">
        <v>18.937788099999999</v>
      </c>
      <c r="G926">
        <v>89</v>
      </c>
      <c r="H926">
        <v>50</v>
      </c>
      <c r="I926">
        <v>23</v>
      </c>
      <c r="J926">
        <v>2</v>
      </c>
      <c r="K926">
        <v>0</v>
      </c>
    </row>
    <row r="927" spans="1:11" x14ac:dyDescent="0.25">
      <c r="A927">
        <v>34</v>
      </c>
      <c r="B927">
        <v>1</v>
      </c>
      <c r="C927">
        <v>3</v>
      </c>
      <c r="D927">
        <v>7</v>
      </c>
      <c r="E927">
        <v>2</v>
      </c>
      <c r="F927">
        <v>32.555851390000001</v>
      </c>
      <c r="G927">
        <v>57</v>
      </c>
      <c r="H927">
        <v>67</v>
      </c>
      <c r="I927">
        <v>97</v>
      </c>
      <c r="J927">
        <v>2</v>
      </c>
      <c r="K927">
        <v>1</v>
      </c>
    </row>
    <row r="928" spans="1:11" x14ac:dyDescent="0.25">
      <c r="A928">
        <v>50</v>
      </c>
      <c r="B928">
        <v>0</v>
      </c>
      <c r="C928">
        <v>2</v>
      </c>
      <c r="D928">
        <v>9</v>
      </c>
      <c r="E928">
        <v>5</v>
      </c>
      <c r="F928">
        <v>36.744921900000001</v>
      </c>
      <c r="G928">
        <v>88</v>
      </c>
      <c r="H928">
        <v>86</v>
      </c>
      <c r="I928">
        <v>6</v>
      </c>
      <c r="J928">
        <v>1</v>
      </c>
      <c r="K928">
        <v>1</v>
      </c>
    </row>
    <row r="929" spans="1:11" x14ac:dyDescent="0.25">
      <c r="A929">
        <v>20</v>
      </c>
      <c r="B929">
        <v>0</v>
      </c>
      <c r="C929">
        <v>1</v>
      </c>
      <c r="D929">
        <v>13</v>
      </c>
      <c r="E929">
        <v>3</v>
      </c>
      <c r="F929">
        <v>22.49223349</v>
      </c>
      <c r="G929">
        <v>15</v>
      </c>
      <c r="H929">
        <v>83</v>
      </c>
      <c r="I929">
        <v>37</v>
      </c>
      <c r="J929">
        <v>2</v>
      </c>
      <c r="K929">
        <v>0</v>
      </c>
    </row>
    <row r="930" spans="1:11" x14ac:dyDescent="0.25">
      <c r="A930">
        <v>40</v>
      </c>
      <c r="B930">
        <v>0</v>
      </c>
      <c r="C930">
        <v>2</v>
      </c>
      <c r="D930">
        <v>0</v>
      </c>
      <c r="E930">
        <v>3</v>
      </c>
      <c r="F930">
        <v>16.322116829999999</v>
      </c>
      <c r="G930">
        <v>78</v>
      </c>
      <c r="H930">
        <v>24</v>
      </c>
      <c r="I930">
        <v>36</v>
      </c>
      <c r="J930">
        <v>1</v>
      </c>
      <c r="K930">
        <v>0</v>
      </c>
    </row>
    <row r="931" spans="1:11" x14ac:dyDescent="0.25">
      <c r="A931">
        <v>41</v>
      </c>
      <c r="B931">
        <v>0</v>
      </c>
      <c r="C931">
        <v>4</v>
      </c>
      <c r="D931">
        <v>15</v>
      </c>
      <c r="E931">
        <v>1</v>
      </c>
      <c r="F931">
        <v>49.110645509999998</v>
      </c>
      <c r="G931">
        <v>89</v>
      </c>
      <c r="H931">
        <v>29</v>
      </c>
      <c r="I931">
        <v>67</v>
      </c>
      <c r="J931">
        <v>3</v>
      </c>
      <c r="K931">
        <v>1</v>
      </c>
    </row>
    <row r="932" spans="1:11" x14ac:dyDescent="0.25">
      <c r="A932">
        <v>41</v>
      </c>
      <c r="B932">
        <v>1</v>
      </c>
      <c r="C932">
        <v>1</v>
      </c>
      <c r="D932">
        <v>3</v>
      </c>
      <c r="E932">
        <v>3</v>
      </c>
      <c r="F932">
        <v>49.224411250000003</v>
      </c>
      <c r="G932">
        <v>46</v>
      </c>
      <c r="H932">
        <v>81</v>
      </c>
      <c r="I932">
        <v>97</v>
      </c>
      <c r="J932">
        <v>3</v>
      </c>
      <c r="K932">
        <v>0</v>
      </c>
    </row>
    <row r="933" spans="1:11" x14ac:dyDescent="0.25">
      <c r="A933">
        <v>22</v>
      </c>
      <c r="B933">
        <v>0</v>
      </c>
      <c r="C933">
        <v>3</v>
      </c>
      <c r="D933">
        <v>3</v>
      </c>
      <c r="E933">
        <v>1</v>
      </c>
      <c r="F933">
        <v>15.4718184</v>
      </c>
      <c r="G933">
        <v>43</v>
      </c>
      <c r="H933">
        <v>10</v>
      </c>
      <c r="I933">
        <v>41</v>
      </c>
      <c r="J933">
        <v>2</v>
      </c>
      <c r="K933">
        <v>0</v>
      </c>
    </row>
    <row r="934" spans="1:11" x14ac:dyDescent="0.25">
      <c r="A934">
        <v>35</v>
      </c>
      <c r="B934">
        <v>0</v>
      </c>
      <c r="C934">
        <v>2</v>
      </c>
      <c r="D934">
        <v>6</v>
      </c>
      <c r="E934">
        <v>1</v>
      </c>
      <c r="F934">
        <v>24.981254839999998</v>
      </c>
      <c r="G934">
        <v>79</v>
      </c>
      <c r="H934">
        <v>92</v>
      </c>
      <c r="I934">
        <v>85</v>
      </c>
      <c r="J934">
        <v>3</v>
      </c>
      <c r="K934">
        <v>1</v>
      </c>
    </row>
    <row r="935" spans="1:11" x14ac:dyDescent="0.25">
      <c r="A935">
        <v>42</v>
      </c>
      <c r="B935">
        <v>1</v>
      </c>
      <c r="C935">
        <v>3</v>
      </c>
      <c r="D935">
        <v>15</v>
      </c>
      <c r="E935">
        <v>2</v>
      </c>
      <c r="F935">
        <v>49.642207929999998</v>
      </c>
      <c r="G935">
        <v>13</v>
      </c>
      <c r="H935">
        <v>16</v>
      </c>
      <c r="I935">
        <v>4</v>
      </c>
      <c r="J935">
        <v>2</v>
      </c>
      <c r="K935">
        <v>0</v>
      </c>
    </row>
    <row r="936" spans="1:11" x14ac:dyDescent="0.25">
      <c r="A936">
        <v>44</v>
      </c>
      <c r="B936">
        <v>1</v>
      </c>
      <c r="C936">
        <v>3</v>
      </c>
      <c r="D936">
        <v>13</v>
      </c>
      <c r="E936">
        <v>3</v>
      </c>
      <c r="F936">
        <v>1.2434203829999999</v>
      </c>
      <c r="G936">
        <v>92</v>
      </c>
      <c r="H936">
        <v>25</v>
      </c>
      <c r="I936">
        <v>63</v>
      </c>
      <c r="J936">
        <v>3</v>
      </c>
      <c r="K936">
        <v>1</v>
      </c>
    </row>
    <row r="937" spans="1:11" x14ac:dyDescent="0.25">
      <c r="A937">
        <v>30</v>
      </c>
      <c r="B937">
        <v>1</v>
      </c>
      <c r="C937">
        <v>2</v>
      </c>
      <c r="D937">
        <v>13</v>
      </c>
      <c r="E937">
        <v>1</v>
      </c>
      <c r="F937">
        <v>21.633912420000001</v>
      </c>
      <c r="G937">
        <v>23</v>
      </c>
      <c r="H937">
        <v>22</v>
      </c>
      <c r="I937">
        <v>49</v>
      </c>
      <c r="J937">
        <v>2</v>
      </c>
      <c r="K937">
        <v>0</v>
      </c>
    </row>
    <row r="938" spans="1:11" x14ac:dyDescent="0.25">
      <c r="A938">
        <v>31</v>
      </c>
      <c r="B938">
        <v>0</v>
      </c>
      <c r="C938">
        <v>2</v>
      </c>
      <c r="D938">
        <v>10</v>
      </c>
      <c r="E938">
        <v>2</v>
      </c>
      <c r="F938">
        <v>6.0228774840000003</v>
      </c>
      <c r="G938">
        <v>54</v>
      </c>
      <c r="H938">
        <v>55</v>
      </c>
      <c r="I938">
        <v>86</v>
      </c>
      <c r="J938">
        <v>1</v>
      </c>
      <c r="K938">
        <v>1</v>
      </c>
    </row>
    <row r="939" spans="1:11" x14ac:dyDescent="0.25">
      <c r="A939">
        <v>29</v>
      </c>
      <c r="B939">
        <v>0</v>
      </c>
      <c r="C939">
        <v>3</v>
      </c>
      <c r="D939">
        <v>6</v>
      </c>
      <c r="E939">
        <v>4</v>
      </c>
      <c r="F939">
        <v>26.457898279999998</v>
      </c>
      <c r="G939">
        <v>14</v>
      </c>
      <c r="H939">
        <v>51</v>
      </c>
      <c r="I939">
        <v>14</v>
      </c>
      <c r="J939">
        <v>3</v>
      </c>
      <c r="K939">
        <v>0</v>
      </c>
    </row>
    <row r="940" spans="1:11" x14ac:dyDescent="0.25">
      <c r="A940">
        <v>35</v>
      </c>
      <c r="B940">
        <v>0</v>
      </c>
      <c r="C940">
        <v>2</v>
      </c>
      <c r="D940">
        <v>15</v>
      </c>
      <c r="E940">
        <v>2</v>
      </c>
      <c r="F940">
        <v>2.233497727</v>
      </c>
      <c r="G940">
        <v>82</v>
      </c>
      <c r="H940">
        <v>47</v>
      </c>
      <c r="I940">
        <v>94</v>
      </c>
      <c r="J940">
        <v>1</v>
      </c>
      <c r="K940">
        <v>1</v>
      </c>
    </row>
    <row r="941" spans="1:11" x14ac:dyDescent="0.25">
      <c r="A941">
        <v>27</v>
      </c>
      <c r="B941">
        <v>1</v>
      </c>
      <c r="C941">
        <v>3</v>
      </c>
      <c r="D941">
        <v>12</v>
      </c>
      <c r="E941">
        <v>2</v>
      </c>
      <c r="F941">
        <v>21.34492157</v>
      </c>
      <c r="G941">
        <v>71</v>
      </c>
      <c r="H941">
        <v>19</v>
      </c>
      <c r="I941">
        <v>72</v>
      </c>
      <c r="J941">
        <v>1</v>
      </c>
      <c r="K941">
        <v>1</v>
      </c>
    </row>
    <row r="942" spans="1:11" x14ac:dyDescent="0.25">
      <c r="A942">
        <v>25</v>
      </c>
      <c r="B942">
        <v>1</v>
      </c>
      <c r="C942">
        <v>1</v>
      </c>
      <c r="D942">
        <v>10</v>
      </c>
      <c r="E942">
        <v>1</v>
      </c>
      <c r="F942">
        <v>12.034953740000001</v>
      </c>
      <c r="G942">
        <v>33</v>
      </c>
      <c r="H942">
        <v>1</v>
      </c>
      <c r="I942">
        <v>52</v>
      </c>
      <c r="J942">
        <v>1</v>
      </c>
      <c r="K942">
        <v>0</v>
      </c>
    </row>
    <row r="943" spans="1:11" x14ac:dyDescent="0.25">
      <c r="A943">
        <v>31</v>
      </c>
      <c r="B943">
        <v>0</v>
      </c>
      <c r="C943">
        <v>3</v>
      </c>
      <c r="D943">
        <v>14</v>
      </c>
      <c r="E943">
        <v>5</v>
      </c>
      <c r="F943">
        <v>27.665418119999998</v>
      </c>
      <c r="G943">
        <v>1</v>
      </c>
      <c r="H943">
        <v>87</v>
      </c>
      <c r="I943">
        <v>24</v>
      </c>
      <c r="J943">
        <v>2</v>
      </c>
      <c r="K943">
        <v>0</v>
      </c>
    </row>
    <row r="944" spans="1:11" x14ac:dyDescent="0.25">
      <c r="A944">
        <v>43</v>
      </c>
      <c r="B944">
        <v>1</v>
      </c>
      <c r="C944">
        <v>3</v>
      </c>
      <c r="D944">
        <v>7</v>
      </c>
      <c r="E944">
        <v>5</v>
      </c>
      <c r="F944">
        <v>50.79968246</v>
      </c>
      <c r="G944">
        <v>26</v>
      </c>
      <c r="H944">
        <v>30</v>
      </c>
      <c r="I944">
        <v>88</v>
      </c>
      <c r="J944">
        <v>2</v>
      </c>
      <c r="K944">
        <v>0</v>
      </c>
    </row>
    <row r="945" spans="1:11" x14ac:dyDescent="0.25">
      <c r="A945">
        <v>47</v>
      </c>
      <c r="B945">
        <v>1</v>
      </c>
      <c r="C945">
        <v>4</v>
      </c>
      <c r="D945">
        <v>15</v>
      </c>
      <c r="E945">
        <v>5</v>
      </c>
      <c r="F945">
        <v>41.026805260000003</v>
      </c>
      <c r="G945">
        <v>73</v>
      </c>
      <c r="H945">
        <v>26</v>
      </c>
      <c r="I945">
        <v>84</v>
      </c>
      <c r="J945">
        <v>2</v>
      </c>
      <c r="K945">
        <v>1</v>
      </c>
    </row>
    <row r="946" spans="1:11" x14ac:dyDescent="0.25">
      <c r="A946">
        <v>40</v>
      </c>
      <c r="B946">
        <v>1</v>
      </c>
      <c r="C946">
        <v>1</v>
      </c>
      <c r="D946">
        <v>10</v>
      </c>
      <c r="E946">
        <v>2</v>
      </c>
      <c r="F946">
        <v>43.282104580000002</v>
      </c>
      <c r="G946">
        <v>98</v>
      </c>
      <c r="H946">
        <v>1</v>
      </c>
      <c r="I946">
        <v>8</v>
      </c>
      <c r="J946">
        <v>3</v>
      </c>
      <c r="K946">
        <v>0</v>
      </c>
    </row>
    <row r="947" spans="1:11" x14ac:dyDescent="0.25">
      <c r="A947">
        <v>27</v>
      </c>
      <c r="B947">
        <v>0</v>
      </c>
      <c r="C947">
        <v>2</v>
      </c>
      <c r="D947">
        <v>4</v>
      </c>
      <c r="E947">
        <v>1</v>
      </c>
      <c r="F947">
        <v>32.763249369999997</v>
      </c>
      <c r="G947">
        <v>86</v>
      </c>
      <c r="H947">
        <v>77</v>
      </c>
      <c r="I947">
        <v>37</v>
      </c>
      <c r="J947">
        <v>1</v>
      </c>
      <c r="K947">
        <v>1</v>
      </c>
    </row>
    <row r="948" spans="1:11" x14ac:dyDescent="0.25">
      <c r="A948">
        <v>45</v>
      </c>
      <c r="B948">
        <v>1</v>
      </c>
      <c r="C948">
        <v>2</v>
      </c>
      <c r="D948">
        <v>6</v>
      </c>
      <c r="E948">
        <v>3</v>
      </c>
      <c r="F948">
        <v>3.0779924140000001</v>
      </c>
      <c r="G948">
        <v>71</v>
      </c>
      <c r="H948">
        <v>3</v>
      </c>
      <c r="I948">
        <v>21</v>
      </c>
      <c r="J948">
        <v>3</v>
      </c>
      <c r="K948">
        <v>0</v>
      </c>
    </row>
    <row r="949" spans="1:11" x14ac:dyDescent="0.25">
      <c r="A949">
        <v>47</v>
      </c>
      <c r="B949">
        <v>1</v>
      </c>
      <c r="C949">
        <v>2</v>
      </c>
      <c r="D949">
        <v>7</v>
      </c>
      <c r="E949">
        <v>2</v>
      </c>
      <c r="F949">
        <v>11.339883800000001</v>
      </c>
      <c r="G949">
        <v>91</v>
      </c>
      <c r="H949">
        <v>12</v>
      </c>
      <c r="I949">
        <v>86</v>
      </c>
      <c r="J949">
        <v>3</v>
      </c>
      <c r="K949">
        <v>0</v>
      </c>
    </row>
    <row r="950" spans="1:11" x14ac:dyDescent="0.25">
      <c r="A950">
        <v>23</v>
      </c>
      <c r="B950">
        <v>0</v>
      </c>
      <c r="C950">
        <v>2</v>
      </c>
      <c r="D950">
        <v>15</v>
      </c>
      <c r="E950">
        <v>2</v>
      </c>
      <c r="F950">
        <v>47.253227819999999</v>
      </c>
      <c r="G950">
        <v>22</v>
      </c>
      <c r="H950">
        <v>99</v>
      </c>
      <c r="I950">
        <v>48</v>
      </c>
      <c r="J950">
        <v>1</v>
      </c>
      <c r="K950">
        <v>1</v>
      </c>
    </row>
    <row r="951" spans="1:11" x14ac:dyDescent="0.25">
      <c r="A951">
        <v>45</v>
      </c>
      <c r="B951">
        <v>0</v>
      </c>
      <c r="C951">
        <v>1</v>
      </c>
      <c r="D951">
        <v>14</v>
      </c>
      <c r="E951">
        <v>1</v>
      </c>
      <c r="F951">
        <v>19.305655900000001</v>
      </c>
      <c r="G951">
        <v>67</v>
      </c>
      <c r="H951">
        <v>34</v>
      </c>
      <c r="I951">
        <v>67</v>
      </c>
      <c r="J951">
        <v>2</v>
      </c>
      <c r="K951">
        <v>0</v>
      </c>
    </row>
    <row r="952" spans="1:11" x14ac:dyDescent="0.25">
      <c r="A952">
        <v>27</v>
      </c>
      <c r="B952">
        <v>1</v>
      </c>
      <c r="C952">
        <v>3</v>
      </c>
      <c r="D952">
        <v>8</v>
      </c>
      <c r="E952">
        <v>4</v>
      </c>
      <c r="F952">
        <v>6.1818363239999998</v>
      </c>
      <c r="G952">
        <v>13</v>
      </c>
      <c r="H952">
        <v>71</v>
      </c>
      <c r="I952">
        <v>92</v>
      </c>
      <c r="J952">
        <v>3</v>
      </c>
      <c r="K952">
        <v>1</v>
      </c>
    </row>
    <row r="953" spans="1:11" x14ac:dyDescent="0.25">
      <c r="A953">
        <v>45</v>
      </c>
      <c r="B953">
        <v>1</v>
      </c>
      <c r="C953">
        <v>2</v>
      </c>
      <c r="D953">
        <v>2</v>
      </c>
      <c r="E953">
        <v>2</v>
      </c>
      <c r="F953">
        <v>36.120268289999999</v>
      </c>
      <c r="G953">
        <v>62</v>
      </c>
      <c r="H953">
        <v>65</v>
      </c>
      <c r="I953">
        <v>14</v>
      </c>
      <c r="J953">
        <v>2</v>
      </c>
      <c r="K953">
        <v>0</v>
      </c>
    </row>
    <row r="954" spans="1:11" x14ac:dyDescent="0.25">
      <c r="A954">
        <v>47</v>
      </c>
      <c r="B954">
        <v>0</v>
      </c>
      <c r="C954">
        <v>1</v>
      </c>
      <c r="D954">
        <v>2</v>
      </c>
      <c r="E954">
        <v>4</v>
      </c>
      <c r="F954">
        <v>15.9728862</v>
      </c>
      <c r="G954">
        <v>92</v>
      </c>
      <c r="H954">
        <v>5</v>
      </c>
      <c r="I954">
        <v>64</v>
      </c>
      <c r="J954">
        <v>2</v>
      </c>
      <c r="K954">
        <v>0</v>
      </c>
    </row>
    <row r="955" spans="1:11" x14ac:dyDescent="0.25">
      <c r="A955">
        <v>37</v>
      </c>
      <c r="B955">
        <v>0</v>
      </c>
      <c r="C955">
        <v>2</v>
      </c>
      <c r="D955">
        <v>3</v>
      </c>
      <c r="E955">
        <v>4</v>
      </c>
      <c r="F955">
        <v>14.442845650000001</v>
      </c>
      <c r="G955">
        <v>64</v>
      </c>
      <c r="H955">
        <v>30</v>
      </c>
      <c r="I955">
        <v>53</v>
      </c>
      <c r="J955">
        <v>2</v>
      </c>
      <c r="K955">
        <v>0</v>
      </c>
    </row>
    <row r="956" spans="1:11" x14ac:dyDescent="0.25">
      <c r="A956">
        <v>47</v>
      </c>
      <c r="B956">
        <v>1</v>
      </c>
      <c r="C956">
        <v>2</v>
      </c>
      <c r="D956">
        <v>4</v>
      </c>
      <c r="E956">
        <v>5</v>
      </c>
      <c r="F956">
        <v>50.898872779999998</v>
      </c>
      <c r="G956">
        <v>67</v>
      </c>
      <c r="H956">
        <v>9</v>
      </c>
      <c r="I956">
        <v>29</v>
      </c>
      <c r="J956">
        <v>2</v>
      </c>
      <c r="K956">
        <v>0</v>
      </c>
    </row>
    <row r="957" spans="1:11" x14ac:dyDescent="0.25">
      <c r="A957">
        <v>47</v>
      </c>
      <c r="B957">
        <v>1</v>
      </c>
      <c r="C957">
        <v>1</v>
      </c>
      <c r="D957">
        <v>9</v>
      </c>
      <c r="E957">
        <v>1</v>
      </c>
      <c r="F957">
        <v>43.906946249999997</v>
      </c>
      <c r="G957">
        <v>62</v>
      </c>
      <c r="H957">
        <v>20</v>
      </c>
      <c r="I957">
        <v>92</v>
      </c>
      <c r="J957">
        <v>1</v>
      </c>
      <c r="K957">
        <v>1</v>
      </c>
    </row>
    <row r="958" spans="1:11" x14ac:dyDescent="0.25">
      <c r="A958">
        <v>24</v>
      </c>
      <c r="B958">
        <v>1</v>
      </c>
      <c r="C958">
        <v>4</v>
      </c>
      <c r="D958">
        <v>0</v>
      </c>
      <c r="E958">
        <v>4</v>
      </c>
      <c r="F958">
        <v>21.396890920000001</v>
      </c>
      <c r="G958">
        <v>95</v>
      </c>
      <c r="H958">
        <v>73</v>
      </c>
      <c r="I958">
        <v>19</v>
      </c>
      <c r="J958">
        <v>2</v>
      </c>
      <c r="K958">
        <v>0</v>
      </c>
    </row>
    <row r="959" spans="1:11" x14ac:dyDescent="0.25">
      <c r="A959">
        <v>28</v>
      </c>
      <c r="B959">
        <v>1</v>
      </c>
      <c r="C959">
        <v>4</v>
      </c>
      <c r="D959">
        <v>14</v>
      </c>
      <c r="E959">
        <v>1</v>
      </c>
      <c r="F959">
        <v>50.01306039</v>
      </c>
      <c r="G959">
        <v>96</v>
      </c>
      <c r="H959">
        <v>22</v>
      </c>
      <c r="I959">
        <v>32</v>
      </c>
      <c r="J959">
        <v>1</v>
      </c>
      <c r="K959">
        <v>1</v>
      </c>
    </row>
    <row r="960" spans="1:11" x14ac:dyDescent="0.25">
      <c r="A960">
        <v>23</v>
      </c>
      <c r="B960">
        <v>0</v>
      </c>
      <c r="C960">
        <v>2</v>
      </c>
      <c r="D960">
        <v>14</v>
      </c>
      <c r="E960">
        <v>5</v>
      </c>
      <c r="F960">
        <v>33.505661170000003</v>
      </c>
      <c r="G960">
        <v>89</v>
      </c>
      <c r="H960">
        <v>2</v>
      </c>
      <c r="I960">
        <v>99</v>
      </c>
      <c r="J960">
        <v>2</v>
      </c>
      <c r="K960">
        <v>0</v>
      </c>
    </row>
    <row r="961" spans="1:11" x14ac:dyDescent="0.25">
      <c r="A961">
        <v>46</v>
      </c>
      <c r="B961">
        <v>1</v>
      </c>
      <c r="C961">
        <v>1</v>
      </c>
      <c r="D961">
        <v>6</v>
      </c>
      <c r="E961">
        <v>1</v>
      </c>
      <c r="F961">
        <v>38.101122590000003</v>
      </c>
      <c r="G961">
        <v>80</v>
      </c>
      <c r="H961">
        <v>31</v>
      </c>
      <c r="I961">
        <v>85</v>
      </c>
      <c r="J961">
        <v>3</v>
      </c>
      <c r="K961">
        <v>0</v>
      </c>
    </row>
    <row r="962" spans="1:11" x14ac:dyDescent="0.25">
      <c r="A962">
        <v>41</v>
      </c>
      <c r="B962">
        <v>1</v>
      </c>
      <c r="C962">
        <v>3</v>
      </c>
      <c r="D962">
        <v>8</v>
      </c>
      <c r="E962">
        <v>2</v>
      </c>
      <c r="F962">
        <v>2.5756521540000001</v>
      </c>
      <c r="G962">
        <v>86</v>
      </c>
      <c r="H962">
        <v>19</v>
      </c>
      <c r="I962">
        <v>76</v>
      </c>
      <c r="J962">
        <v>2</v>
      </c>
      <c r="K962">
        <v>1</v>
      </c>
    </row>
    <row r="963" spans="1:11" x14ac:dyDescent="0.25">
      <c r="A963">
        <v>50</v>
      </c>
      <c r="B963">
        <v>0</v>
      </c>
      <c r="C963">
        <v>2</v>
      </c>
      <c r="D963">
        <v>7</v>
      </c>
      <c r="E963">
        <v>4</v>
      </c>
      <c r="F963">
        <v>7.0802629670000004</v>
      </c>
      <c r="G963">
        <v>63</v>
      </c>
      <c r="H963">
        <v>73</v>
      </c>
      <c r="I963">
        <v>6</v>
      </c>
      <c r="J963">
        <v>3</v>
      </c>
      <c r="K963">
        <v>0</v>
      </c>
    </row>
    <row r="964" spans="1:11" x14ac:dyDescent="0.25">
      <c r="A964">
        <v>36</v>
      </c>
      <c r="B964">
        <v>1</v>
      </c>
      <c r="C964">
        <v>2</v>
      </c>
      <c r="D964">
        <v>14</v>
      </c>
      <c r="E964">
        <v>1</v>
      </c>
      <c r="F964">
        <v>32.654256320000002</v>
      </c>
      <c r="G964">
        <v>31</v>
      </c>
      <c r="H964">
        <v>28</v>
      </c>
      <c r="I964">
        <v>7</v>
      </c>
      <c r="J964">
        <v>2</v>
      </c>
      <c r="K964">
        <v>0</v>
      </c>
    </row>
    <row r="965" spans="1:11" x14ac:dyDescent="0.25">
      <c r="A965">
        <v>28</v>
      </c>
      <c r="B965">
        <v>0</v>
      </c>
      <c r="C965">
        <v>2</v>
      </c>
      <c r="D965">
        <v>14</v>
      </c>
      <c r="E965">
        <v>3</v>
      </c>
      <c r="F965">
        <v>45.951199129999999</v>
      </c>
      <c r="G965">
        <v>78</v>
      </c>
      <c r="H965">
        <v>51</v>
      </c>
      <c r="I965">
        <v>27</v>
      </c>
      <c r="J965">
        <v>2</v>
      </c>
      <c r="K965">
        <v>0</v>
      </c>
    </row>
    <row r="966" spans="1:11" x14ac:dyDescent="0.25">
      <c r="A966">
        <v>20</v>
      </c>
      <c r="B966">
        <v>1</v>
      </c>
      <c r="C966">
        <v>2</v>
      </c>
      <c r="D966">
        <v>4</v>
      </c>
      <c r="E966">
        <v>1</v>
      </c>
      <c r="F966">
        <v>32.1871863</v>
      </c>
      <c r="G966">
        <v>12</v>
      </c>
      <c r="H966">
        <v>45</v>
      </c>
      <c r="I966">
        <v>44</v>
      </c>
      <c r="J966">
        <v>2</v>
      </c>
      <c r="K966">
        <v>0</v>
      </c>
    </row>
    <row r="967" spans="1:11" x14ac:dyDescent="0.25">
      <c r="A967">
        <v>40</v>
      </c>
      <c r="B967">
        <v>1</v>
      </c>
      <c r="C967">
        <v>2</v>
      </c>
      <c r="D967">
        <v>13</v>
      </c>
      <c r="E967">
        <v>4</v>
      </c>
      <c r="F967">
        <v>7.7012447159999997</v>
      </c>
      <c r="G967">
        <v>65</v>
      </c>
      <c r="H967">
        <v>33</v>
      </c>
      <c r="I967">
        <v>72</v>
      </c>
      <c r="J967">
        <v>3</v>
      </c>
      <c r="K967">
        <v>0</v>
      </c>
    </row>
    <row r="968" spans="1:11" x14ac:dyDescent="0.25">
      <c r="A968">
        <v>39</v>
      </c>
      <c r="B968">
        <v>0</v>
      </c>
      <c r="C968">
        <v>2</v>
      </c>
      <c r="D968">
        <v>13</v>
      </c>
      <c r="E968">
        <v>5</v>
      </c>
      <c r="F968">
        <v>6.7880023119999997</v>
      </c>
      <c r="G968">
        <v>18</v>
      </c>
      <c r="H968">
        <v>100</v>
      </c>
      <c r="I968">
        <v>88</v>
      </c>
      <c r="J968">
        <v>2</v>
      </c>
      <c r="K968">
        <v>0</v>
      </c>
    </row>
    <row r="969" spans="1:11" x14ac:dyDescent="0.25">
      <c r="A969">
        <v>32</v>
      </c>
      <c r="B969">
        <v>0</v>
      </c>
      <c r="C969">
        <v>2</v>
      </c>
      <c r="D969">
        <v>3</v>
      </c>
      <c r="E969">
        <v>5</v>
      </c>
      <c r="F969">
        <v>43.209294790000001</v>
      </c>
      <c r="G969">
        <v>23</v>
      </c>
      <c r="H969">
        <v>83</v>
      </c>
      <c r="I969">
        <v>79</v>
      </c>
      <c r="J969">
        <v>1</v>
      </c>
      <c r="K969">
        <v>1</v>
      </c>
    </row>
    <row r="970" spans="1:11" x14ac:dyDescent="0.25">
      <c r="A970">
        <v>47</v>
      </c>
      <c r="B970">
        <v>1</v>
      </c>
      <c r="C970">
        <v>4</v>
      </c>
      <c r="D970">
        <v>11</v>
      </c>
      <c r="E970">
        <v>4</v>
      </c>
      <c r="F970">
        <v>7.9651169350000002</v>
      </c>
      <c r="G970">
        <v>87</v>
      </c>
      <c r="H970">
        <v>60</v>
      </c>
      <c r="I970">
        <v>73</v>
      </c>
      <c r="J970">
        <v>3</v>
      </c>
      <c r="K970">
        <v>1</v>
      </c>
    </row>
    <row r="971" spans="1:11" x14ac:dyDescent="0.25">
      <c r="A971">
        <v>35</v>
      </c>
      <c r="B971">
        <v>1</v>
      </c>
      <c r="C971">
        <v>2</v>
      </c>
      <c r="D971">
        <v>6</v>
      </c>
      <c r="E971">
        <v>2</v>
      </c>
      <c r="F971">
        <v>27.011598029999998</v>
      </c>
      <c r="G971">
        <v>10</v>
      </c>
      <c r="H971">
        <v>71</v>
      </c>
      <c r="I971">
        <v>10</v>
      </c>
      <c r="J971">
        <v>2</v>
      </c>
      <c r="K971">
        <v>0</v>
      </c>
    </row>
    <row r="972" spans="1:11" x14ac:dyDescent="0.25">
      <c r="A972">
        <v>48</v>
      </c>
      <c r="B972">
        <v>1</v>
      </c>
      <c r="C972">
        <v>3</v>
      </c>
      <c r="D972">
        <v>4</v>
      </c>
      <c r="E972">
        <v>2</v>
      </c>
      <c r="F972">
        <v>2.8556659980000001</v>
      </c>
      <c r="G972">
        <v>58</v>
      </c>
      <c r="H972">
        <v>70</v>
      </c>
      <c r="I972">
        <v>30</v>
      </c>
      <c r="J972">
        <v>1</v>
      </c>
      <c r="K972">
        <v>1</v>
      </c>
    </row>
    <row r="973" spans="1:11" x14ac:dyDescent="0.25">
      <c r="A973">
        <v>32</v>
      </c>
      <c r="B973">
        <v>0</v>
      </c>
      <c r="C973">
        <v>3</v>
      </c>
      <c r="D973">
        <v>6</v>
      </c>
      <c r="E973">
        <v>5</v>
      </c>
      <c r="F973">
        <v>5.0334883699999997</v>
      </c>
      <c r="G973">
        <v>85</v>
      </c>
      <c r="H973">
        <v>69</v>
      </c>
      <c r="I973">
        <v>11</v>
      </c>
      <c r="J973">
        <v>2</v>
      </c>
      <c r="K973">
        <v>1</v>
      </c>
    </row>
    <row r="974" spans="1:11" x14ac:dyDescent="0.25">
      <c r="A974">
        <v>33</v>
      </c>
      <c r="B974">
        <v>1</v>
      </c>
      <c r="C974">
        <v>2</v>
      </c>
      <c r="D974">
        <v>11</v>
      </c>
      <c r="E974">
        <v>5</v>
      </c>
      <c r="F974">
        <v>34.617413380000002</v>
      </c>
      <c r="G974">
        <v>14</v>
      </c>
      <c r="H974">
        <v>10</v>
      </c>
      <c r="I974">
        <v>94</v>
      </c>
      <c r="J974">
        <v>3</v>
      </c>
      <c r="K974">
        <v>0</v>
      </c>
    </row>
    <row r="975" spans="1:11" x14ac:dyDescent="0.25">
      <c r="A975">
        <v>22</v>
      </c>
      <c r="B975">
        <v>0</v>
      </c>
      <c r="C975">
        <v>2</v>
      </c>
      <c r="D975">
        <v>0</v>
      </c>
      <c r="E975">
        <v>4</v>
      </c>
      <c r="F975">
        <v>35.459070519999997</v>
      </c>
      <c r="G975">
        <v>9</v>
      </c>
      <c r="H975">
        <v>81</v>
      </c>
      <c r="I975">
        <v>77</v>
      </c>
      <c r="J975">
        <v>2</v>
      </c>
      <c r="K975">
        <v>0</v>
      </c>
    </row>
    <row r="976" spans="1:11" x14ac:dyDescent="0.25">
      <c r="A976">
        <v>48</v>
      </c>
      <c r="B976">
        <v>0</v>
      </c>
      <c r="C976">
        <v>2</v>
      </c>
      <c r="D976">
        <v>0</v>
      </c>
      <c r="E976">
        <v>2</v>
      </c>
      <c r="F976">
        <v>18.073470329999999</v>
      </c>
      <c r="G976">
        <v>40</v>
      </c>
      <c r="H976">
        <v>92</v>
      </c>
      <c r="I976">
        <v>50</v>
      </c>
      <c r="J976">
        <v>2</v>
      </c>
      <c r="K976">
        <v>0</v>
      </c>
    </row>
    <row r="977" spans="1:11" x14ac:dyDescent="0.25">
      <c r="A977">
        <v>25</v>
      </c>
      <c r="B977">
        <v>1</v>
      </c>
      <c r="C977">
        <v>2</v>
      </c>
      <c r="D977">
        <v>15</v>
      </c>
      <c r="E977">
        <v>5</v>
      </c>
      <c r="F977">
        <v>11.78048826</v>
      </c>
      <c r="G977">
        <v>26</v>
      </c>
      <c r="H977">
        <v>88</v>
      </c>
      <c r="I977">
        <v>43</v>
      </c>
      <c r="J977">
        <v>3</v>
      </c>
      <c r="K977">
        <v>0</v>
      </c>
    </row>
    <row r="978" spans="1:11" x14ac:dyDescent="0.25">
      <c r="A978">
        <v>37</v>
      </c>
      <c r="B978">
        <v>0</v>
      </c>
      <c r="C978">
        <v>3</v>
      </c>
      <c r="D978">
        <v>9</v>
      </c>
      <c r="E978">
        <v>2</v>
      </c>
      <c r="F978">
        <v>41.685513540000002</v>
      </c>
      <c r="G978">
        <v>59</v>
      </c>
      <c r="H978">
        <v>62</v>
      </c>
      <c r="I978">
        <v>95</v>
      </c>
      <c r="J978">
        <v>2</v>
      </c>
      <c r="K978">
        <v>1</v>
      </c>
    </row>
    <row r="979" spans="1:11" x14ac:dyDescent="0.25">
      <c r="A979">
        <v>38</v>
      </c>
      <c r="B979">
        <v>1</v>
      </c>
      <c r="C979">
        <v>2</v>
      </c>
      <c r="D979">
        <v>13</v>
      </c>
      <c r="E979">
        <v>5</v>
      </c>
      <c r="F979">
        <v>11.855161470000001</v>
      </c>
      <c r="G979">
        <v>72</v>
      </c>
      <c r="H979">
        <v>20</v>
      </c>
      <c r="I979">
        <v>49</v>
      </c>
      <c r="J979">
        <v>2</v>
      </c>
      <c r="K979">
        <v>0</v>
      </c>
    </row>
    <row r="980" spans="1:11" x14ac:dyDescent="0.25">
      <c r="A980">
        <v>24</v>
      </c>
      <c r="B980">
        <v>1</v>
      </c>
      <c r="C980">
        <v>4</v>
      </c>
      <c r="D980">
        <v>12</v>
      </c>
      <c r="E980">
        <v>1</v>
      </c>
      <c r="F980">
        <v>28.10135348</v>
      </c>
      <c r="G980">
        <v>51</v>
      </c>
      <c r="H980">
        <v>2</v>
      </c>
      <c r="I980">
        <v>16</v>
      </c>
      <c r="J980">
        <v>1</v>
      </c>
      <c r="K980">
        <v>1</v>
      </c>
    </row>
    <row r="981" spans="1:11" x14ac:dyDescent="0.25">
      <c r="A981">
        <v>34</v>
      </c>
      <c r="B981">
        <v>1</v>
      </c>
      <c r="C981">
        <v>1</v>
      </c>
      <c r="D981">
        <v>2</v>
      </c>
      <c r="E981">
        <v>3</v>
      </c>
      <c r="F981">
        <v>49.41044204</v>
      </c>
      <c r="G981">
        <v>27</v>
      </c>
      <c r="H981">
        <v>81</v>
      </c>
      <c r="I981">
        <v>34</v>
      </c>
      <c r="J981">
        <v>1</v>
      </c>
      <c r="K981">
        <v>0</v>
      </c>
    </row>
    <row r="982" spans="1:11" x14ac:dyDescent="0.25">
      <c r="A982">
        <v>44</v>
      </c>
      <c r="B982">
        <v>1</v>
      </c>
      <c r="C982">
        <v>1</v>
      </c>
      <c r="D982">
        <v>13</v>
      </c>
      <c r="E982">
        <v>1</v>
      </c>
      <c r="F982">
        <v>8.3926218929999994</v>
      </c>
      <c r="G982">
        <v>64</v>
      </c>
      <c r="H982">
        <v>87</v>
      </c>
      <c r="I982">
        <v>0</v>
      </c>
      <c r="J982">
        <v>2</v>
      </c>
      <c r="K982">
        <v>0</v>
      </c>
    </row>
    <row r="983" spans="1:11" x14ac:dyDescent="0.25">
      <c r="A983">
        <v>21</v>
      </c>
      <c r="B983">
        <v>1</v>
      </c>
      <c r="C983">
        <v>2</v>
      </c>
      <c r="D983">
        <v>10</v>
      </c>
      <c r="E983">
        <v>5</v>
      </c>
      <c r="F983">
        <v>48.043813370000002</v>
      </c>
      <c r="G983">
        <v>16</v>
      </c>
      <c r="H983">
        <v>9</v>
      </c>
      <c r="I983">
        <v>28</v>
      </c>
      <c r="J983">
        <v>3</v>
      </c>
      <c r="K983">
        <v>0</v>
      </c>
    </row>
    <row r="984" spans="1:11" x14ac:dyDescent="0.25">
      <c r="A984">
        <v>29</v>
      </c>
      <c r="B984">
        <v>0</v>
      </c>
      <c r="C984">
        <v>2</v>
      </c>
      <c r="D984">
        <v>1</v>
      </c>
      <c r="E984">
        <v>3</v>
      </c>
      <c r="F984">
        <v>10.144652649999999</v>
      </c>
      <c r="G984">
        <v>94</v>
      </c>
      <c r="H984">
        <v>26</v>
      </c>
      <c r="I984">
        <v>50</v>
      </c>
      <c r="J984">
        <v>1</v>
      </c>
      <c r="K984">
        <v>0</v>
      </c>
    </row>
    <row r="985" spans="1:11" x14ac:dyDescent="0.25">
      <c r="A985">
        <v>43</v>
      </c>
      <c r="B985">
        <v>0</v>
      </c>
      <c r="C985">
        <v>2</v>
      </c>
      <c r="D985">
        <v>1</v>
      </c>
      <c r="E985">
        <v>3</v>
      </c>
      <c r="F985">
        <v>29.372160399999999</v>
      </c>
      <c r="G985">
        <v>43</v>
      </c>
      <c r="H985">
        <v>11</v>
      </c>
      <c r="I985">
        <v>63</v>
      </c>
      <c r="J985">
        <v>2</v>
      </c>
      <c r="K985">
        <v>0</v>
      </c>
    </row>
    <row r="986" spans="1:11" x14ac:dyDescent="0.25">
      <c r="A986">
        <v>49</v>
      </c>
      <c r="B986">
        <v>1</v>
      </c>
      <c r="C986">
        <v>2</v>
      </c>
      <c r="D986">
        <v>6</v>
      </c>
      <c r="E986">
        <v>5</v>
      </c>
      <c r="F986">
        <v>19.850385599999999</v>
      </c>
      <c r="G986">
        <v>9</v>
      </c>
      <c r="H986">
        <v>6</v>
      </c>
      <c r="I986">
        <v>3</v>
      </c>
      <c r="J986">
        <v>1</v>
      </c>
      <c r="K986">
        <v>0</v>
      </c>
    </row>
    <row r="987" spans="1:11" x14ac:dyDescent="0.25">
      <c r="A987">
        <v>37</v>
      </c>
      <c r="B987">
        <v>1</v>
      </c>
      <c r="C987">
        <v>2</v>
      </c>
      <c r="D987">
        <v>11</v>
      </c>
      <c r="E987">
        <v>5</v>
      </c>
      <c r="F987">
        <v>49.246430080000003</v>
      </c>
      <c r="G987">
        <v>62</v>
      </c>
      <c r="H987">
        <v>16</v>
      </c>
      <c r="I987">
        <v>86</v>
      </c>
      <c r="J987">
        <v>2</v>
      </c>
      <c r="K987">
        <v>0</v>
      </c>
    </row>
    <row r="988" spans="1:11" x14ac:dyDescent="0.25">
      <c r="A988">
        <v>46</v>
      </c>
      <c r="B988">
        <v>0</v>
      </c>
      <c r="C988">
        <v>1</v>
      </c>
      <c r="D988">
        <v>9</v>
      </c>
      <c r="E988">
        <v>2</v>
      </c>
      <c r="F988">
        <v>14.67710145</v>
      </c>
      <c r="G988">
        <v>100</v>
      </c>
      <c r="H988">
        <v>64</v>
      </c>
      <c r="I988">
        <v>27</v>
      </c>
      <c r="J988">
        <v>1</v>
      </c>
      <c r="K988">
        <v>1</v>
      </c>
    </row>
    <row r="989" spans="1:11" x14ac:dyDescent="0.25">
      <c r="A989">
        <v>32</v>
      </c>
      <c r="B989">
        <v>0</v>
      </c>
      <c r="C989">
        <v>4</v>
      </c>
      <c r="D989">
        <v>1</v>
      </c>
      <c r="E989">
        <v>5</v>
      </c>
      <c r="F989">
        <v>20.982900099999998</v>
      </c>
      <c r="G989">
        <v>92</v>
      </c>
      <c r="H989">
        <v>63</v>
      </c>
      <c r="I989">
        <v>15</v>
      </c>
      <c r="J989">
        <v>1</v>
      </c>
      <c r="K989">
        <v>1</v>
      </c>
    </row>
    <row r="990" spans="1:11" x14ac:dyDescent="0.25">
      <c r="A990">
        <v>24</v>
      </c>
      <c r="B990">
        <v>0</v>
      </c>
      <c r="C990">
        <v>2</v>
      </c>
      <c r="D990">
        <v>10</v>
      </c>
      <c r="E990">
        <v>4</v>
      </c>
      <c r="F990">
        <v>50.143005889999998</v>
      </c>
      <c r="G990">
        <v>81</v>
      </c>
      <c r="H990">
        <v>25</v>
      </c>
      <c r="I990">
        <v>62</v>
      </c>
      <c r="J990">
        <v>1</v>
      </c>
      <c r="K990">
        <v>1</v>
      </c>
    </row>
    <row r="991" spans="1:11" x14ac:dyDescent="0.25">
      <c r="A991">
        <v>42</v>
      </c>
      <c r="B991">
        <v>0</v>
      </c>
      <c r="C991">
        <v>3</v>
      </c>
      <c r="D991">
        <v>3</v>
      </c>
      <c r="E991">
        <v>5</v>
      </c>
      <c r="F991">
        <v>27.823519560000001</v>
      </c>
      <c r="G991">
        <v>46</v>
      </c>
      <c r="H991">
        <v>14</v>
      </c>
      <c r="I991">
        <v>75</v>
      </c>
      <c r="J991">
        <v>2</v>
      </c>
      <c r="K991">
        <v>0</v>
      </c>
    </row>
    <row r="992" spans="1:11" x14ac:dyDescent="0.25">
      <c r="A992">
        <v>43</v>
      </c>
      <c r="B992">
        <v>1</v>
      </c>
      <c r="C992">
        <v>3</v>
      </c>
      <c r="D992">
        <v>1</v>
      </c>
      <c r="E992">
        <v>4</v>
      </c>
      <c r="F992">
        <v>26.131505780000001</v>
      </c>
      <c r="G992">
        <v>37</v>
      </c>
      <c r="H992">
        <v>32</v>
      </c>
      <c r="I992">
        <v>52</v>
      </c>
      <c r="J992">
        <v>2</v>
      </c>
      <c r="K992">
        <v>0</v>
      </c>
    </row>
    <row r="993" spans="1:11" x14ac:dyDescent="0.25">
      <c r="A993">
        <v>20</v>
      </c>
      <c r="B993">
        <v>1</v>
      </c>
      <c r="C993">
        <v>4</v>
      </c>
      <c r="D993">
        <v>5</v>
      </c>
      <c r="E993">
        <v>5</v>
      </c>
      <c r="F993">
        <v>13.88892441</v>
      </c>
      <c r="G993">
        <v>69</v>
      </c>
      <c r="H993">
        <v>61</v>
      </c>
      <c r="I993">
        <v>84</v>
      </c>
      <c r="J993">
        <v>1</v>
      </c>
      <c r="K993">
        <v>1</v>
      </c>
    </row>
    <row r="994" spans="1:11" x14ac:dyDescent="0.25">
      <c r="A994">
        <v>41</v>
      </c>
      <c r="B994">
        <v>0</v>
      </c>
      <c r="C994">
        <v>1</v>
      </c>
      <c r="D994">
        <v>7</v>
      </c>
      <c r="E994">
        <v>2</v>
      </c>
      <c r="F994">
        <v>36.068178019999998</v>
      </c>
      <c r="G994">
        <v>75</v>
      </c>
      <c r="H994">
        <v>100</v>
      </c>
      <c r="I994">
        <v>16</v>
      </c>
      <c r="J994">
        <v>3</v>
      </c>
      <c r="K994">
        <v>0</v>
      </c>
    </row>
    <row r="995" spans="1:11" x14ac:dyDescent="0.25">
      <c r="A995">
        <v>20</v>
      </c>
      <c r="B995">
        <v>1</v>
      </c>
      <c r="C995">
        <v>3</v>
      </c>
      <c r="D995">
        <v>9</v>
      </c>
      <c r="E995">
        <v>4</v>
      </c>
      <c r="F995">
        <v>1.7186475889999999</v>
      </c>
      <c r="G995">
        <v>52</v>
      </c>
      <c r="H995">
        <v>46</v>
      </c>
      <c r="I995">
        <v>39</v>
      </c>
      <c r="J995">
        <v>1</v>
      </c>
      <c r="K995">
        <v>1</v>
      </c>
    </row>
    <row r="996" spans="1:11" x14ac:dyDescent="0.25">
      <c r="A996">
        <v>37</v>
      </c>
      <c r="B996">
        <v>0</v>
      </c>
      <c r="C996">
        <v>2</v>
      </c>
      <c r="D996">
        <v>15</v>
      </c>
      <c r="E996">
        <v>1</v>
      </c>
      <c r="F996">
        <v>3.4756314850000001</v>
      </c>
      <c r="G996">
        <v>77</v>
      </c>
      <c r="H996">
        <v>94</v>
      </c>
      <c r="I996">
        <v>12</v>
      </c>
      <c r="J996">
        <v>2</v>
      </c>
      <c r="K996">
        <v>0</v>
      </c>
    </row>
    <row r="997" spans="1:11" x14ac:dyDescent="0.25">
      <c r="A997">
        <v>34</v>
      </c>
      <c r="B997">
        <v>1</v>
      </c>
      <c r="C997">
        <v>2</v>
      </c>
      <c r="D997">
        <v>3</v>
      </c>
      <c r="E997">
        <v>4</v>
      </c>
      <c r="F997">
        <v>30.967929359999999</v>
      </c>
      <c r="G997">
        <v>43</v>
      </c>
      <c r="H997">
        <v>34</v>
      </c>
      <c r="I997">
        <v>51</v>
      </c>
      <c r="J997">
        <v>3</v>
      </c>
      <c r="K997">
        <v>0</v>
      </c>
    </row>
    <row r="998" spans="1:11" x14ac:dyDescent="0.25">
      <c r="A998">
        <v>36</v>
      </c>
      <c r="B998">
        <v>0</v>
      </c>
      <c r="C998">
        <v>2</v>
      </c>
      <c r="D998">
        <v>14</v>
      </c>
      <c r="E998">
        <v>2</v>
      </c>
      <c r="F998">
        <v>18.083728690000001</v>
      </c>
      <c r="G998">
        <v>73</v>
      </c>
      <c r="H998">
        <v>64</v>
      </c>
      <c r="I998">
        <v>57</v>
      </c>
      <c r="J998">
        <v>2</v>
      </c>
      <c r="K998">
        <v>0</v>
      </c>
    </row>
    <row r="999" spans="1:11" x14ac:dyDescent="0.25">
      <c r="A999">
        <v>30</v>
      </c>
      <c r="B999">
        <v>1</v>
      </c>
      <c r="C999">
        <v>3</v>
      </c>
      <c r="D999">
        <v>4</v>
      </c>
      <c r="E999">
        <v>4</v>
      </c>
      <c r="F999">
        <v>48.665818610000002</v>
      </c>
      <c r="G999">
        <v>53</v>
      </c>
      <c r="H999">
        <v>71</v>
      </c>
      <c r="I999">
        <v>95</v>
      </c>
      <c r="J999">
        <v>2</v>
      </c>
      <c r="K999">
        <v>0</v>
      </c>
    </row>
    <row r="1000" spans="1:11" x14ac:dyDescent="0.25">
      <c r="A1000">
        <v>40</v>
      </c>
      <c r="B1000">
        <v>0</v>
      </c>
      <c r="C1000">
        <v>2</v>
      </c>
      <c r="D1000">
        <v>3</v>
      </c>
      <c r="E1000">
        <v>5</v>
      </c>
      <c r="F1000">
        <v>46.159534540000003</v>
      </c>
      <c r="G1000">
        <v>19</v>
      </c>
      <c r="H1000">
        <v>75</v>
      </c>
      <c r="I1000">
        <v>36</v>
      </c>
      <c r="J1000">
        <v>1</v>
      </c>
      <c r="K1000">
        <v>0</v>
      </c>
    </row>
    <row r="1001" spans="1:11" x14ac:dyDescent="0.25">
      <c r="A1001">
        <v>45</v>
      </c>
      <c r="B1001">
        <v>0</v>
      </c>
      <c r="C1001">
        <v>3</v>
      </c>
      <c r="D1001">
        <v>2</v>
      </c>
      <c r="E1001">
        <v>5</v>
      </c>
      <c r="F1001">
        <v>36.685312930000002</v>
      </c>
      <c r="G1001">
        <v>78</v>
      </c>
      <c r="H1001">
        <v>82</v>
      </c>
      <c r="I1001">
        <v>78</v>
      </c>
      <c r="J1001">
        <v>2</v>
      </c>
      <c r="K1001">
        <v>1</v>
      </c>
    </row>
    <row r="1002" spans="1:11" x14ac:dyDescent="0.25">
      <c r="A1002">
        <v>50</v>
      </c>
      <c r="B1002">
        <v>1</v>
      </c>
      <c r="C1002">
        <v>2</v>
      </c>
      <c r="D1002">
        <v>4</v>
      </c>
      <c r="E1002">
        <v>2</v>
      </c>
      <c r="F1002">
        <v>41.90727906</v>
      </c>
      <c r="G1002">
        <v>30</v>
      </c>
      <c r="H1002">
        <v>24</v>
      </c>
      <c r="I1002">
        <v>75</v>
      </c>
      <c r="J1002">
        <v>2</v>
      </c>
      <c r="K1002">
        <v>0</v>
      </c>
    </row>
    <row r="1003" spans="1:11" x14ac:dyDescent="0.25">
      <c r="A1003">
        <v>44</v>
      </c>
      <c r="B1003">
        <v>0</v>
      </c>
      <c r="C1003">
        <v>3</v>
      </c>
      <c r="D1003">
        <v>13</v>
      </c>
      <c r="E1003">
        <v>3</v>
      </c>
      <c r="F1003">
        <v>34.366592480000001</v>
      </c>
      <c r="G1003">
        <v>6</v>
      </c>
      <c r="H1003">
        <v>56</v>
      </c>
      <c r="I1003">
        <v>60</v>
      </c>
      <c r="J1003">
        <v>3</v>
      </c>
      <c r="K1003">
        <v>0</v>
      </c>
    </row>
    <row r="1004" spans="1:11" x14ac:dyDescent="0.25">
      <c r="A1004">
        <v>41</v>
      </c>
      <c r="B1004">
        <v>1</v>
      </c>
      <c r="C1004">
        <v>4</v>
      </c>
      <c r="D1004">
        <v>8</v>
      </c>
      <c r="E1004">
        <v>5</v>
      </c>
      <c r="F1004">
        <v>7.2791051360000001</v>
      </c>
      <c r="G1004">
        <v>57</v>
      </c>
      <c r="H1004">
        <v>31</v>
      </c>
      <c r="I1004">
        <v>78</v>
      </c>
      <c r="J1004">
        <v>1</v>
      </c>
      <c r="K1004">
        <v>1</v>
      </c>
    </row>
    <row r="1005" spans="1:11" x14ac:dyDescent="0.25">
      <c r="A1005">
        <v>46</v>
      </c>
      <c r="B1005">
        <v>1</v>
      </c>
      <c r="C1005">
        <v>2</v>
      </c>
      <c r="D1005">
        <v>7</v>
      </c>
      <c r="E1005">
        <v>1</v>
      </c>
      <c r="F1005">
        <v>39.27716848</v>
      </c>
      <c r="G1005">
        <v>9</v>
      </c>
      <c r="H1005">
        <v>62</v>
      </c>
      <c r="I1005">
        <v>33</v>
      </c>
      <c r="J1005">
        <v>2</v>
      </c>
      <c r="K1005">
        <v>0</v>
      </c>
    </row>
    <row r="1006" spans="1:11" x14ac:dyDescent="0.25">
      <c r="A1006">
        <v>46</v>
      </c>
      <c r="B1006">
        <v>0</v>
      </c>
      <c r="C1006">
        <v>4</v>
      </c>
      <c r="D1006">
        <v>7</v>
      </c>
      <c r="E1006">
        <v>2</v>
      </c>
      <c r="F1006">
        <v>11.50959844</v>
      </c>
      <c r="G1006">
        <v>9</v>
      </c>
      <c r="H1006">
        <v>11</v>
      </c>
      <c r="I1006">
        <v>69</v>
      </c>
      <c r="J1006">
        <v>2</v>
      </c>
      <c r="K1006">
        <v>0</v>
      </c>
    </row>
    <row r="1007" spans="1:11" x14ac:dyDescent="0.25">
      <c r="A1007">
        <v>36</v>
      </c>
      <c r="B1007">
        <v>1</v>
      </c>
      <c r="C1007">
        <v>1</v>
      </c>
      <c r="D1007">
        <v>7</v>
      </c>
      <c r="E1007">
        <v>4</v>
      </c>
      <c r="F1007">
        <v>17.17214276</v>
      </c>
      <c r="G1007">
        <v>38</v>
      </c>
      <c r="H1007">
        <v>62</v>
      </c>
      <c r="I1007">
        <v>16</v>
      </c>
      <c r="J1007">
        <v>3</v>
      </c>
      <c r="K1007">
        <v>0</v>
      </c>
    </row>
    <row r="1008" spans="1:11" x14ac:dyDescent="0.25">
      <c r="A1008">
        <v>32</v>
      </c>
      <c r="B1008">
        <v>1</v>
      </c>
      <c r="C1008">
        <v>1</v>
      </c>
      <c r="D1008">
        <v>11</v>
      </c>
      <c r="E1008">
        <v>4</v>
      </c>
      <c r="F1008">
        <v>41.961710609999997</v>
      </c>
      <c r="G1008">
        <v>27</v>
      </c>
      <c r="H1008">
        <v>76</v>
      </c>
      <c r="I1008">
        <v>19</v>
      </c>
      <c r="J1008">
        <v>1</v>
      </c>
      <c r="K1008">
        <v>1</v>
      </c>
    </row>
    <row r="1009" spans="1:11" x14ac:dyDescent="0.25">
      <c r="A1009">
        <v>20</v>
      </c>
      <c r="B1009">
        <v>1</v>
      </c>
      <c r="C1009">
        <v>1</v>
      </c>
      <c r="D1009">
        <v>7</v>
      </c>
      <c r="E1009">
        <v>1</v>
      </c>
      <c r="F1009">
        <v>27.82628042</v>
      </c>
      <c r="G1009">
        <v>29</v>
      </c>
      <c r="H1009">
        <v>91</v>
      </c>
      <c r="I1009">
        <v>72</v>
      </c>
      <c r="J1009">
        <v>3</v>
      </c>
      <c r="K1009">
        <v>0</v>
      </c>
    </row>
    <row r="1010" spans="1:11" x14ac:dyDescent="0.25">
      <c r="A1010">
        <v>21</v>
      </c>
      <c r="B1010">
        <v>1</v>
      </c>
      <c r="C1010">
        <v>2</v>
      </c>
      <c r="D1010">
        <v>6</v>
      </c>
      <c r="E1010">
        <v>5</v>
      </c>
      <c r="F1010">
        <v>43.997035709999999</v>
      </c>
      <c r="G1010">
        <v>36</v>
      </c>
      <c r="H1010">
        <v>0</v>
      </c>
      <c r="I1010">
        <v>58</v>
      </c>
      <c r="J1010">
        <v>2</v>
      </c>
      <c r="K1010">
        <v>0</v>
      </c>
    </row>
    <row r="1011" spans="1:11" x14ac:dyDescent="0.25">
      <c r="A1011">
        <v>28</v>
      </c>
      <c r="B1011">
        <v>1</v>
      </c>
      <c r="C1011">
        <v>2</v>
      </c>
      <c r="D1011">
        <v>7</v>
      </c>
      <c r="E1011">
        <v>2</v>
      </c>
      <c r="F1011">
        <v>11.651765989999999</v>
      </c>
      <c r="G1011">
        <v>66</v>
      </c>
      <c r="H1011">
        <v>50</v>
      </c>
      <c r="I1011">
        <v>68</v>
      </c>
      <c r="J1011">
        <v>2</v>
      </c>
      <c r="K1011">
        <v>0</v>
      </c>
    </row>
    <row r="1012" spans="1:11" x14ac:dyDescent="0.25">
      <c r="A1012">
        <v>22</v>
      </c>
      <c r="B1012">
        <v>0</v>
      </c>
      <c r="C1012">
        <v>1</v>
      </c>
      <c r="D1012">
        <v>10</v>
      </c>
      <c r="E1012">
        <v>1</v>
      </c>
      <c r="F1012">
        <v>31.388921929999999</v>
      </c>
      <c r="G1012">
        <v>42</v>
      </c>
      <c r="H1012">
        <v>69</v>
      </c>
      <c r="I1012">
        <v>86</v>
      </c>
      <c r="J1012">
        <v>1</v>
      </c>
      <c r="K1012">
        <v>1</v>
      </c>
    </row>
    <row r="1013" spans="1:11" x14ac:dyDescent="0.25">
      <c r="A1013">
        <v>50</v>
      </c>
      <c r="B1013">
        <v>1</v>
      </c>
      <c r="C1013">
        <v>1</v>
      </c>
      <c r="D1013">
        <v>13</v>
      </c>
      <c r="E1013">
        <v>5</v>
      </c>
      <c r="F1013">
        <v>5.1895486269999997</v>
      </c>
      <c r="G1013">
        <v>78</v>
      </c>
      <c r="H1013">
        <v>7</v>
      </c>
      <c r="I1013">
        <v>32</v>
      </c>
      <c r="J1013">
        <v>2</v>
      </c>
      <c r="K1013">
        <v>0</v>
      </c>
    </row>
    <row r="1014" spans="1:11" x14ac:dyDescent="0.25">
      <c r="A1014">
        <v>20</v>
      </c>
      <c r="B1014">
        <v>1</v>
      </c>
      <c r="C1014">
        <v>4</v>
      </c>
      <c r="D1014">
        <v>15</v>
      </c>
      <c r="E1014">
        <v>2</v>
      </c>
      <c r="F1014">
        <v>33.153049680000002</v>
      </c>
      <c r="G1014">
        <v>84</v>
      </c>
      <c r="H1014">
        <v>67</v>
      </c>
      <c r="I1014">
        <v>77</v>
      </c>
      <c r="J1014">
        <v>2</v>
      </c>
      <c r="K1014">
        <v>1</v>
      </c>
    </row>
    <row r="1015" spans="1:11" x14ac:dyDescent="0.25">
      <c r="A1015">
        <v>40</v>
      </c>
      <c r="B1015">
        <v>1</v>
      </c>
      <c r="C1015">
        <v>3</v>
      </c>
      <c r="D1015">
        <v>7</v>
      </c>
      <c r="E1015">
        <v>4</v>
      </c>
      <c r="F1015">
        <v>39.12670189</v>
      </c>
      <c r="G1015">
        <v>51</v>
      </c>
      <c r="H1015">
        <v>4</v>
      </c>
      <c r="I1015">
        <v>16</v>
      </c>
      <c r="J1015">
        <v>2</v>
      </c>
      <c r="K1015">
        <v>0</v>
      </c>
    </row>
    <row r="1016" spans="1:11" x14ac:dyDescent="0.25">
      <c r="A1016">
        <v>35</v>
      </c>
      <c r="B1016">
        <v>1</v>
      </c>
      <c r="C1016">
        <v>3</v>
      </c>
      <c r="D1016">
        <v>12</v>
      </c>
      <c r="E1016">
        <v>2</v>
      </c>
      <c r="F1016">
        <v>30.246544700000001</v>
      </c>
      <c r="G1016">
        <v>100</v>
      </c>
      <c r="H1016">
        <v>88</v>
      </c>
      <c r="I1016">
        <v>56</v>
      </c>
      <c r="J1016">
        <v>1</v>
      </c>
      <c r="K1016">
        <v>1</v>
      </c>
    </row>
    <row r="1017" spans="1:11" x14ac:dyDescent="0.25">
      <c r="A1017">
        <v>42</v>
      </c>
      <c r="B1017">
        <v>1</v>
      </c>
      <c r="C1017">
        <v>3</v>
      </c>
      <c r="D1017">
        <v>13</v>
      </c>
      <c r="E1017">
        <v>3</v>
      </c>
      <c r="F1017">
        <v>14.31157507</v>
      </c>
      <c r="G1017">
        <v>55</v>
      </c>
      <c r="H1017">
        <v>85</v>
      </c>
      <c r="I1017">
        <v>82</v>
      </c>
      <c r="J1017">
        <v>1</v>
      </c>
      <c r="K1017">
        <v>1</v>
      </c>
    </row>
    <row r="1018" spans="1:11" x14ac:dyDescent="0.25">
      <c r="A1018">
        <v>25</v>
      </c>
      <c r="B1018">
        <v>0</v>
      </c>
      <c r="C1018">
        <v>3</v>
      </c>
      <c r="D1018">
        <v>7</v>
      </c>
      <c r="E1018">
        <v>2</v>
      </c>
      <c r="F1018">
        <v>2.5671334429999999</v>
      </c>
      <c r="G1018">
        <v>75</v>
      </c>
      <c r="H1018">
        <v>91</v>
      </c>
      <c r="I1018">
        <v>96</v>
      </c>
      <c r="J1018">
        <v>3</v>
      </c>
      <c r="K1018">
        <v>1</v>
      </c>
    </row>
    <row r="1019" spans="1:11" x14ac:dyDescent="0.25">
      <c r="A1019">
        <v>47</v>
      </c>
      <c r="B1019">
        <v>1</v>
      </c>
      <c r="C1019">
        <v>1</v>
      </c>
      <c r="D1019">
        <v>11</v>
      </c>
      <c r="E1019">
        <v>3</v>
      </c>
      <c r="F1019">
        <v>6.9724441979999998</v>
      </c>
      <c r="G1019">
        <v>67</v>
      </c>
      <c r="H1019">
        <v>38</v>
      </c>
      <c r="I1019">
        <v>0</v>
      </c>
      <c r="J1019">
        <v>3</v>
      </c>
      <c r="K1019">
        <v>0</v>
      </c>
    </row>
    <row r="1020" spans="1:11" x14ac:dyDescent="0.25">
      <c r="A1020">
        <v>36</v>
      </c>
      <c r="B1020">
        <v>0</v>
      </c>
      <c r="C1020">
        <v>2</v>
      </c>
      <c r="D1020">
        <v>9</v>
      </c>
      <c r="E1020">
        <v>2</v>
      </c>
      <c r="F1020">
        <v>32.115148949999998</v>
      </c>
      <c r="G1020">
        <v>8</v>
      </c>
      <c r="H1020">
        <v>22</v>
      </c>
      <c r="I1020">
        <v>12</v>
      </c>
      <c r="J1020">
        <v>2</v>
      </c>
      <c r="K1020">
        <v>0</v>
      </c>
    </row>
    <row r="1021" spans="1:11" x14ac:dyDescent="0.25">
      <c r="A1021">
        <v>24</v>
      </c>
      <c r="B1021">
        <v>0</v>
      </c>
      <c r="C1021">
        <v>3</v>
      </c>
      <c r="D1021">
        <v>6</v>
      </c>
      <c r="E1021">
        <v>3</v>
      </c>
      <c r="F1021">
        <v>47.721010839999998</v>
      </c>
      <c r="G1021">
        <v>91</v>
      </c>
      <c r="H1021">
        <v>67</v>
      </c>
      <c r="I1021">
        <v>26</v>
      </c>
      <c r="J1021">
        <v>1</v>
      </c>
      <c r="K1021">
        <v>1</v>
      </c>
    </row>
    <row r="1022" spans="1:11" x14ac:dyDescent="0.25">
      <c r="A1022">
        <v>50</v>
      </c>
      <c r="B1022">
        <v>0</v>
      </c>
      <c r="C1022">
        <v>2</v>
      </c>
      <c r="D1022">
        <v>11</v>
      </c>
      <c r="E1022">
        <v>4</v>
      </c>
      <c r="F1022">
        <v>11.3267202</v>
      </c>
      <c r="G1022">
        <v>22</v>
      </c>
      <c r="H1022">
        <v>51</v>
      </c>
      <c r="I1022">
        <v>69</v>
      </c>
      <c r="J1022">
        <v>2</v>
      </c>
      <c r="K1022">
        <v>0</v>
      </c>
    </row>
    <row r="1023" spans="1:11" x14ac:dyDescent="0.25">
      <c r="A1023">
        <v>24</v>
      </c>
      <c r="B1023">
        <v>0</v>
      </c>
      <c r="C1023">
        <v>2</v>
      </c>
      <c r="D1023">
        <v>0</v>
      </c>
      <c r="E1023">
        <v>5</v>
      </c>
      <c r="F1023">
        <v>37.75130746</v>
      </c>
      <c r="G1023">
        <v>62</v>
      </c>
      <c r="H1023">
        <v>3</v>
      </c>
      <c r="I1023">
        <v>58</v>
      </c>
      <c r="J1023">
        <v>2</v>
      </c>
      <c r="K1023">
        <v>0</v>
      </c>
    </row>
    <row r="1024" spans="1:11" x14ac:dyDescent="0.25">
      <c r="A1024">
        <v>25</v>
      </c>
      <c r="B1024">
        <v>1</v>
      </c>
      <c r="C1024">
        <v>1</v>
      </c>
      <c r="D1024">
        <v>3</v>
      </c>
      <c r="E1024">
        <v>3</v>
      </c>
      <c r="F1024">
        <v>44.322553159999998</v>
      </c>
      <c r="G1024">
        <v>60</v>
      </c>
      <c r="H1024">
        <v>46</v>
      </c>
      <c r="I1024">
        <v>5</v>
      </c>
      <c r="J1024">
        <v>3</v>
      </c>
      <c r="K1024">
        <v>0</v>
      </c>
    </row>
    <row r="1025" spans="1:11" x14ac:dyDescent="0.25">
      <c r="A1025">
        <v>22</v>
      </c>
      <c r="B1025">
        <v>0</v>
      </c>
      <c r="C1025">
        <v>2</v>
      </c>
      <c r="D1025">
        <v>12</v>
      </c>
      <c r="E1025">
        <v>3</v>
      </c>
      <c r="F1025">
        <v>27.044108919999999</v>
      </c>
      <c r="G1025">
        <v>39</v>
      </c>
      <c r="H1025">
        <v>20</v>
      </c>
      <c r="I1025">
        <v>96</v>
      </c>
      <c r="J1025">
        <v>2</v>
      </c>
      <c r="K1025">
        <v>0</v>
      </c>
    </row>
    <row r="1026" spans="1:11" x14ac:dyDescent="0.25">
      <c r="A1026">
        <v>40</v>
      </c>
      <c r="B1026">
        <v>0</v>
      </c>
      <c r="C1026">
        <v>2</v>
      </c>
      <c r="D1026">
        <v>12</v>
      </c>
      <c r="E1026">
        <v>4</v>
      </c>
      <c r="F1026">
        <v>34.463289789999997</v>
      </c>
      <c r="G1026">
        <v>43</v>
      </c>
      <c r="H1026">
        <v>100</v>
      </c>
      <c r="I1026">
        <v>93</v>
      </c>
      <c r="J1026">
        <v>3</v>
      </c>
      <c r="K1026">
        <v>0</v>
      </c>
    </row>
    <row r="1027" spans="1:11" x14ac:dyDescent="0.25">
      <c r="A1027">
        <v>42</v>
      </c>
      <c r="B1027">
        <v>1</v>
      </c>
      <c r="C1027">
        <v>2</v>
      </c>
      <c r="D1027">
        <v>15</v>
      </c>
      <c r="E1027">
        <v>3</v>
      </c>
      <c r="F1027">
        <v>41.750765829999999</v>
      </c>
      <c r="G1027">
        <v>85</v>
      </c>
      <c r="H1027">
        <v>55</v>
      </c>
      <c r="I1027">
        <v>98</v>
      </c>
      <c r="J1027">
        <v>3</v>
      </c>
      <c r="K1027">
        <v>1</v>
      </c>
    </row>
    <row r="1028" spans="1:11" x14ac:dyDescent="0.25">
      <c r="A1028">
        <v>24</v>
      </c>
      <c r="B1028">
        <v>1</v>
      </c>
      <c r="C1028">
        <v>2</v>
      </c>
      <c r="D1028">
        <v>3</v>
      </c>
      <c r="E1028">
        <v>1</v>
      </c>
      <c r="F1028">
        <v>14.03375789</v>
      </c>
      <c r="G1028">
        <v>23</v>
      </c>
      <c r="H1028">
        <v>65</v>
      </c>
      <c r="I1028">
        <v>22</v>
      </c>
      <c r="J1028">
        <v>3</v>
      </c>
      <c r="K1028">
        <v>0</v>
      </c>
    </row>
    <row r="1029" spans="1:11" x14ac:dyDescent="0.25">
      <c r="A1029">
        <v>40</v>
      </c>
      <c r="B1029">
        <v>1</v>
      </c>
      <c r="C1029">
        <v>2</v>
      </c>
      <c r="D1029">
        <v>4</v>
      </c>
      <c r="E1029">
        <v>4</v>
      </c>
      <c r="F1029">
        <v>15.84478371</v>
      </c>
      <c r="G1029">
        <v>50</v>
      </c>
      <c r="H1029">
        <v>58</v>
      </c>
      <c r="I1029">
        <v>9</v>
      </c>
      <c r="J1029">
        <v>1</v>
      </c>
      <c r="K1029">
        <v>0</v>
      </c>
    </row>
    <row r="1030" spans="1:11" x14ac:dyDescent="0.25">
      <c r="A1030">
        <v>24</v>
      </c>
      <c r="B1030">
        <v>0</v>
      </c>
      <c r="C1030">
        <v>1</v>
      </c>
      <c r="D1030">
        <v>9</v>
      </c>
      <c r="E1030">
        <v>1</v>
      </c>
      <c r="F1030">
        <v>1.0313758310000001</v>
      </c>
      <c r="G1030">
        <v>57</v>
      </c>
      <c r="H1030">
        <v>6</v>
      </c>
      <c r="I1030">
        <v>50</v>
      </c>
      <c r="J1030">
        <v>1</v>
      </c>
      <c r="K1030">
        <v>0</v>
      </c>
    </row>
    <row r="1031" spans="1:11" x14ac:dyDescent="0.25">
      <c r="A1031">
        <v>29</v>
      </c>
      <c r="B1031">
        <v>1</v>
      </c>
      <c r="C1031">
        <v>1</v>
      </c>
      <c r="D1031">
        <v>5</v>
      </c>
      <c r="E1031">
        <v>4</v>
      </c>
      <c r="F1031">
        <v>49.154706539999999</v>
      </c>
      <c r="G1031">
        <v>89</v>
      </c>
      <c r="H1031">
        <v>48</v>
      </c>
      <c r="I1031">
        <v>18</v>
      </c>
      <c r="J1031">
        <v>2</v>
      </c>
      <c r="K1031">
        <v>0</v>
      </c>
    </row>
    <row r="1032" spans="1:11" x14ac:dyDescent="0.25">
      <c r="A1032">
        <v>29</v>
      </c>
      <c r="B1032">
        <v>1</v>
      </c>
      <c r="C1032">
        <v>3</v>
      </c>
      <c r="D1032">
        <v>3</v>
      </c>
      <c r="E1032">
        <v>3</v>
      </c>
      <c r="F1032">
        <v>46.877244730000001</v>
      </c>
      <c r="G1032">
        <v>93</v>
      </c>
      <c r="H1032">
        <v>15</v>
      </c>
      <c r="I1032">
        <v>50</v>
      </c>
      <c r="J1032">
        <v>2</v>
      </c>
      <c r="K1032">
        <v>0</v>
      </c>
    </row>
    <row r="1033" spans="1:11" x14ac:dyDescent="0.25">
      <c r="A1033">
        <v>38</v>
      </c>
      <c r="B1033">
        <v>0</v>
      </c>
      <c r="C1033">
        <v>2</v>
      </c>
      <c r="D1033">
        <v>14</v>
      </c>
      <c r="E1033">
        <v>1</v>
      </c>
      <c r="F1033">
        <v>39.228413189999998</v>
      </c>
      <c r="G1033">
        <v>32</v>
      </c>
      <c r="H1033">
        <v>16</v>
      </c>
      <c r="I1033">
        <v>91</v>
      </c>
      <c r="J1033">
        <v>1</v>
      </c>
      <c r="K1033">
        <v>1</v>
      </c>
    </row>
    <row r="1034" spans="1:11" x14ac:dyDescent="0.25">
      <c r="A1034">
        <v>36</v>
      </c>
      <c r="B1034">
        <v>1</v>
      </c>
      <c r="C1034">
        <v>1</v>
      </c>
      <c r="D1034">
        <v>1</v>
      </c>
      <c r="E1034">
        <v>3</v>
      </c>
      <c r="F1034">
        <v>4.953801049</v>
      </c>
      <c r="G1034">
        <v>15</v>
      </c>
      <c r="H1034">
        <v>83</v>
      </c>
      <c r="I1034">
        <v>86</v>
      </c>
      <c r="J1034">
        <v>1</v>
      </c>
      <c r="K1034">
        <v>1</v>
      </c>
    </row>
    <row r="1035" spans="1:11" x14ac:dyDescent="0.25">
      <c r="A1035">
        <v>40</v>
      </c>
      <c r="B1035">
        <v>1</v>
      </c>
      <c r="C1035">
        <v>3</v>
      </c>
      <c r="D1035">
        <v>15</v>
      </c>
      <c r="E1035">
        <v>4</v>
      </c>
      <c r="F1035">
        <v>23.375144479999999</v>
      </c>
      <c r="G1035">
        <v>21</v>
      </c>
      <c r="H1035">
        <v>86</v>
      </c>
      <c r="I1035">
        <v>67</v>
      </c>
      <c r="J1035">
        <v>2</v>
      </c>
      <c r="K1035">
        <v>1</v>
      </c>
    </row>
    <row r="1036" spans="1:11" x14ac:dyDescent="0.25">
      <c r="A1036">
        <v>33</v>
      </c>
      <c r="B1036">
        <v>1</v>
      </c>
      <c r="C1036">
        <v>2</v>
      </c>
      <c r="D1036">
        <v>5</v>
      </c>
      <c r="E1036">
        <v>3</v>
      </c>
      <c r="F1036">
        <v>6.0945876989999999</v>
      </c>
      <c r="G1036">
        <v>56</v>
      </c>
      <c r="H1036">
        <v>97</v>
      </c>
      <c r="I1036">
        <v>83</v>
      </c>
      <c r="J1036">
        <v>2</v>
      </c>
      <c r="K1036">
        <v>0</v>
      </c>
    </row>
    <row r="1037" spans="1:11" x14ac:dyDescent="0.25">
      <c r="A1037">
        <v>28</v>
      </c>
      <c r="B1037">
        <v>1</v>
      </c>
      <c r="C1037">
        <v>2</v>
      </c>
      <c r="D1037">
        <v>14</v>
      </c>
      <c r="E1037">
        <v>1</v>
      </c>
      <c r="F1037">
        <v>1.7960133629999999</v>
      </c>
      <c r="G1037">
        <v>61</v>
      </c>
      <c r="H1037">
        <v>74</v>
      </c>
      <c r="I1037">
        <v>82</v>
      </c>
      <c r="J1037">
        <v>2</v>
      </c>
      <c r="K1037">
        <v>0</v>
      </c>
    </row>
    <row r="1038" spans="1:11" x14ac:dyDescent="0.25">
      <c r="A1038">
        <v>33</v>
      </c>
      <c r="B1038">
        <v>0</v>
      </c>
      <c r="C1038">
        <v>1</v>
      </c>
      <c r="D1038">
        <v>7</v>
      </c>
      <c r="E1038">
        <v>1</v>
      </c>
      <c r="F1038">
        <v>31.809148260000001</v>
      </c>
      <c r="G1038">
        <v>81</v>
      </c>
      <c r="H1038">
        <v>33</v>
      </c>
      <c r="I1038">
        <v>41</v>
      </c>
      <c r="J1038">
        <v>2</v>
      </c>
      <c r="K1038">
        <v>0</v>
      </c>
    </row>
    <row r="1039" spans="1:11" x14ac:dyDescent="0.25">
      <c r="A1039">
        <v>20</v>
      </c>
      <c r="B1039">
        <v>1</v>
      </c>
      <c r="C1039">
        <v>3</v>
      </c>
      <c r="D1039">
        <v>14</v>
      </c>
      <c r="E1039">
        <v>3</v>
      </c>
      <c r="F1039">
        <v>49.041470850000003</v>
      </c>
      <c r="G1039">
        <v>70</v>
      </c>
      <c r="H1039">
        <v>32</v>
      </c>
      <c r="I1039">
        <v>90</v>
      </c>
      <c r="J1039">
        <v>2</v>
      </c>
      <c r="K1039">
        <v>0</v>
      </c>
    </row>
    <row r="1040" spans="1:11" x14ac:dyDescent="0.25">
      <c r="A1040">
        <v>38</v>
      </c>
      <c r="B1040">
        <v>1</v>
      </c>
      <c r="C1040">
        <v>2</v>
      </c>
      <c r="D1040">
        <v>7</v>
      </c>
      <c r="E1040">
        <v>2</v>
      </c>
      <c r="F1040">
        <v>46.143401169999997</v>
      </c>
      <c r="G1040">
        <v>89</v>
      </c>
      <c r="H1040">
        <v>25</v>
      </c>
      <c r="I1040">
        <v>56</v>
      </c>
      <c r="J1040">
        <v>2</v>
      </c>
      <c r="K1040">
        <v>0</v>
      </c>
    </row>
    <row r="1041" spans="1:11" x14ac:dyDescent="0.25">
      <c r="A1041">
        <v>32</v>
      </c>
      <c r="B1041">
        <v>0</v>
      </c>
      <c r="C1041">
        <v>2</v>
      </c>
      <c r="D1041">
        <v>6</v>
      </c>
      <c r="E1041">
        <v>4</v>
      </c>
      <c r="F1041">
        <v>35.837740750000002</v>
      </c>
      <c r="G1041">
        <v>71</v>
      </c>
      <c r="H1041">
        <v>65</v>
      </c>
      <c r="I1041">
        <v>97</v>
      </c>
      <c r="J1041">
        <v>1</v>
      </c>
      <c r="K1041">
        <v>1</v>
      </c>
    </row>
    <row r="1042" spans="1:11" x14ac:dyDescent="0.25">
      <c r="A1042">
        <v>32</v>
      </c>
      <c r="B1042">
        <v>1</v>
      </c>
      <c r="C1042">
        <v>3</v>
      </c>
      <c r="D1042">
        <v>5</v>
      </c>
      <c r="E1042">
        <v>4</v>
      </c>
      <c r="F1042">
        <v>5.8320292079999998</v>
      </c>
      <c r="G1042">
        <v>69</v>
      </c>
      <c r="H1042">
        <v>62</v>
      </c>
      <c r="I1042">
        <v>67</v>
      </c>
      <c r="J1042">
        <v>2</v>
      </c>
      <c r="K1042">
        <v>0</v>
      </c>
    </row>
    <row r="1043" spans="1:11" x14ac:dyDescent="0.25">
      <c r="A1043">
        <v>23</v>
      </c>
      <c r="B1043">
        <v>0</v>
      </c>
      <c r="C1043">
        <v>2</v>
      </c>
      <c r="D1043">
        <v>1</v>
      </c>
      <c r="E1043">
        <v>3</v>
      </c>
      <c r="F1043">
        <v>14.708201880000001</v>
      </c>
      <c r="G1043">
        <v>29</v>
      </c>
      <c r="H1043">
        <v>86</v>
      </c>
      <c r="I1043">
        <v>37</v>
      </c>
      <c r="J1043">
        <v>2</v>
      </c>
      <c r="K1043">
        <v>0</v>
      </c>
    </row>
    <row r="1044" spans="1:11" x14ac:dyDescent="0.25">
      <c r="A1044">
        <v>49</v>
      </c>
      <c r="B1044">
        <v>1</v>
      </c>
      <c r="C1044">
        <v>2</v>
      </c>
      <c r="D1044">
        <v>14</v>
      </c>
      <c r="E1044">
        <v>2</v>
      </c>
      <c r="F1044">
        <v>17.002836340000002</v>
      </c>
      <c r="G1044">
        <v>22</v>
      </c>
      <c r="H1044">
        <v>40</v>
      </c>
      <c r="I1044">
        <v>61</v>
      </c>
      <c r="J1044">
        <v>1</v>
      </c>
      <c r="K1044">
        <v>1</v>
      </c>
    </row>
    <row r="1045" spans="1:11" x14ac:dyDescent="0.25">
      <c r="A1045">
        <v>20</v>
      </c>
      <c r="B1045">
        <v>0</v>
      </c>
      <c r="C1045">
        <v>1</v>
      </c>
      <c r="D1045">
        <v>6</v>
      </c>
      <c r="E1045">
        <v>1</v>
      </c>
      <c r="F1045">
        <v>39.157502890000004</v>
      </c>
      <c r="G1045">
        <v>31</v>
      </c>
      <c r="H1045">
        <v>85</v>
      </c>
      <c r="I1045">
        <v>6</v>
      </c>
      <c r="J1045">
        <v>2</v>
      </c>
      <c r="K1045">
        <v>0</v>
      </c>
    </row>
    <row r="1046" spans="1:11" x14ac:dyDescent="0.25">
      <c r="A1046">
        <v>36</v>
      </c>
      <c r="B1046">
        <v>0</v>
      </c>
      <c r="C1046">
        <v>2</v>
      </c>
      <c r="D1046">
        <v>10</v>
      </c>
      <c r="E1046">
        <v>5</v>
      </c>
      <c r="F1046">
        <v>41.112458959999998</v>
      </c>
      <c r="G1046">
        <v>85</v>
      </c>
      <c r="H1046">
        <v>57</v>
      </c>
      <c r="I1046">
        <v>70</v>
      </c>
      <c r="J1046">
        <v>2</v>
      </c>
      <c r="K1046">
        <v>1</v>
      </c>
    </row>
    <row r="1047" spans="1:11" x14ac:dyDescent="0.25">
      <c r="A1047">
        <v>27</v>
      </c>
      <c r="B1047">
        <v>0</v>
      </c>
      <c r="C1047">
        <v>1</v>
      </c>
      <c r="D1047">
        <v>11</v>
      </c>
      <c r="E1047">
        <v>5</v>
      </c>
      <c r="F1047">
        <v>20.255306149999999</v>
      </c>
      <c r="G1047">
        <v>56</v>
      </c>
      <c r="H1047">
        <v>97</v>
      </c>
      <c r="I1047">
        <v>49</v>
      </c>
      <c r="J1047">
        <v>2</v>
      </c>
      <c r="K1047">
        <v>0</v>
      </c>
    </row>
    <row r="1048" spans="1:11" x14ac:dyDescent="0.25">
      <c r="A1048">
        <v>21</v>
      </c>
      <c r="B1048">
        <v>0</v>
      </c>
      <c r="C1048">
        <v>2</v>
      </c>
      <c r="D1048">
        <v>13</v>
      </c>
      <c r="E1048">
        <v>3</v>
      </c>
      <c r="F1048">
        <v>21.894199830000002</v>
      </c>
      <c r="G1048">
        <v>8</v>
      </c>
      <c r="H1048">
        <v>78</v>
      </c>
      <c r="I1048">
        <v>51</v>
      </c>
      <c r="J1048">
        <v>2</v>
      </c>
      <c r="K1048">
        <v>0</v>
      </c>
    </row>
    <row r="1049" spans="1:11" x14ac:dyDescent="0.25">
      <c r="A1049">
        <v>47</v>
      </c>
      <c r="B1049">
        <v>1</v>
      </c>
      <c r="C1049">
        <v>3</v>
      </c>
      <c r="D1049">
        <v>15</v>
      </c>
      <c r="E1049">
        <v>2</v>
      </c>
      <c r="F1049">
        <v>3.2254519639999999</v>
      </c>
      <c r="G1049">
        <v>30</v>
      </c>
      <c r="H1049">
        <v>9</v>
      </c>
      <c r="I1049">
        <v>25</v>
      </c>
      <c r="J1049">
        <v>2</v>
      </c>
      <c r="K1049">
        <v>0</v>
      </c>
    </row>
    <row r="1050" spans="1:11" x14ac:dyDescent="0.25">
      <c r="A1050">
        <v>50</v>
      </c>
      <c r="B1050">
        <v>0</v>
      </c>
      <c r="C1050">
        <v>2</v>
      </c>
      <c r="D1050">
        <v>13</v>
      </c>
      <c r="E1050">
        <v>2</v>
      </c>
      <c r="F1050">
        <v>15.45683592</v>
      </c>
      <c r="G1050">
        <v>70</v>
      </c>
      <c r="H1050">
        <v>14</v>
      </c>
      <c r="I1050">
        <v>25</v>
      </c>
      <c r="J1050">
        <v>2</v>
      </c>
      <c r="K1050">
        <v>0</v>
      </c>
    </row>
    <row r="1051" spans="1:11" x14ac:dyDescent="0.25">
      <c r="A1051">
        <v>27</v>
      </c>
      <c r="B1051">
        <v>1</v>
      </c>
      <c r="C1051">
        <v>2</v>
      </c>
      <c r="D1051">
        <v>4</v>
      </c>
      <c r="E1051">
        <v>4</v>
      </c>
      <c r="F1051">
        <v>23.564258859999999</v>
      </c>
      <c r="G1051">
        <v>8</v>
      </c>
      <c r="H1051">
        <v>41</v>
      </c>
      <c r="I1051">
        <v>18</v>
      </c>
      <c r="J1051">
        <v>3</v>
      </c>
      <c r="K1051">
        <v>0</v>
      </c>
    </row>
    <row r="1052" spans="1:11" x14ac:dyDescent="0.25">
      <c r="A1052">
        <v>26</v>
      </c>
      <c r="B1052">
        <v>0</v>
      </c>
      <c r="C1052">
        <v>1</v>
      </c>
      <c r="D1052">
        <v>15</v>
      </c>
      <c r="E1052">
        <v>1</v>
      </c>
      <c r="F1052">
        <v>6.8491523189999999</v>
      </c>
      <c r="G1052">
        <v>12</v>
      </c>
      <c r="H1052">
        <v>92</v>
      </c>
      <c r="I1052">
        <v>8</v>
      </c>
      <c r="J1052">
        <v>1</v>
      </c>
      <c r="K1052">
        <v>1</v>
      </c>
    </row>
    <row r="1053" spans="1:11" x14ac:dyDescent="0.25">
      <c r="A1053">
        <v>45</v>
      </c>
      <c r="B1053">
        <v>0</v>
      </c>
      <c r="C1053">
        <v>2</v>
      </c>
      <c r="D1053">
        <v>5</v>
      </c>
      <c r="E1053">
        <v>2</v>
      </c>
      <c r="F1053">
        <v>23.66337304</v>
      </c>
      <c r="G1053">
        <v>57</v>
      </c>
      <c r="H1053">
        <v>56</v>
      </c>
      <c r="I1053">
        <v>60</v>
      </c>
      <c r="J1053">
        <v>3</v>
      </c>
      <c r="K1053">
        <v>0</v>
      </c>
    </row>
    <row r="1054" spans="1:11" x14ac:dyDescent="0.25">
      <c r="A1054">
        <v>45</v>
      </c>
      <c r="B1054">
        <v>0</v>
      </c>
      <c r="C1054">
        <v>2</v>
      </c>
      <c r="D1054">
        <v>9</v>
      </c>
      <c r="E1054">
        <v>5</v>
      </c>
      <c r="F1054">
        <v>43.658790609999997</v>
      </c>
      <c r="G1054">
        <v>2</v>
      </c>
      <c r="H1054">
        <v>86</v>
      </c>
      <c r="I1054">
        <v>19</v>
      </c>
      <c r="J1054">
        <v>2</v>
      </c>
      <c r="K1054">
        <v>0</v>
      </c>
    </row>
    <row r="1055" spans="1:11" x14ac:dyDescent="0.25">
      <c r="A1055">
        <v>21</v>
      </c>
      <c r="B1055">
        <v>1</v>
      </c>
      <c r="C1055">
        <v>3</v>
      </c>
      <c r="D1055">
        <v>7</v>
      </c>
      <c r="E1055">
        <v>1</v>
      </c>
      <c r="F1055">
        <v>30.066050990000001</v>
      </c>
      <c r="G1055">
        <v>34</v>
      </c>
      <c r="H1055">
        <v>16</v>
      </c>
      <c r="I1055">
        <v>49</v>
      </c>
      <c r="J1055">
        <v>1</v>
      </c>
      <c r="K1055">
        <v>1</v>
      </c>
    </row>
    <row r="1056" spans="1:11" x14ac:dyDescent="0.25">
      <c r="A1056">
        <v>41</v>
      </c>
      <c r="B1056">
        <v>0</v>
      </c>
      <c r="C1056">
        <v>1</v>
      </c>
      <c r="D1056">
        <v>15</v>
      </c>
      <c r="E1056">
        <v>1</v>
      </c>
      <c r="F1056">
        <v>4.9464927520000002</v>
      </c>
      <c r="G1056">
        <v>96</v>
      </c>
      <c r="H1056">
        <v>59</v>
      </c>
      <c r="I1056">
        <v>79</v>
      </c>
      <c r="J1056">
        <v>1</v>
      </c>
      <c r="K1056">
        <v>1</v>
      </c>
    </row>
    <row r="1057" spans="1:11" x14ac:dyDescent="0.25">
      <c r="A1057">
        <v>41</v>
      </c>
      <c r="B1057">
        <v>1</v>
      </c>
      <c r="C1057">
        <v>3</v>
      </c>
      <c r="D1057">
        <v>13</v>
      </c>
      <c r="E1057">
        <v>3</v>
      </c>
      <c r="F1057">
        <v>10.58356594</v>
      </c>
      <c r="G1057">
        <v>20</v>
      </c>
      <c r="H1057">
        <v>8</v>
      </c>
      <c r="I1057">
        <v>80</v>
      </c>
      <c r="J1057">
        <v>2</v>
      </c>
      <c r="K1057">
        <v>0</v>
      </c>
    </row>
    <row r="1058" spans="1:11" x14ac:dyDescent="0.25">
      <c r="A1058">
        <v>22</v>
      </c>
      <c r="B1058">
        <v>1</v>
      </c>
      <c r="C1058">
        <v>3</v>
      </c>
      <c r="D1058">
        <v>7</v>
      </c>
      <c r="E1058">
        <v>2</v>
      </c>
      <c r="F1058">
        <v>24.727217509999999</v>
      </c>
      <c r="G1058">
        <v>63</v>
      </c>
      <c r="H1058">
        <v>35</v>
      </c>
      <c r="I1058">
        <v>21</v>
      </c>
      <c r="J1058">
        <v>2</v>
      </c>
      <c r="K1058">
        <v>0</v>
      </c>
    </row>
    <row r="1059" spans="1:11" x14ac:dyDescent="0.25">
      <c r="A1059">
        <v>46</v>
      </c>
      <c r="B1059">
        <v>1</v>
      </c>
      <c r="C1059">
        <v>2</v>
      </c>
      <c r="D1059">
        <v>2</v>
      </c>
      <c r="E1059">
        <v>3</v>
      </c>
      <c r="F1059">
        <v>19.074357490000001</v>
      </c>
      <c r="G1059">
        <v>94</v>
      </c>
      <c r="H1059">
        <v>72</v>
      </c>
      <c r="I1059">
        <v>12</v>
      </c>
      <c r="J1059">
        <v>1</v>
      </c>
      <c r="K1059">
        <v>1</v>
      </c>
    </row>
    <row r="1060" spans="1:11" x14ac:dyDescent="0.25">
      <c r="A1060">
        <v>37</v>
      </c>
      <c r="B1060">
        <v>1</v>
      </c>
      <c r="C1060">
        <v>3</v>
      </c>
      <c r="D1060">
        <v>11</v>
      </c>
      <c r="E1060">
        <v>2</v>
      </c>
      <c r="F1060">
        <v>18.93635098</v>
      </c>
      <c r="G1060">
        <v>51</v>
      </c>
      <c r="H1060">
        <v>79</v>
      </c>
      <c r="I1060">
        <v>11</v>
      </c>
      <c r="J1060">
        <v>1</v>
      </c>
      <c r="K1060">
        <v>1</v>
      </c>
    </row>
    <row r="1061" spans="1:11" x14ac:dyDescent="0.25">
      <c r="A1061">
        <v>31</v>
      </c>
      <c r="B1061">
        <v>1</v>
      </c>
      <c r="C1061">
        <v>2</v>
      </c>
      <c r="D1061">
        <v>15</v>
      </c>
      <c r="E1061">
        <v>4</v>
      </c>
      <c r="F1061">
        <v>27.463372410000002</v>
      </c>
      <c r="G1061">
        <v>33</v>
      </c>
      <c r="H1061">
        <v>35</v>
      </c>
      <c r="I1061">
        <v>9</v>
      </c>
      <c r="J1061">
        <v>2</v>
      </c>
      <c r="K1061">
        <v>0</v>
      </c>
    </row>
    <row r="1062" spans="1:11" x14ac:dyDescent="0.25">
      <c r="A1062">
        <v>20</v>
      </c>
      <c r="B1062">
        <v>1</v>
      </c>
      <c r="C1062">
        <v>2</v>
      </c>
      <c r="D1062">
        <v>11</v>
      </c>
      <c r="E1062">
        <v>3</v>
      </c>
      <c r="F1062">
        <v>30.219796079999998</v>
      </c>
      <c r="G1062">
        <v>95</v>
      </c>
      <c r="H1062">
        <v>47</v>
      </c>
      <c r="I1062">
        <v>64</v>
      </c>
      <c r="J1062">
        <v>1</v>
      </c>
      <c r="K1062">
        <v>1</v>
      </c>
    </row>
    <row r="1063" spans="1:11" x14ac:dyDescent="0.25">
      <c r="A1063">
        <v>41</v>
      </c>
      <c r="B1063">
        <v>1</v>
      </c>
      <c r="C1063">
        <v>2</v>
      </c>
      <c r="D1063">
        <v>13</v>
      </c>
      <c r="E1063">
        <v>3</v>
      </c>
      <c r="F1063">
        <v>40.843078509999998</v>
      </c>
      <c r="G1063">
        <v>34</v>
      </c>
      <c r="H1063">
        <v>50</v>
      </c>
      <c r="I1063">
        <v>95</v>
      </c>
      <c r="J1063">
        <v>3</v>
      </c>
      <c r="K1063">
        <v>0</v>
      </c>
    </row>
    <row r="1064" spans="1:11" x14ac:dyDescent="0.25">
      <c r="A1064">
        <v>31</v>
      </c>
      <c r="B1064">
        <v>1</v>
      </c>
      <c r="C1064">
        <v>2</v>
      </c>
      <c r="D1064">
        <v>6</v>
      </c>
      <c r="E1064">
        <v>5</v>
      </c>
      <c r="F1064">
        <v>18.048328170000001</v>
      </c>
      <c r="G1064">
        <v>14</v>
      </c>
      <c r="H1064">
        <v>96</v>
      </c>
      <c r="I1064">
        <v>29</v>
      </c>
      <c r="J1064">
        <v>2</v>
      </c>
      <c r="K1064">
        <v>0</v>
      </c>
    </row>
    <row r="1065" spans="1:11" x14ac:dyDescent="0.25">
      <c r="A1065">
        <v>24</v>
      </c>
      <c r="B1065">
        <v>1</v>
      </c>
      <c r="C1065">
        <v>2</v>
      </c>
      <c r="D1065">
        <v>0</v>
      </c>
      <c r="E1065">
        <v>3</v>
      </c>
      <c r="F1065">
        <v>41.273314149999997</v>
      </c>
      <c r="G1065">
        <v>95</v>
      </c>
      <c r="H1065">
        <v>94</v>
      </c>
      <c r="I1065">
        <v>7</v>
      </c>
      <c r="J1065">
        <v>2</v>
      </c>
      <c r="K1065">
        <v>0</v>
      </c>
    </row>
    <row r="1066" spans="1:11" x14ac:dyDescent="0.25">
      <c r="A1066">
        <v>49</v>
      </c>
      <c r="B1066">
        <v>0</v>
      </c>
      <c r="C1066">
        <v>2</v>
      </c>
      <c r="D1066">
        <v>0</v>
      </c>
      <c r="E1066">
        <v>2</v>
      </c>
      <c r="F1066">
        <v>17.93056146</v>
      </c>
      <c r="G1066">
        <v>5</v>
      </c>
      <c r="H1066">
        <v>69</v>
      </c>
      <c r="I1066">
        <v>20</v>
      </c>
      <c r="J1066">
        <v>2</v>
      </c>
      <c r="K1066">
        <v>0</v>
      </c>
    </row>
    <row r="1067" spans="1:11" x14ac:dyDescent="0.25">
      <c r="A1067">
        <v>49</v>
      </c>
      <c r="B1067">
        <v>0</v>
      </c>
      <c r="C1067">
        <v>2</v>
      </c>
      <c r="D1067">
        <v>6</v>
      </c>
      <c r="E1067">
        <v>5</v>
      </c>
      <c r="F1067">
        <v>3.7716494470000002</v>
      </c>
      <c r="G1067">
        <v>84</v>
      </c>
      <c r="H1067">
        <v>73</v>
      </c>
      <c r="I1067">
        <v>21</v>
      </c>
      <c r="J1067">
        <v>1</v>
      </c>
      <c r="K1067">
        <v>1</v>
      </c>
    </row>
    <row r="1068" spans="1:11" x14ac:dyDescent="0.25">
      <c r="A1068">
        <v>46</v>
      </c>
      <c r="B1068">
        <v>0</v>
      </c>
      <c r="C1068">
        <v>2</v>
      </c>
      <c r="D1068">
        <v>14</v>
      </c>
      <c r="E1068">
        <v>3</v>
      </c>
      <c r="F1068">
        <v>28.709382550000001</v>
      </c>
      <c r="G1068">
        <v>96</v>
      </c>
      <c r="H1068">
        <v>79</v>
      </c>
      <c r="I1068">
        <v>17</v>
      </c>
      <c r="J1068">
        <v>3</v>
      </c>
      <c r="K1068">
        <v>0</v>
      </c>
    </row>
    <row r="1069" spans="1:11" x14ac:dyDescent="0.25">
      <c r="A1069">
        <v>44</v>
      </c>
      <c r="B1069">
        <v>0</v>
      </c>
      <c r="C1069">
        <v>1</v>
      </c>
      <c r="D1069">
        <v>14</v>
      </c>
      <c r="E1069">
        <v>3</v>
      </c>
      <c r="F1069">
        <v>30.39511624</v>
      </c>
      <c r="G1069">
        <v>31</v>
      </c>
      <c r="H1069">
        <v>67</v>
      </c>
      <c r="I1069">
        <v>65</v>
      </c>
      <c r="J1069">
        <v>1</v>
      </c>
      <c r="K1069">
        <v>1</v>
      </c>
    </row>
    <row r="1070" spans="1:11" x14ac:dyDescent="0.25">
      <c r="A1070">
        <v>36</v>
      </c>
      <c r="B1070">
        <v>0</v>
      </c>
      <c r="C1070">
        <v>4</v>
      </c>
      <c r="D1070">
        <v>9</v>
      </c>
      <c r="E1070">
        <v>4</v>
      </c>
      <c r="F1070">
        <v>47.727012279999997</v>
      </c>
      <c r="G1070">
        <v>51</v>
      </c>
      <c r="H1070">
        <v>21</v>
      </c>
      <c r="I1070">
        <v>47</v>
      </c>
      <c r="J1070">
        <v>2</v>
      </c>
      <c r="K1070">
        <v>0</v>
      </c>
    </row>
    <row r="1071" spans="1:11" x14ac:dyDescent="0.25">
      <c r="A1071">
        <v>35</v>
      </c>
      <c r="B1071">
        <v>1</v>
      </c>
      <c r="C1071">
        <v>3</v>
      </c>
      <c r="D1071">
        <v>8</v>
      </c>
      <c r="E1071">
        <v>3</v>
      </c>
      <c r="F1071">
        <v>37.303066299999998</v>
      </c>
      <c r="G1071">
        <v>82</v>
      </c>
      <c r="H1071">
        <v>76</v>
      </c>
      <c r="I1071">
        <v>43</v>
      </c>
      <c r="J1071">
        <v>2</v>
      </c>
      <c r="K1071">
        <v>1</v>
      </c>
    </row>
    <row r="1072" spans="1:11" x14ac:dyDescent="0.25">
      <c r="A1072">
        <v>50</v>
      </c>
      <c r="B1072">
        <v>1</v>
      </c>
      <c r="C1072">
        <v>2</v>
      </c>
      <c r="D1072">
        <v>6</v>
      </c>
      <c r="E1072">
        <v>1</v>
      </c>
      <c r="F1072">
        <v>46.888632620000003</v>
      </c>
      <c r="G1072">
        <v>96</v>
      </c>
      <c r="H1072">
        <v>79</v>
      </c>
      <c r="I1072">
        <v>8</v>
      </c>
      <c r="J1072">
        <v>1</v>
      </c>
      <c r="K1072">
        <v>1</v>
      </c>
    </row>
    <row r="1073" spans="1:11" x14ac:dyDescent="0.25">
      <c r="A1073">
        <v>34</v>
      </c>
      <c r="B1073">
        <v>1</v>
      </c>
      <c r="C1073">
        <v>1</v>
      </c>
      <c r="D1073">
        <v>9</v>
      </c>
      <c r="E1073">
        <v>5</v>
      </c>
      <c r="F1073">
        <v>46.417360510000002</v>
      </c>
      <c r="G1073">
        <v>27</v>
      </c>
      <c r="H1073">
        <v>92</v>
      </c>
      <c r="I1073">
        <v>66</v>
      </c>
      <c r="J1073">
        <v>2</v>
      </c>
      <c r="K1073">
        <v>0</v>
      </c>
    </row>
    <row r="1074" spans="1:11" x14ac:dyDescent="0.25">
      <c r="A1074">
        <v>42</v>
      </c>
      <c r="B1074">
        <v>1</v>
      </c>
      <c r="C1074">
        <v>3</v>
      </c>
      <c r="D1074">
        <v>4</v>
      </c>
      <c r="E1074">
        <v>1</v>
      </c>
      <c r="F1074">
        <v>31.228705510000001</v>
      </c>
      <c r="G1074">
        <v>94</v>
      </c>
      <c r="H1074">
        <v>5</v>
      </c>
      <c r="I1074">
        <v>53</v>
      </c>
      <c r="J1074">
        <v>3</v>
      </c>
      <c r="K1074">
        <v>0</v>
      </c>
    </row>
    <row r="1075" spans="1:11" x14ac:dyDescent="0.25">
      <c r="A1075">
        <v>34</v>
      </c>
      <c r="B1075">
        <v>1</v>
      </c>
      <c r="C1075">
        <v>3</v>
      </c>
      <c r="D1075">
        <v>7</v>
      </c>
      <c r="E1075">
        <v>5</v>
      </c>
      <c r="F1075">
        <v>27.388103269999998</v>
      </c>
      <c r="G1075">
        <v>84</v>
      </c>
      <c r="H1075">
        <v>25</v>
      </c>
      <c r="I1075">
        <v>25</v>
      </c>
      <c r="J1075">
        <v>2</v>
      </c>
      <c r="K1075">
        <v>0</v>
      </c>
    </row>
    <row r="1076" spans="1:11" x14ac:dyDescent="0.25">
      <c r="A1076">
        <v>24</v>
      </c>
      <c r="B1076">
        <v>1</v>
      </c>
      <c r="C1076">
        <v>3</v>
      </c>
      <c r="D1076">
        <v>1</v>
      </c>
      <c r="E1076">
        <v>4</v>
      </c>
      <c r="F1076">
        <v>28.872048360000001</v>
      </c>
      <c r="G1076">
        <v>97</v>
      </c>
      <c r="H1076">
        <v>74</v>
      </c>
      <c r="I1076">
        <v>84</v>
      </c>
      <c r="J1076">
        <v>3</v>
      </c>
      <c r="K1076">
        <v>1</v>
      </c>
    </row>
    <row r="1077" spans="1:11" x14ac:dyDescent="0.25">
      <c r="A1077">
        <v>40</v>
      </c>
      <c r="B1077">
        <v>1</v>
      </c>
      <c r="C1077">
        <v>2</v>
      </c>
      <c r="D1077">
        <v>8</v>
      </c>
      <c r="E1077">
        <v>3</v>
      </c>
      <c r="F1077">
        <v>49.916540380000001</v>
      </c>
      <c r="G1077">
        <v>63</v>
      </c>
      <c r="H1077">
        <v>87</v>
      </c>
      <c r="I1077">
        <v>93</v>
      </c>
      <c r="J1077">
        <v>3</v>
      </c>
      <c r="K1077">
        <v>0</v>
      </c>
    </row>
    <row r="1078" spans="1:11" x14ac:dyDescent="0.25">
      <c r="A1078">
        <v>33</v>
      </c>
      <c r="B1078">
        <v>0</v>
      </c>
      <c r="C1078">
        <v>2</v>
      </c>
      <c r="D1078">
        <v>5</v>
      </c>
      <c r="E1078">
        <v>3</v>
      </c>
      <c r="F1078">
        <v>39.658384589999997</v>
      </c>
      <c r="G1078">
        <v>78</v>
      </c>
      <c r="H1078">
        <v>92</v>
      </c>
      <c r="I1078">
        <v>91</v>
      </c>
      <c r="J1078">
        <v>2</v>
      </c>
      <c r="K1078">
        <v>0</v>
      </c>
    </row>
    <row r="1079" spans="1:11" x14ac:dyDescent="0.25">
      <c r="A1079">
        <v>21</v>
      </c>
      <c r="B1079">
        <v>0</v>
      </c>
      <c r="C1079">
        <v>1</v>
      </c>
      <c r="D1079">
        <v>12</v>
      </c>
      <c r="E1079">
        <v>3</v>
      </c>
      <c r="F1079">
        <v>6.3132952400000004</v>
      </c>
      <c r="G1079">
        <v>77</v>
      </c>
      <c r="H1079">
        <v>2</v>
      </c>
      <c r="I1079">
        <v>99</v>
      </c>
      <c r="J1079">
        <v>2</v>
      </c>
      <c r="K1079">
        <v>0</v>
      </c>
    </row>
    <row r="1080" spans="1:11" x14ac:dyDescent="0.25">
      <c r="A1080">
        <v>30</v>
      </c>
      <c r="B1080">
        <v>0</v>
      </c>
      <c r="C1080">
        <v>1</v>
      </c>
      <c r="D1080">
        <v>8</v>
      </c>
      <c r="E1080">
        <v>5</v>
      </c>
      <c r="F1080">
        <v>39.921420339999997</v>
      </c>
      <c r="G1080">
        <v>18</v>
      </c>
      <c r="H1080">
        <v>51</v>
      </c>
      <c r="I1080">
        <v>25</v>
      </c>
      <c r="J1080">
        <v>2</v>
      </c>
      <c r="K1080">
        <v>0</v>
      </c>
    </row>
    <row r="1081" spans="1:11" x14ac:dyDescent="0.25">
      <c r="A1081">
        <v>38</v>
      </c>
      <c r="B1081">
        <v>0</v>
      </c>
      <c r="C1081">
        <v>3</v>
      </c>
      <c r="D1081">
        <v>15</v>
      </c>
      <c r="E1081">
        <v>3</v>
      </c>
      <c r="F1081">
        <v>9.5269024449999993</v>
      </c>
      <c r="G1081">
        <v>14</v>
      </c>
      <c r="H1081">
        <v>73</v>
      </c>
      <c r="I1081">
        <v>33</v>
      </c>
      <c r="J1081">
        <v>2</v>
      </c>
      <c r="K1081">
        <v>0</v>
      </c>
    </row>
    <row r="1082" spans="1:11" x14ac:dyDescent="0.25">
      <c r="A1082">
        <v>26</v>
      </c>
      <c r="B1082">
        <v>1</v>
      </c>
      <c r="C1082">
        <v>3</v>
      </c>
      <c r="D1082">
        <v>1</v>
      </c>
      <c r="E1082">
        <v>1</v>
      </c>
      <c r="F1082">
        <v>23.367527450000001</v>
      </c>
      <c r="G1082">
        <v>5</v>
      </c>
      <c r="H1082">
        <v>59</v>
      </c>
      <c r="I1082">
        <v>7</v>
      </c>
      <c r="J1082">
        <v>1</v>
      </c>
      <c r="K1082">
        <v>1</v>
      </c>
    </row>
    <row r="1083" spans="1:11" x14ac:dyDescent="0.25">
      <c r="A1083">
        <v>25</v>
      </c>
      <c r="B1083">
        <v>1</v>
      </c>
      <c r="C1083">
        <v>2</v>
      </c>
      <c r="D1083">
        <v>2</v>
      </c>
      <c r="E1083">
        <v>3</v>
      </c>
      <c r="F1083">
        <v>11.522983610000001</v>
      </c>
      <c r="G1083">
        <v>72</v>
      </c>
      <c r="H1083">
        <v>62</v>
      </c>
      <c r="I1083">
        <v>9</v>
      </c>
      <c r="J1083">
        <v>3</v>
      </c>
      <c r="K1083">
        <v>0</v>
      </c>
    </row>
    <row r="1084" spans="1:11" x14ac:dyDescent="0.25">
      <c r="A1084">
        <v>47</v>
      </c>
      <c r="B1084">
        <v>1</v>
      </c>
      <c r="C1084">
        <v>3</v>
      </c>
      <c r="D1084">
        <v>11</v>
      </c>
      <c r="E1084">
        <v>4</v>
      </c>
      <c r="F1084">
        <v>35.479153279999998</v>
      </c>
      <c r="G1084">
        <v>100</v>
      </c>
      <c r="H1084">
        <v>64</v>
      </c>
      <c r="I1084">
        <v>47</v>
      </c>
      <c r="J1084">
        <v>2</v>
      </c>
      <c r="K1084">
        <v>1</v>
      </c>
    </row>
    <row r="1085" spans="1:11" x14ac:dyDescent="0.25">
      <c r="A1085">
        <v>21</v>
      </c>
      <c r="B1085">
        <v>0</v>
      </c>
      <c r="C1085">
        <v>2</v>
      </c>
      <c r="D1085">
        <v>7</v>
      </c>
      <c r="E1085">
        <v>1</v>
      </c>
      <c r="F1085">
        <v>44.86548681</v>
      </c>
      <c r="G1085">
        <v>83</v>
      </c>
      <c r="H1085">
        <v>51</v>
      </c>
      <c r="I1085">
        <v>54</v>
      </c>
      <c r="J1085">
        <v>2</v>
      </c>
      <c r="K1085">
        <v>0</v>
      </c>
    </row>
    <row r="1086" spans="1:11" x14ac:dyDescent="0.25">
      <c r="A1086">
        <v>25</v>
      </c>
      <c r="B1086">
        <v>1</v>
      </c>
      <c r="C1086">
        <v>2</v>
      </c>
      <c r="D1086">
        <v>0</v>
      </c>
      <c r="E1086">
        <v>3</v>
      </c>
      <c r="F1086">
        <v>15.518094270000001</v>
      </c>
      <c r="G1086">
        <v>97</v>
      </c>
      <c r="H1086">
        <v>89</v>
      </c>
      <c r="I1086">
        <v>53</v>
      </c>
      <c r="J1086">
        <v>2</v>
      </c>
      <c r="K1086">
        <v>0</v>
      </c>
    </row>
    <row r="1087" spans="1:11" x14ac:dyDescent="0.25">
      <c r="A1087">
        <v>37</v>
      </c>
      <c r="B1087">
        <v>1</v>
      </c>
      <c r="C1087">
        <v>2</v>
      </c>
      <c r="D1087">
        <v>14</v>
      </c>
      <c r="E1087">
        <v>3</v>
      </c>
      <c r="F1087">
        <v>5.1005370599999997</v>
      </c>
      <c r="G1087">
        <v>37</v>
      </c>
      <c r="H1087">
        <v>75</v>
      </c>
      <c r="I1087">
        <v>77</v>
      </c>
      <c r="J1087">
        <v>2</v>
      </c>
      <c r="K1087">
        <v>0</v>
      </c>
    </row>
    <row r="1088" spans="1:11" x14ac:dyDescent="0.25">
      <c r="A1088">
        <v>21</v>
      </c>
      <c r="B1088">
        <v>1</v>
      </c>
      <c r="C1088">
        <v>4</v>
      </c>
      <c r="D1088">
        <v>9</v>
      </c>
      <c r="E1088">
        <v>2</v>
      </c>
      <c r="F1088">
        <v>15.9246549</v>
      </c>
      <c r="G1088">
        <v>25</v>
      </c>
      <c r="H1088">
        <v>13</v>
      </c>
      <c r="I1088">
        <v>39</v>
      </c>
      <c r="J1088">
        <v>3</v>
      </c>
      <c r="K1088">
        <v>0</v>
      </c>
    </row>
    <row r="1089" spans="1:11" x14ac:dyDescent="0.25">
      <c r="A1089">
        <v>37</v>
      </c>
      <c r="B1089">
        <v>0</v>
      </c>
      <c r="C1089">
        <v>1</v>
      </c>
      <c r="D1089">
        <v>14</v>
      </c>
      <c r="E1089">
        <v>5</v>
      </c>
      <c r="F1089">
        <v>34.618092900000001</v>
      </c>
      <c r="G1089">
        <v>81</v>
      </c>
      <c r="H1089">
        <v>88</v>
      </c>
      <c r="I1089">
        <v>14</v>
      </c>
      <c r="J1089">
        <v>2</v>
      </c>
      <c r="K1089">
        <v>0</v>
      </c>
    </row>
    <row r="1090" spans="1:11" x14ac:dyDescent="0.25">
      <c r="A1090">
        <v>49</v>
      </c>
      <c r="B1090">
        <v>1</v>
      </c>
      <c r="C1090">
        <v>4</v>
      </c>
      <c r="D1090">
        <v>14</v>
      </c>
      <c r="E1090">
        <v>1</v>
      </c>
      <c r="F1090">
        <v>17.438006380000001</v>
      </c>
      <c r="G1090">
        <v>91</v>
      </c>
      <c r="H1090">
        <v>71</v>
      </c>
      <c r="I1090">
        <v>80</v>
      </c>
      <c r="J1090">
        <v>1</v>
      </c>
      <c r="K1090">
        <v>1</v>
      </c>
    </row>
    <row r="1091" spans="1:11" x14ac:dyDescent="0.25">
      <c r="A1091">
        <v>34</v>
      </c>
      <c r="B1091">
        <v>0</v>
      </c>
      <c r="C1091">
        <v>3</v>
      </c>
      <c r="D1091">
        <v>14</v>
      </c>
      <c r="E1091">
        <v>2</v>
      </c>
      <c r="F1091">
        <v>14.90560838</v>
      </c>
      <c r="G1091">
        <v>50</v>
      </c>
      <c r="H1091">
        <v>67</v>
      </c>
      <c r="I1091">
        <v>17</v>
      </c>
      <c r="J1091">
        <v>1</v>
      </c>
      <c r="K1091">
        <v>1</v>
      </c>
    </row>
    <row r="1092" spans="1:11" x14ac:dyDescent="0.25">
      <c r="A1092">
        <v>46</v>
      </c>
      <c r="B1092">
        <v>0</v>
      </c>
      <c r="C1092">
        <v>1</v>
      </c>
      <c r="D1092">
        <v>6</v>
      </c>
      <c r="E1092">
        <v>4</v>
      </c>
      <c r="F1092">
        <v>10.22175953</v>
      </c>
      <c r="G1092">
        <v>72</v>
      </c>
      <c r="H1092">
        <v>27</v>
      </c>
      <c r="I1092">
        <v>95</v>
      </c>
      <c r="J1092">
        <v>3</v>
      </c>
      <c r="K1092">
        <v>0</v>
      </c>
    </row>
    <row r="1093" spans="1:11" x14ac:dyDescent="0.25">
      <c r="A1093">
        <v>38</v>
      </c>
      <c r="B1093">
        <v>0</v>
      </c>
      <c r="C1093">
        <v>2</v>
      </c>
      <c r="D1093">
        <v>6</v>
      </c>
      <c r="E1093">
        <v>5</v>
      </c>
      <c r="F1093">
        <v>25.875821340000002</v>
      </c>
      <c r="G1093">
        <v>95</v>
      </c>
      <c r="H1093">
        <v>70</v>
      </c>
      <c r="I1093">
        <v>22</v>
      </c>
      <c r="J1093">
        <v>2</v>
      </c>
      <c r="K1093">
        <v>0</v>
      </c>
    </row>
    <row r="1094" spans="1:11" x14ac:dyDescent="0.25">
      <c r="A1094">
        <v>50</v>
      </c>
      <c r="B1094">
        <v>0</v>
      </c>
      <c r="C1094">
        <v>3</v>
      </c>
      <c r="D1094">
        <v>12</v>
      </c>
      <c r="E1094">
        <v>1</v>
      </c>
      <c r="F1094">
        <v>14.797441409999999</v>
      </c>
      <c r="G1094">
        <v>52</v>
      </c>
      <c r="H1094">
        <v>9</v>
      </c>
      <c r="I1094">
        <v>61</v>
      </c>
      <c r="J1094">
        <v>3</v>
      </c>
      <c r="K1094">
        <v>0</v>
      </c>
    </row>
    <row r="1095" spans="1:11" x14ac:dyDescent="0.25">
      <c r="A1095">
        <v>21</v>
      </c>
      <c r="B1095">
        <v>1</v>
      </c>
      <c r="C1095">
        <v>2</v>
      </c>
      <c r="D1095">
        <v>0</v>
      </c>
      <c r="E1095">
        <v>3</v>
      </c>
      <c r="F1095">
        <v>37.550517460000002</v>
      </c>
      <c r="G1095">
        <v>55</v>
      </c>
      <c r="H1095">
        <v>56</v>
      </c>
      <c r="I1095">
        <v>45</v>
      </c>
      <c r="J1095">
        <v>1</v>
      </c>
      <c r="K1095">
        <v>0</v>
      </c>
    </row>
    <row r="1096" spans="1:11" x14ac:dyDescent="0.25">
      <c r="A1096">
        <v>39</v>
      </c>
      <c r="B1096">
        <v>0</v>
      </c>
      <c r="C1096">
        <v>4</v>
      </c>
      <c r="D1096">
        <v>15</v>
      </c>
      <c r="E1096">
        <v>1</v>
      </c>
      <c r="F1096">
        <v>4.8311200999999997</v>
      </c>
      <c r="G1096">
        <v>58</v>
      </c>
      <c r="H1096">
        <v>99</v>
      </c>
      <c r="I1096">
        <v>86</v>
      </c>
      <c r="J1096">
        <v>1</v>
      </c>
      <c r="K1096">
        <v>1</v>
      </c>
    </row>
    <row r="1097" spans="1:11" x14ac:dyDescent="0.25">
      <c r="A1097">
        <v>44</v>
      </c>
      <c r="B1097">
        <v>0</v>
      </c>
      <c r="C1097">
        <v>4</v>
      </c>
      <c r="D1097">
        <v>8</v>
      </c>
      <c r="E1097">
        <v>3</v>
      </c>
      <c r="F1097">
        <v>34.201651660000003</v>
      </c>
      <c r="G1097">
        <v>69</v>
      </c>
      <c r="H1097">
        <v>65</v>
      </c>
      <c r="I1097">
        <v>98</v>
      </c>
      <c r="J1097">
        <v>1</v>
      </c>
      <c r="K1097">
        <v>1</v>
      </c>
    </row>
    <row r="1098" spans="1:11" x14ac:dyDescent="0.25">
      <c r="A1098">
        <v>25</v>
      </c>
      <c r="B1098">
        <v>1</v>
      </c>
      <c r="C1098">
        <v>2</v>
      </c>
      <c r="D1098">
        <v>7</v>
      </c>
      <c r="E1098">
        <v>5</v>
      </c>
      <c r="F1098">
        <v>12.87800073</v>
      </c>
      <c r="G1098">
        <v>77</v>
      </c>
      <c r="H1098">
        <v>89</v>
      </c>
      <c r="I1098">
        <v>38</v>
      </c>
      <c r="J1098">
        <v>2</v>
      </c>
      <c r="K1098">
        <v>0</v>
      </c>
    </row>
    <row r="1099" spans="1:11" x14ac:dyDescent="0.25">
      <c r="A1099">
        <v>20</v>
      </c>
      <c r="B1099">
        <v>1</v>
      </c>
      <c r="C1099">
        <v>2</v>
      </c>
      <c r="D1099">
        <v>3</v>
      </c>
      <c r="E1099">
        <v>3</v>
      </c>
      <c r="F1099">
        <v>25.46396305</v>
      </c>
      <c r="G1099">
        <v>91</v>
      </c>
      <c r="H1099">
        <v>49</v>
      </c>
      <c r="I1099">
        <v>14</v>
      </c>
      <c r="J1099">
        <v>2</v>
      </c>
      <c r="K1099">
        <v>0</v>
      </c>
    </row>
    <row r="1100" spans="1:11" x14ac:dyDescent="0.25">
      <c r="A1100">
        <v>43</v>
      </c>
      <c r="B1100">
        <v>0</v>
      </c>
      <c r="C1100">
        <v>4</v>
      </c>
      <c r="D1100">
        <v>9</v>
      </c>
      <c r="E1100">
        <v>4</v>
      </c>
      <c r="F1100">
        <v>15.3044961</v>
      </c>
      <c r="G1100">
        <v>57</v>
      </c>
      <c r="H1100">
        <v>13</v>
      </c>
      <c r="I1100">
        <v>52</v>
      </c>
      <c r="J1100">
        <v>1</v>
      </c>
      <c r="K1100">
        <v>1</v>
      </c>
    </row>
    <row r="1101" spans="1:11" x14ac:dyDescent="0.25">
      <c r="A1101">
        <v>34</v>
      </c>
      <c r="B1101">
        <v>1</v>
      </c>
      <c r="C1101">
        <v>2</v>
      </c>
      <c r="D1101">
        <v>10</v>
      </c>
      <c r="E1101">
        <v>3</v>
      </c>
      <c r="F1101">
        <v>37.138433800000001</v>
      </c>
      <c r="G1101">
        <v>87</v>
      </c>
      <c r="H1101">
        <v>15</v>
      </c>
      <c r="I1101">
        <v>87</v>
      </c>
      <c r="J1101">
        <v>2</v>
      </c>
      <c r="K1101">
        <v>0</v>
      </c>
    </row>
    <row r="1102" spans="1:11" x14ac:dyDescent="0.25">
      <c r="A1102">
        <v>47</v>
      </c>
      <c r="B1102">
        <v>0</v>
      </c>
      <c r="C1102">
        <v>1</v>
      </c>
      <c r="D1102">
        <v>4</v>
      </c>
      <c r="E1102">
        <v>4</v>
      </c>
      <c r="F1102">
        <v>48.265352010000001</v>
      </c>
      <c r="G1102">
        <v>12</v>
      </c>
      <c r="H1102">
        <v>53</v>
      </c>
      <c r="I1102">
        <v>63</v>
      </c>
      <c r="J1102">
        <v>2</v>
      </c>
      <c r="K1102">
        <v>0</v>
      </c>
    </row>
    <row r="1103" spans="1:11" x14ac:dyDescent="0.25">
      <c r="A1103">
        <v>49</v>
      </c>
      <c r="B1103">
        <v>0</v>
      </c>
      <c r="C1103">
        <v>1</v>
      </c>
      <c r="D1103">
        <v>1</v>
      </c>
      <c r="E1103">
        <v>5</v>
      </c>
      <c r="F1103">
        <v>46.853838969999998</v>
      </c>
      <c r="G1103">
        <v>42</v>
      </c>
      <c r="H1103">
        <v>42</v>
      </c>
      <c r="I1103">
        <v>62</v>
      </c>
      <c r="J1103">
        <v>1</v>
      </c>
      <c r="K1103">
        <v>0</v>
      </c>
    </row>
    <row r="1104" spans="1:11" x14ac:dyDescent="0.25">
      <c r="A1104">
        <v>42</v>
      </c>
      <c r="B1104">
        <v>0</v>
      </c>
      <c r="C1104">
        <v>2</v>
      </c>
      <c r="D1104">
        <v>12</v>
      </c>
      <c r="E1104">
        <v>5</v>
      </c>
      <c r="F1104">
        <v>30.171310760000001</v>
      </c>
      <c r="G1104">
        <v>75</v>
      </c>
      <c r="H1104">
        <v>41</v>
      </c>
      <c r="I1104">
        <v>91</v>
      </c>
      <c r="J1104">
        <v>2</v>
      </c>
      <c r="K1104">
        <v>0</v>
      </c>
    </row>
    <row r="1105" spans="1:11" x14ac:dyDescent="0.25">
      <c r="A1105">
        <v>29</v>
      </c>
      <c r="B1105">
        <v>0</v>
      </c>
      <c r="C1105">
        <v>4</v>
      </c>
      <c r="D1105">
        <v>15</v>
      </c>
      <c r="E1105">
        <v>1</v>
      </c>
      <c r="F1105">
        <v>24.130515160000002</v>
      </c>
      <c r="G1105">
        <v>50</v>
      </c>
      <c r="H1105">
        <v>80</v>
      </c>
      <c r="I1105">
        <v>79</v>
      </c>
      <c r="J1105">
        <v>2</v>
      </c>
      <c r="K1105">
        <v>1</v>
      </c>
    </row>
    <row r="1106" spans="1:11" x14ac:dyDescent="0.25">
      <c r="A1106">
        <v>38</v>
      </c>
      <c r="B1106">
        <v>1</v>
      </c>
      <c r="C1106">
        <v>3</v>
      </c>
      <c r="D1106">
        <v>8</v>
      </c>
      <c r="E1106">
        <v>4</v>
      </c>
      <c r="F1106">
        <v>41.915025470000003</v>
      </c>
      <c r="G1106">
        <v>18</v>
      </c>
      <c r="H1106">
        <v>21</v>
      </c>
      <c r="I1106">
        <v>15</v>
      </c>
      <c r="J1106">
        <v>1</v>
      </c>
      <c r="K1106">
        <v>1</v>
      </c>
    </row>
    <row r="1107" spans="1:11" x14ac:dyDescent="0.25">
      <c r="A1107">
        <v>36</v>
      </c>
      <c r="B1107">
        <v>0</v>
      </c>
      <c r="C1107">
        <v>2</v>
      </c>
      <c r="D1107">
        <v>14</v>
      </c>
      <c r="E1107">
        <v>4</v>
      </c>
      <c r="F1107">
        <v>35.166318130000001</v>
      </c>
      <c r="G1107">
        <v>20</v>
      </c>
      <c r="H1107">
        <v>67</v>
      </c>
      <c r="I1107">
        <v>69</v>
      </c>
      <c r="J1107">
        <v>1</v>
      </c>
      <c r="K1107">
        <v>1</v>
      </c>
    </row>
    <row r="1108" spans="1:11" x14ac:dyDescent="0.25">
      <c r="A1108">
        <v>24</v>
      </c>
      <c r="B1108">
        <v>1</v>
      </c>
      <c r="C1108">
        <v>1</v>
      </c>
      <c r="D1108">
        <v>11</v>
      </c>
      <c r="E1108">
        <v>2</v>
      </c>
      <c r="F1108">
        <v>10.17820571</v>
      </c>
      <c r="G1108">
        <v>90</v>
      </c>
      <c r="H1108">
        <v>18</v>
      </c>
      <c r="I1108">
        <v>65</v>
      </c>
      <c r="J1108">
        <v>2</v>
      </c>
      <c r="K1108">
        <v>0</v>
      </c>
    </row>
    <row r="1109" spans="1:11" x14ac:dyDescent="0.25">
      <c r="A1109">
        <v>48</v>
      </c>
      <c r="B1109">
        <v>1</v>
      </c>
      <c r="C1109">
        <v>2</v>
      </c>
      <c r="D1109">
        <v>11</v>
      </c>
      <c r="E1109">
        <v>2</v>
      </c>
      <c r="F1109">
        <v>42.04596068</v>
      </c>
      <c r="G1109">
        <v>82</v>
      </c>
      <c r="H1109">
        <v>65</v>
      </c>
      <c r="I1109">
        <v>12</v>
      </c>
      <c r="J1109">
        <v>2</v>
      </c>
      <c r="K1109">
        <v>0</v>
      </c>
    </row>
    <row r="1110" spans="1:11" x14ac:dyDescent="0.25">
      <c r="A1110">
        <v>23</v>
      </c>
      <c r="B1110">
        <v>1</v>
      </c>
      <c r="C1110">
        <v>3</v>
      </c>
      <c r="D1110">
        <v>5</v>
      </c>
      <c r="E1110">
        <v>2</v>
      </c>
      <c r="F1110">
        <v>22.44421947</v>
      </c>
      <c r="G1110">
        <v>23</v>
      </c>
      <c r="H1110">
        <v>38</v>
      </c>
      <c r="I1110">
        <v>46</v>
      </c>
      <c r="J1110">
        <v>3</v>
      </c>
      <c r="K1110">
        <v>0</v>
      </c>
    </row>
    <row r="1111" spans="1:11" x14ac:dyDescent="0.25">
      <c r="A1111">
        <v>29</v>
      </c>
      <c r="B1111">
        <v>1</v>
      </c>
      <c r="C1111">
        <v>1</v>
      </c>
      <c r="D1111">
        <v>2</v>
      </c>
      <c r="E1111">
        <v>3</v>
      </c>
      <c r="F1111">
        <v>10.449282999999999</v>
      </c>
      <c r="G1111">
        <v>25</v>
      </c>
      <c r="H1111">
        <v>72</v>
      </c>
      <c r="I1111">
        <v>8</v>
      </c>
      <c r="J1111">
        <v>2</v>
      </c>
      <c r="K1111">
        <v>0</v>
      </c>
    </row>
    <row r="1112" spans="1:11" x14ac:dyDescent="0.25">
      <c r="A1112">
        <v>43</v>
      </c>
      <c r="B1112">
        <v>0</v>
      </c>
      <c r="C1112">
        <v>2</v>
      </c>
      <c r="D1112">
        <v>11</v>
      </c>
      <c r="E1112">
        <v>2</v>
      </c>
      <c r="F1112">
        <v>15.08986752</v>
      </c>
      <c r="G1112">
        <v>44</v>
      </c>
      <c r="H1112">
        <v>18</v>
      </c>
      <c r="I1112">
        <v>62</v>
      </c>
      <c r="J1112">
        <v>1</v>
      </c>
      <c r="K1112">
        <v>1</v>
      </c>
    </row>
    <row r="1113" spans="1:11" x14ac:dyDescent="0.25">
      <c r="A1113">
        <v>36</v>
      </c>
      <c r="B1113">
        <v>1</v>
      </c>
      <c r="C1113">
        <v>1</v>
      </c>
      <c r="D1113">
        <v>6</v>
      </c>
      <c r="E1113">
        <v>4</v>
      </c>
      <c r="F1113">
        <v>14.376351509999999</v>
      </c>
      <c r="G1113">
        <v>27</v>
      </c>
      <c r="H1113">
        <v>15</v>
      </c>
      <c r="I1113">
        <v>33</v>
      </c>
      <c r="J1113">
        <v>3</v>
      </c>
      <c r="K1113">
        <v>0</v>
      </c>
    </row>
    <row r="1114" spans="1:11" x14ac:dyDescent="0.25">
      <c r="A1114">
        <v>29</v>
      </c>
      <c r="B1114">
        <v>0</v>
      </c>
      <c r="C1114">
        <v>2</v>
      </c>
      <c r="D1114">
        <v>8</v>
      </c>
      <c r="E1114">
        <v>3</v>
      </c>
      <c r="F1114">
        <v>26.96034873</v>
      </c>
      <c r="G1114">
        <v>81</v>
      </c>
      <c r="H1114">
        <v>53</v>
      </c>
      <c r="I1114">
        <v>80</v>
      </c>
      <c r="J1114">
        <v>3</v>
      </c>
      <c r="K1114">
        <v>1</v>
      </c>
    </row>
    <row r="1115" spans="1:11" x14ac:dyDescent="0.25">
      <c r="A1115">
        <v>36</v>
      </c>
      <c r="B1115">
        <v>1</v>
      </c>
      <c r="C1115">
        <v>4</v>
      </c>
      <c r="D1115">
        <v>2</v>
      </c>
      <c r="E1115">
        <v>5</v>
      </c>
      <c r="F1115">
        <v>12.718504530000001</v>
      </c>
      <c r="G1115">
        <v>99</v>
      </c>
      <c r="H1115">
        <v>24</v>
      </c>
      <c r="I1115">
        <v>90</v>
      </c>
      <c r="J1115">
        <v>2</v>
      </c>
      <c r="K1115">
        <v>0</v>
      </c>
    </row>
    <row r="1116" spans="1:11" x14ac:dyDescent="0.25">
      <c r="A1116">
        <v>47</v>
      </c>
      <c r="B1116">
        <v>1</v>
      </c>
      <c r="C1116">
        <v>2</v>
      </c>
      <c r="D1116">
        <v>15</v>
      </c>
      <c r="E1116">
        <v>1</v>
      </c>
      <c r="F1116">
        <v>7.1783243700000003</v>
      </c>
      <c r="G1116">
        <v>28</v>
      </c>
      <c r="H1116">
        <v>17</v>
      </c>
      <c r="I1116">
        <v>28</v>
      </c>
      <c r="J1116">
        <v>3</v>
      </c>
      <c r="K1116">
        <v>0</v>
      </c>
    </row>
    <row r="1117" spans="1:11" x14ac:dyDescent="0.25">
      <c r="A1117">
        <v>39</v>
      </c>
      <c r="B1117">
        <v>0</v>
      </c>
      <c r="C1117">
        <v>2</v>
      </c>
      <c r="D1117">
        <v>1</v>
      </c>
      <c r="E1117">
        <v>2</v>
      </c>
      <c r="F1117">
        <v>7.184542531</v>
      </c>
      <c r="G1117">
        <v>16</v>
      </c>
      <c r="H1117">
        <v>22</v>
      </c>
      <c r="I1117">
        <v>36</v>
      </c>
      <c r="J1117">
        <v>2</v>
      </c>
      <c r="K1117">
        <v>0</v>
      </c>
    </row>
    <row r="1118" spans="1:11" x14ac:dyDescent="0.25">
      <c r="A1118">
        <v>43</v>
      </c>
      <c r="B1118">
        <v>0</v>
      </c>
      <c r="C1118">
        <v>2</v>
      </c>
      <c r="D1118">
        <v>15</v>
      </c>
      <c r="E1118">
        <v>5</v>
      </c>
      <c r="F1118">
        <v>30.163809860000001</v>
      </c>
      <c r="G1118">
        <v>67</v>
      </c>
      <c r="H1118">
        <v>84</v>
      </c>
      <c r="I1118">
        <v>42</v>
      </c>
      <c r="J1118">
        <v>2</v>
      </c>
      <c r="K1118">
        <v>0</v>
      </c>
    </row>
    <row r="1119" spans="1:11" x14ac:dyDescent="0.25">
      <c r="A1119">
        <v>24</v>
      </c>
      <c r="B1119">
        <v>0</v>
      </c>
      <c r="C1119">
        <v>4</v>
      </c>
      <c r="D1119">
        <v>6</v>
      </c>
      <c r="E1119">
        <v>4</v>
      </c>
      <c r="F1119">
        <v>37.737964439999999</v>
      </c>
      <c r="G1119">
        <v>43</v>
      </c>
      <c r="H1119">
        <v>10</v>
      </c>
      <c r="I1119">
        <v>85</v>
      </c>
      <c r="J1119">
        <v>2</v>
      </c>
      <c r="K1119">
        <v>0</v>
      </c>
    </row>
    <row r="1120" spans="1:11" x14ac:dyDescent="0.25">
      <c r="A1120">
        <v>21</v>
      </c>
      <c r="B1120">
        <v>1</v>
      </c>
      <c r="C1120">
        <v>1</v>
      </c>
      <c r="D1120">
        <v>6</v>
      </c>
      <c r="E1120">
        <v>1</v>
      </c>
      <c r="F1120">
        <v>17.076650440000002</v>
      </c>
      <c r="G1120">
        <v>60</v>
      </c>
      <c r="H1120">
        <v>38</v>
      </c>
      <c r="I1120">
        <v>63</v>
      </c>
      <c r="J1120">
        <v>2</v>
      </c>
      <c r="K1120">
        <v>0</v>
      </c>
    </row>
    <row r="1121" spans="1:11" x14ac:dyDescent="0.25">
      <c r="A1121">
        <v>25</v>
      </c>
      <c r="B1121">
        <v>1</v>
      </c>
      <c r="C1121">
        <v>2</v>
      </c>
      <c r="D1121">
        <v>3</v>
      </c>
      <c r="E1121">
        <v>5</v>
      </c>
      <c r="F1121">
        <v>2.7325354910000001</v>
      </c>
      <c r="G1121">
        <v>92</v>
      </c>
      <c r="H1121">
        <v>67</v>
      </c>
      <c r="I1121">
        <v>23</v>
      </c>
      <c r="J1121">
        <v>1</v>
      </c>
      <c r="K1121">
        <v>1</v>
      </c>
    </row>
    <row r="1122" spans="1:11" x14ac:dyDescent="0.25">
      <c r="A1122">
        <v>40</v>
      </c>
      <c r="B1122">
        <v>0</v>
      </c>
      <c r="C1122">
        <v>2</v>
      </c>
      <c r="D1122">
        <v>10</v>
      </c>
      <c r="E1122">
        <v>1</v>
      </c>
      <c r="F1122">
        <v>7.3612443470000004</v>
      </c>
      <c r="G1122">
        <v>67</v>
      </c>
      <c r="H1122">
        <v>24</v>
      </c>
      <c r="I1122">
        <v>70</v>
      </c>
      <c r="J1122">
        <v>3</v>
      </c>
      <c r="K1122">
        <v>0</v>
      </c>
    </row>
    <row r="1123" spans="1:11" x14ac:dyDescent="0.25">
      <c r="A1123">
        <v>21</v>
      </c>
      <c r="B1123">
        <v>0</v>
      </c>
      <c r="C1123">
        <v>3</v>
      </c>
      <c r="D1123">
        <v>8</v>
      </c>
      <c r="E1123">
        <v>2</v>
      </c>
      <c r="F1123">
        <v>46.734728019999999</v>
      </c>
      <c r="G1123">
        <v>73</v>
      </c>
      <c r="H1123">
        <v>62</v>
      </c>
      <c r="I1123">
        <v>33</v>
      </c>
      <c r="J1123">
        <v>3</v>
      </c>
      <c r="K1123">
        <v>1</v>
      </c>
    </row>
    <row r="1124" spans="1:11" x14ac:dyDescent="0.25">
      <c r="A1124">
        <v>32</v>
      </c>
      <c r="B1124">
        <v>0</v>
      </c>
      <c r="C1124">
        <v>2</v>
      </c>
      <c r="D1124">
        <v>15</v>
      </c>
      <c r="E1124">
        <v>4</v>
      </c>
      <c r="F1124">
        <v>25.677182980000001</v>
      </c>
      <c r="G1124">
        <v>24</v>
      </c>
      <c r="H1124">
        <v>95</v>
      </c>
      <c r="I1124">
        <v>47</v>
      </c>
      <c r="J1124">
        <v>2</v>
      </c>
      <c r="K1124">
        <v>0</v>
      </c>
    </row>
    <row r="1125" spans="1:11" x14ac:dyDescent="0.25">
      <c r="A1125">
        <v>49</v>
      </c>
      <c r="B1125">
        <v>0</v>
      </c>
      <c r="C1125">
        <v>1</v>
      </c>
      <c r="D1125">
        <v>13</v>
      </c>
      <c r="E1125">
        <v>1</v>
      </c>
      <c r="F1125">
        <v>23.678640479999999</v>
      </c>
      <c r="G1125">
        <v>94</v>
      </c>
      <c r="H1125">
        <v>29</v>
      </c>
      <c r="I1125">
        <v>11</v>
      </c>
      <c r="J1125">
        <v>2</v>
      </c>
      <c r="K1125">
        <v>0</v>
      </c>
    </row>
    <row r="1126" spans="1:11" x14ac:dyDescent="0.25">
      <c r="A1126">
        <v>30</v>
      </c>
      <c r="B1126">
        <v>1</v>
      </c>
      <c r="C1126">
        <v>2</v>
      </c>
      <c r="D1126">
        <v>7</v>
      </c>
      <c r="E1126">
        <v>5</v>
      </c>
      <c r="F1126">
        <v>2.9024589160000001</v>
      </c>
      <c r="G1126">
        <v>66</v>
      </c>
      <c r="H1126">
        <v>44</v>
      </c>
      <c r="I1126">
        <v>22</v>
      </c>
      <c r="J1126">
        <v>1</v>
      </c>
      <c r="K1126">
        <v>0</v>
      </c>
    </row>
    <row r="1127" spans="1:11" x14ac:dyDescent="0.25">
      <c r="A1127">
        <v>30</v>
      </c>
      <c r="B1127">
        <v>0</v>
      </c>
      <c r="C1127">
        <v>3</v>
      </c>
      <c r="D1127">
        <v>12</v>
      </c>
      <c r="E1127">
        <v>2</v>
      </c>
      <c r="F1127">
        <v>37.431851119999997</v>
      </c>
      <c r="G1127">
        <v>1</v>
      </c>
      <c r="H1127">
        <v>89</v>
      </c>
      <c r="I1127">
        <v>78</v>
      </c>
      <c r="J1127">
        <v>1</v>
      </c>
      <c r="K1127">
        <v>1</v>
      </c>
    </row>
    <row r="1128" spans="1:11" x14ac:dyDescent="0.25">
      <c r="A1128">
        <v>35</v>
      </c>
      <c r="B1128">
        <v>0</v>
      </c>
      <c r="C1128">
        <v>1</v>
      </c>
      <c r="D1128">
        <v>12</v>
      </c>
      <c r="E1128">
        <v>2</v>
      </c>
      <c r="F1128">
        <v>27.403404049999999</v>
      </c>
      <c r="G1128">
        <v>88</v>
      </c>
      <c r="H1128">
        <v>60</v>
      </c>
      <c r="I1128">
        <v>96</v>
      </c>
      <c r="J1128">
        <v>1</v>
      </c>
      <c r="K1128">
        <v>1</v>
      </c>
    </row>
    <row r="1129" spans="1:11" x14ac:dyDescent="0.25">
      <c r="A1129">
        <v>30</v>
      </c>
      <c r="B1129">
        <v>0</v>
      </c>
      <c r="C1129">
        <v>3</v>
      </c>
      <c r="D1129">
        <v>0</v>
      </c>
      <c r="E1129">
        <v>5</v>
      </c>
      <c r="F1129">
        <v>11.104046800000001</v>
      </c>
      <c r="G1129">
        <v>48</v>
      </c>
      <c r="H1129">
        <v>99</v>
      </c>
      <c r="I1129">
        <v>12</v>
      </c>
      <c r="J1129">
        <v>2</v>
      </c>
      <c r="K1129">
        <v>0</v>
      </c>
    </row>
    <row r="1130" spans="1:11" x14ac:dyDescent="0.25">
      <c r="A1130">
        <v>38</v>
      </c>
      <c r="B1130">
        <v>0</v>
      </c>
      <c r="C1130">
        <v>1</v>
      </c>
      <c r="D1130">
        <v>0</v>
      </c>
      <c r="E1130">
        <v>5</v>
      </c>
      <c r="F1130">
        <v>6.5036880090000002</v>
      </c>
      <c r="G1130">
        <v>69</v>
      </c>
      <c r="H1130">
        <v>50</v>
      </c>
      <c r="I1130">
        <v>86</v>
      </c>
      <c r="J1130">
        <v>3</v>
      </c>
      <c r="K1130">
        <v>0</v>
      </c>
    </row>
    <row r="1131" spans="1:11" x14ac:dyDescent="0.25">
      <c r="A1131">
        <v>34</v>
      </c>
      <c r="B1131">
        <v>1</v>
      </c>
      <c r="C1131">
        <v>2</v>
      </c>
      <c r="D1131">
        <v>4</v>
      </c>
      <c r="E1131">
        <v>1</v>
      </c>
      <c r="F1131">
        <v>20.16939318</v>
      </c>
      <c r="G1131">
        <v>25</v>
      </c>
      <c r="H1131">
        <v>97</v>
      </c>
      <c r="I1131">
        <v>95</v>
      </c>
      <c r="J1131">
        <v>1</v>
      </c>
      <c r="K1131">
        <v>1</v>
      </c>
    </row>
    <row r="1132" spans="1:11" x14ac:dyDescent="0.25">
      <c r="A1132">
        <v>44</v>
      </c>
      <c r="B1132">
        <v>0</v>
      </c>
      <c r="C1132">
        <v>2</v>
      </c>
      <c r="D1132">
        <v>5</v>
      </c>
      <c r="E1132">
        <v>3</v>
      </c>
      <c r="F1132">
        <v>42.858098210000001</v>
      </c>
      <c r="G1132">
        <v>71</v>
      </c>
      <c r="H1132">
        <v>8</v>
      </c>
      <c r="I1132">
        <v>44</v>
      </c>
      <c r="J1132">
        <v>1</v>
      </c>
      <c r="K1132">
        <v>0</v>
      </c>
    </row>
    <row r="1133" spans="1:11" x14ac:dyDescent="0.25">
      <c r="A1133">
        <v>42</v>
      </c>
      <c r="B1133">
        <v>1</v>
      </c>
      <c r="C1133">
        <v>3</v>
      </c>
      <c r="D1133">
        <v>2</v>
      </c>
      <c r="E1133">
        <v>2</v>
      </c>
      <c r="F1133">
        <v>44.264727960000002</v>
      </c>
      <c r="G1133">
        <v>98</v>
      </c>
      <c r="H1133">
        <v>75</v>
      </c>
      <c r="I1133">
        <v>98</v>
      </c>
      <c r="J1133">
        <v>2</v>
      </c>
      <c r="K1133">
        <v>1</v>
      </c>
    </row>
    <row r="1134" spans="1:11" x14ac:dyDescent="0.25">
      <c r="A1134">
        <v>42</v>
      </c>
      <c r="B1134">
        <v>0</v>
      </c>
      <c r="C1134">
        <v>2</v>
      </c>
      <c r="D1134">
        <v>12</v>
      </c>
      <c r="E1134">
        <v>1</v>
      </c>
      <c r="F1134">
        <v>31.142319019999999</v>
      </c>
      <c r="G1134">
        <v>26</v>
      </c>
      <c r="H1134">
        <v>1</v>
      </c>
      <c r="I1134">
        <v>64</v>
      </c>
      <c r="J1134">
        <v>1</v>
      </c>
      <c r="K1134">
        <v>1</v>
      </c>
    </row>
    <row r="1135" spans="1:11" x14ac:dyDescent="0.25">
      <c r="A1135">
        <v>35</v>
      </c>
      <c r="B1135">
        <v>0</v>
      </c>
      <c r="C1135">
        <v>3</v>
      </c>
      <c r="D1135">
        <v>8</v>
      </c>
      <c r="E1135">
        <v>5</v>
      </c>
      <c r="F1135">
        <v>37.376821360000001</v>
      </c>
      <c r="G1135">
        <v>88</v>
      </c>
      <c r="H1135">
        <v>4</v>
      </c>
      <c r="I1135">
        <v>46</v>
      </c>
      <c r="J1135">
        <v>3</v>
      </c>
      <c r="K1135">
        <v>0</v>
      </c>
    </row>
    <row r="1136" spans="1:11" x14ac:dyDescent="0.25">
      <c r="A1136">
        <v>50</v>
      </c>
      <c r="B1136">
        <v>1</v>
      </c>
      <c r="C1136">
        <v>3</v>
      </c>
      <c r="D1136">
        <v>11</v>
      </c>
      <c r="E1136">
        <v>1</v>
      </c>
      <c r="F1136">
        <v>6.7577893700000002</v>
      </c>
      <c r="G1136">
        <v>17</v>
      </c>
      <c r="H1136">
        <v>61</v>
      </c>
      <c r="I1136">
        <v>57</v>
      </c>
      <c r="J1136">
        <v>2</v>
      </c>
      <c r="K1136">
        <v>0</v>
      </c>
    </row>
    <row r="1137" spans="1:11" x14ac:dyDescent="0.25">
      <c r="A1137">
        <v>30</v>
      </c>
      <c r="B1137">
        <v>0</v>
      </c>
      <c r="C1137">
        <v>2</v>
      </c>
      <c r="D1137">
        <v>9</v>
      </c>
      <c r="E1137">
        <v>5</v>
      </c>
      <c r="F1137">
        <v>30.406303269999999</v>
      </c>
      <c r="G1137">
        <v>53</v>
      </c>
      <c r="H1137">
        <v>68</v>
      </c>
      <c r="I1137">
        <v>4</v>
      </c>
      <c r="J1137">
        <v>1</v>
      </c>
      <c r="K1137">
        <v>1</v>
      </c>
    </row>
    <row r="1138" spans="1:11" x14ac:dyDescent="0.25">
      <c r="A1138">
        <v>41</v>
      </c>
      <c r="B1138">
        <v>1</v>
      </c>
      <c r="C1138">
        <v>3</v>
      </c>
      <c r="D1138">
        <v>13</v>
      </c>
      <c r="E1138">
        <v>4</v>
      </c>
      <c r="F1138">
        <v>34.348285169999997</v>
      </c>
      <c r="G1138">
        <v>0</v>
      </c>
      <c r="H1138">
        <v>51</v>
      </c>
      <c r="I1138">
        <v>76</v>
      </c>
      <c r="J1138">
        <v>1</v>
      </c>
      <c r="K1138">
        <v>1</v>
      </c>
    </row>
    <row r="1139" spans="1:11" x14ac:dyDescent="0.25">
      <c r="A1139">
        <v>35</v>
      </c>
      <c r="B1139">
        <v>1</v>
      </c>
      <c r="C1139">
        <v>3</v>
      </c>
      <c r="D1139">
        <v>14</v>
      </c>
      <c r="E1139">
        <v>5</v>
      </c>
      <c r="F1139">
        <v>11.035642149999999</v>
      </c>
      <c r="G1139">
        <v>60</v>
      </c>
      <c r="H1139">
        <v>85</v>
      </c>
      <c r="I1139">
        <v>4</v>
      </c>
      <c r="J1139">
        <v>1</v>
      </c>
      <c r="K1139">
        <v>1</v>
      </c>
    </row>
    <row r="1140" spans="1:11" x14ac:dyDescent="0.25">
      <c r="A1140">
        <v>27</v>
      </c>
      <c r="B1140">
        <v>0</v>
      </c>
      <c r="C1140">
        <v>1</v>
      </c>
      <c r="D1140">
        <v>5</v>
      </c>
      <c r="E1140">
        <v>5</v>
      </c>
      <c r="F1140">
        <v>45.007736649999998</v>
      </c>
      <c r="G1140">
        <v>2</v>
      </c>
      <c r="H1140">
        <v>4</v>
      </c>
      <c r="I1140">
        <v>59</v>
      </c>
      <c r="J1140">
        <v>2</v>
      </c>
      <c r="K1140">
        <v>0</v>
      </c>
    </row>
    <row r="1141" spans="1:11" x14ac:dyDescent="0.25">
      <c r="A1141">
        <v>23</v>
      </c>
      <c r="B1141">
        <v>1</v>
      </c>
      <c r="C1141">
        <v>2</v>
      </c>
      <c r="D1141">
        <v>3</v>
      </c>
      <c r="E1141">
        <v>5</v>
      </c>
      <c r="F1141">
        <v>10.74983688</v>
      </c>
      <c r="G1141">
        <v>67</v>
      </c>
      <c r="H1141">
        <v>58</v>
      </c>
      <c r="I1141">
        <v>95</v>
      </c>
      <c r="J1141">
        <v>1</v>
      </c>
      <c r="K1141">
        <v>1</v>
      </c>
    </row>
    <row r="1142" spans="1:11" x14ac:dyDescent="0.25">
      <c r="A1142">
        <v>27</v>
      </c>
      <c r="B1142">
        <v>1</v>
      </c>
      <c r="C1142">
        <v>4</v>
      </c>
      <c r="D1142">
        <v>11</v>
      </c>
      <c r="E1142">
        <v>3</v>
      </c>
      <c r="F1142">
        <v>16.673867990000002</v>
      </c>
      <c r="G1142">
        <v>40</v>
      </c>
      <c r="H1142">
        <v>67</v>
      </c>
      <c r="I1142">
        <v>20</v>
      </c>
      <c r="J1142">
        <v>2</v>
      </c>
      <c r="K1142">
        <v>0</v>
      </c>
    </row>
    <row r="1143" spans="1:11" x14ac:dyDescent="0.25">
      <c r="A1143">
        <v>23</v>
      </c>
      <c r="B1143">
        <v>1</v>
      </c>
      <c r="C1143">
        <v>1</v>
      </c>
      <c r="D1143">
        <v>6</v>
      </c>
      <c r="E1143">
        <v>5</v>
      </c>
      <c r="F1143">
        <v>32.02784235</v>
      </c>
      <c r="G1143">
        <v>36</v>
      </c>
      <c r="H1143">
        <v>8</v>
      </c>
      <c r="I1143">
        <v>23</v>
      </c>
      <c r="J1143">
        <v>2</v>
      </c>
      <c r="K1143">
        <v>0</v>
      </c>
    </row>
    <row r="1144" spans="1:11" x14ac:dyDescent="0.25">
      <c r="A1144">
        <v>43</v>
      </c>
      <c r="B1144">
        <v>1</v>
      </c>
      <c r="C1144">
        <v>3</v>
      </c>
      <c r="D1144">
        <v>7</v>
      </c>
      <c r="E1144">
        <v>2</v>
      </c>
      <c r="F1144">
        <v>32.917503259999997</v>
      </c>
      <c r="G1144">
        <v>50</v>
      </c>
      <c r="H1144">
        <v>92</v>
      </c>
      <c r="I1144">
        <v>17</v>
      </c>
      <c r="J1144">
        <v>1</v>
      </c>
      <c r="K1144">
        <v>1</v>
      </c>
    </row>
    <row r="1145" spans="1:11" x14ac:dyDescent="0.25">
      <c r="A1145">
        <v>44</v>
      </c>
      <c r="B1145">
        <v>1</v>
      </c>
      <c r="C1145">
        <v>4</v>
      </c>
      <c r="D1145">
        <v>8</v>
      </c>
      <c r="E1145">
        <v>2</v>
      </c>
      <c r="F1145">
        <v>35.969237049999997</v>
      </c>
      <c r="G1145">
        <v>14</v>
      </c>
      <c r="H1145">
        <v>21</v>
      </c>
      <c r="I1145">
        <v>20</v>
      </c>
      <c r="J1145">
        <v>1</v>
      </c>
      <c r="K1145">
        <v>1</v>
      </c>
    </row>
    <row r="1146" spans="1:11" x14ac:dyDescent="0.25">
      <c r="A1146">
        <v>22</v>
      </c>
      <c r="B1146">
        <v>1</v>
      </c>
      <c r="C1146">
        <v>1</v>
      </c>
      <c r="D1146">
        <v>12</v>
      </c>
      <c r="E1146">
        <v>1</v>
      </c>
      <c r="F1146">
        <v>6.6005856530000004</v>
      </c>
      <c r="G1146">
        <v>7</v>
      </c>
      <c r="H1146">
        <v>26</v>
      </c>
      <c r="I1146">
        <v>53</v>
      </c>
      <c r="J1146">
        <v>2</v>
      </c>
      <c r="K1146">
        <v>0</v>
      </c>
    </row>
    <row r="1147" spans="1:11" x14ac:dyDescent="0.25">
      <c r="A1147">
        <v>22</v>
      </c>
      <c r="B1147">
        <v>1</v>
      </c>
      <c r="C1147">
        <v>2</v>
      </c>
      <c r="D1147">
        <v>15</v>
      </c>
      <c r="E1147">
        <v>3</v>
      </c>
      <c r="F1147">
        <v>43.473221500000001</v>
      </c>
      <c r="G1147">
        <v>37</v>
      </c>
      <c r="H1147">
        <v>9</v>
      </c>
      <c r="I1147">
        <v>9</v>
      </c>
      <c r="J1147">
        <v>2</v>
      </c>
      <c r="K1147">
        <v>0</v>
      </c>
    </row>
    <row r="1148" spans="1:11" x14ac:dyDescent="0.25">
      <c r="A1148">
        <v>46</v>
      </c>
      <c r="B1148">
        <v>1</v>
      </c>
      <c r="C1148">
        <v>2</v>
      </c>
      <c r="D1148">
        <v>10</v>
      </c>
      <c r="E1148">
        <v>1</v>
      </c>
      <c r="F1148">
        <v>27.64235661</v>
      </c>
      <c r="G1148">
        <v>82</v>
      </c>
      <c r="H1148">
        <v>79</v>
      </c>
      <c r="I1148">
        <v>23</v>
      </c>
      <c r="J1148">
        <v>3</v>
      </c>
      <c r="K1148">
        <v>0</v>
      </c>
    </row>
    <row r="1149" spans="1:11" x14ac:dyDescent="0.25">
      <c r="A1149">
        <v>48</v>
      </c>
      <c r="B1149">
        <v>0</v>
      </c>
      <c r="C1149">
        <v>2</v>
      </c>
      <c r="D1149">
        <v>5</v>
      </c>
      <c r="E1149">
        <v>2</v>
      </c>
      <c r="F1149">
        <v>24.56608971</v>
      </c>
      <c r="G1149">
        <v>55</v>
      </c>
      <c r="H1149">
        <v>60</v>
      </c>
      <c r="I1149">
        <v>84</v>
      </c>
      <c r="J1149">
        <v>1</v>
      </c>
      <c r="K1149">
        <v>1</v>
      </c>
    </row>
    <row r="1150" spans="1:11" x14ac:dyDescent="0.25">
      <c r="A1150">
        <v>37</v>
      </c>
      <c r="B1150">
        <v>0</v>
      </c>
      <c r="C1150">
        <v>1</v>
      </c>
      <c r="D1150">
        <v>14</v>
      </c>
      <c r="E1150">
        <v>2</v>
      </c>
      <c r="F1150">
        <v>50.054881229999999</v>
      </c>
      <c r="G1150">
        <v>46</v>
      </c>
      <c r="H1150">
        <v>50</v>
      </c>
      <c r="I1150">
        <v>88</v>
      </c>
      <c r="J1150">
        <v>1</v>
      </c>
      <c r="K1150">
        <v>1</v>
      </c>
    </row>
    <row r="1151" spans="1:11" x14ac:dyDescent="0.25">
      <c r="A1151">
        <v>48</v>
      </c>
      <c r="B1151">
        <v>1</v>
      </c>
      <c r="C1151">
        <v>1</v>
      </c>
      <c r="D1151">
        <v>5</v>
      </c>
      <c r="E1151">
        <v>4</v>
      </c>
      <c r="F1151">
        <v>38.018914850000002</v>
      </c>
      <c r="G1151">
        <v>89</v>
      </c>
      <c r="H1151">
        <v>9</v>
      </c>
      <c r="I1151">
        <v>59</v>
      </c>
      <c r="J1151">
        <v>1</v>
      </c>
      <c r="K1151">
        <v>0</v>
      </c>
    </row>
    <row r="1152" spans="1:11" x14ac:dyDescent="0.25">
      <c r="A1152">
        <v>45</v>
      </c>
      <c r="B1152">
        <v>0</v>
      </c>
      <c r="C1152">
        <v>2</v>
      </c>
      <c r="D1152">
        <v>7</v>
      </c>
      <c r="E1152">
        <v>5</v>
      </c>
      <c r="F1152">
        <v>6.9003013309999996</v>
      </c>
      <c r="G1152">
        <v>9</v>
      </c>
      <c r="H1152">
        <v>5</v>
      </c>
      <c r="I1152">
        <v>56</v>
      </c>
      <c r="J1152">
        <v>2</v>
      </c>
      <c r="K1152">
        <v>0</v>
      </c>
    </row>
    <row r="1153" spans="1:11" x14ac:dyDescent="0.25">
      <c r="A1153">
        <v>38</v>
      </c>
      <c r="B1153">
        <v>1</v>
      </c>
      <c r="C1153">
        <v>3</v>
      </c>
      <c r="D1153">
        <v>11</v>
      </c>
      <c r="E1153">
        <v>2</v>
      </c>
      <c r="F1153">
        <v>38.826958359999999</v>
      </c>
      <c r="G1153">
        <v>77</v>
      </c>
      <c r="H1153">
        <v>61</v>
      </c>
      <c r="I1153">
        <v>22</v>
      </c>
      <c r="J1153">
        <v>2</v>
      </c>
      <c r="K1153">
        <v>1</v>
      </c>
    </row>
    <row r="1154" spans="1:11" x14ac:dyDescent="0.25">
      <c r="A1154">
        <v>38</v>
      </c>
      <c r="B1154">
        <v>1</v>
      </c>
      <c r="C1154">
        <v>3</v>
      </c>
      <c r="D1154">
        <v>4</v>
      </c>
      <c r="E1154">
        <v>1</v>
      </c>
      <c r="F1154">
        <v>5.7624466989999998</v>
      </c>
      <c r="G1154">
        <v>48</v>
      </c>
      <c r="H1154">
        <v>4</v>
      </c>
      <c r="I1154">
        <v>21</v>
      </c>
      <c r="J1154">
        <v>3</v>
      </c>
      <c r="K1154">
        <v>0</v>
      </c>
    </row>
    <row r="1155" spans="1:11" x14ac:dyDescent="0.25">
      <c r="A1155">
        <v>40</v>
      </c>
      <c r="B1155">
        <v>0</v>
      </c>
      <c r="C1155">
        <v>2</v>
      </c>
      <c r="D1155">
        <v>13</v>
      </c>
      <c r="E1155">
        <v>1</v>
      </c>
      <c r="F1155">
        <v>2.3735281260000001</v>
      </c>
      <c r="G1155">
        <v>40</v>
      </c>
      <c r="H1155">
        <v>69</v>
      </c>
      <c r="I1155">
        <v>67</v>
      </c>
      <c r="J1155">
        <v>2</v>
      </c>
      <c r="K1155">
        <v>0</v>
      </c>
    </row>
    <row r="1156" spans="1:11" x14ac:dyDescent="0.25">
      <c r="A1156">
        <v>24</v>
      </c>
      <c r="B1156">
        <v>1</v>
      </c>
      <c r="C1156">
        <v>1</v>
      </c>
      <c r="D1156">
        <v>2</v>
      </c>
      <c r="E1156">
        <v>5</v>
      </c>
      <c r="F1156">
        <v>21.18129476</v>
      </c>
      <c r="G1156">
        <v>82</v>
      </c>
      <c r="H1156">
        <v>62</v>
      </c>
      <c r="I1156">
        <v>33</v>
      </c>
      <c r="J1156">
        <v>1</v>
      </c>
      <c r="K1156">
        <v>1</v>
      </c>
    </row>
    <row r="1157" spans="1:11" x14ac:dyDescent="0.25">
      <c r="A1157">
        <v>37</v>
      </c>
      <c r="B1157">
        <v>1</v>
      </c>
      <c r="C1157">
        <v>2</v>
      </c>
      <c r="D1157">
        <v>11</v>
      </c>
      <c r="E1157">
        <v>5</v>
      </c>
      <c r="F1157">
        <v>50.678908640000003</v>
      </c>
      <c r="G1157">
        <v>29</v>
      </c>
      <c r="H1157">
        <v>55</v>
      </c>
      <c r="I1157">
        <v>69</v>
      </c>
      <c r="J1157">
        <v>2</v>
      </c>
      <c r="K1157">
        <v>0</v>
      </c>
    </row>
    <row r="1158" spans="1:11" x14ac:dyDescent="0.25">
      <c r="A1158">
        <v>47</v>
      </c>
      <c r="B1158">
        <v>1</v>
      </c>
      <c r="C1158">
        <v>2</v>
      </c>
      <c r="D1158">
        <v>2</v>
      </c>
      <c r="E1158">
        <v>4</v>
      </c>
      <c r="F1158">
        <v>9.74419681</v>
      </c>
      <c r="G1158">
        <v>4</v>
      </c>
      <c r="H1158">
        <v>58</v>
      </c>
      <c r="I1158">
        <v>27</v>
      </c>
      <c r="J1158">
        <v>3</v>
      </c>
      <c r="K1158">
        <v>0</v>
      </c>
    </row>
    <row r="1159" spans="1:11" x14ac:dyDescent="0.25">
      <c r="A1159">
        <v>29</v>
      </c>
      <c r="B1159">
        <v>1</v>
      </c>
      <c r="C1159">
        <v>4</v>
      </c>
      <c r="D1159">
        <v>12</v>
      </c>
      <c r="E1159">
        <v>3</v>
      </c>
      <c r="F1159">
        <v>34.632217179999998</v>
      </c>
      <c r="G1159">
        <v>94</v>
      </c>
      <c r="H1159">
        <v>62</v>
      </c>
      <c r="I1159">
        <v>94</v>
      </c>
      <c r="J1159">
        <v>2</v>
      </c>
      <c r="K1159">
        <v>1</v>
      </c>
    </row>
    <row r="1160" spans="1:11" x14ac:dyDescent="0.25">
      <c r="A1160">
        <v>48</v>
      </c>
      <c r="B1160">
        <v>0</v>
      </c>
      <c r="C1160">
        <v>3</v>
      </c>
      <c r="D1160">
        <v>5</v>
      </c>
      <c r="E1160">
        <v>1</v>
      </c>
      <c r="F1160">
        <v>9.6698033100000007</v>
      </c>
      <c r="G1160">
        <v>70</v>
      </c>
      <c r="H1160">
        <v>88</v>
      </c>
      <c r="I1160">
        <v>98</v>
      </c>
      <c r="J1160">
        <v>2</v>
      </c>
      <c r="K1160">
        <v>0</v>
      </c>
    </row>
    <row r="1161" spans="1:11" x14ac:dyDescent="0.25">
      <c r="A1161">
        <v>41</v>
      </c>
      <c r="B1161">
        <v>1</v>
      </c>
      <c r="C1161">
        <v>3</v>
      </c>
      <c r="D1161">
        <v>1</v>
      </c>
      <c r="E1161">
        <v>5</v>
      </c>
      <c r="F1161">
        <v>37.239348749999998</v>
      </c>
      <c r="G1161">
        <v>82</v>
      </c>
      <c r="H1161">
        <v>58</v>
      </c>
      <c r="I1161">
        <v>38</v>
      </c>
      <c r="J1161">
        <v>3</v>
      </c>
      <c r="K1161">
        <v>0</v>
      </c>
    </row>
    <row r="1162" spans="1:11" x14ac:dyDescent="0.25">
      <c r="A1162">
        <v>40</v>
      </c>
      <c r="B1162">
        <v>1</v>
      </c>
      <c r="C1162">
        <v>4</v>
      </c>
      <c r="D1162">
        <v>15</v>
      </c>
      <c r="E1162">
        <v>1</v>
      </c>
      <c r="F1162">
        <v>26.26768341</v>
      </c>
      <c r="G1162">
        <v>30</v>
      </c>
      <c r="H1162">
        <v>50</v>
      </c>
      <c r="I1162">
        <v>41</v>
      </c>
      <c r="J1162">
        <v>2</v>
      </c>
      <c r="K1162">
        <v>0</v>
      </c>
    </row>
    <row r="1163" spans="1:11" x14ac:dyDescent="0.25">
      <c r="A1163">
        <v>25</v>
      </c>
      <c r="B1163">
        <v>1</v>
      </c>
      <c r="C1163">
        <v>1</v>
      </c>
      <c r="D1163">
        <v>5</v>
      </c>
      <c r="E1163">
        <v>5</v>
      </c>
      <c r="F1163">
        <v>34.998585499999997</v>
      </c>
      <c r="G1163">
        <v>51</v>
      </c>
      <c r="H1163">
        <v>49</v>
      </c>
      <c r="I1163">
        <v>22</v>
      </c>
      <c r="J1163">
        <v>2</v>
      </c>
      <c r="K1163">
        <v>0</v>
      </c>
    </row>
    <row r="1164" spans="1:11" x14ac:dyDescent="0.25">
      <c r="A1164">
        <v>20</v>
      </c>
      <c r="B1164">
        <v>0</v>
      </c>
      <c r="C1164">
        <v>3</v>
      </c>
      <c r="D1164">
        <v>15</v>
      </c>
      <c r="E1164">
        <v>2</v>
      </c>
      <c r="F1164">
        <v>11.143658800000001</v>
      </c>
      <c r="G1164">
        <v>87</v>
      </c>
      <c r="H1164">
        <v>3</v>
      </c>
      <c r="I1164">
        <v>69</v>
      </c>
      <c r="J1164">
        <v>1</v>
      </c>
      <c r="K1164">
        <v>1</v>
      </c>
    </row>
    <row r="1165" spans="1:11" x14ac:dyDescent="0.25">
      <c r="A1165">
        <v>24</v>
      </c>
      <c r="B1165">
        <v>1</v>
      </c>
      <c r="C1165">
        <v>2</v>
      </c>
      <c r="D1165">
        <v>12</v>
      </c>
      <c r="E1165">
        <v>1</v>
      </c>
      <c r="F1165">
        <v>38.281416630000002</v>
      </c>
      <c r="G1165">
        <v>97</v>
      </c>
      <c r="H1165">
        <v>47</v>
      </c>
      <c r="I1165">
        <v>79</v>
      </c>
      <c r="J1165">
        <v>2</v>
      </c>
      <c r="K1165">
        <v>0</v>
      </c>
    </row>
    <row r="1166" spans="1:11" x14ac:dyDescent="0.25">
      <c r="A1166">
        <v>28</v>
      </c>
      <c r="B1166">
        <v>0</v>
      </c>
      <c r="C1166">
        <v>4</v>
      </c>
      <c r="D1166">
        <v>5</v>
      </c>
      <c r="E1166">
        <v>2</v>
      </c>
      <c r="F1166">
        <v>50.780952980000002</v>
      </c>
      <c r="G1166">
        <v>22</v>
      </c>
      <c r="H1166">
        <v>31</v>
      </c>
      <c r="I1166">
        <v>1</v>
      </c>
      <c r="J1166">
        <v>1</v>
      </c>
      <c r="K1166">
        <v>0</v>
      </c>
    </row>
    <row r="1167" spans="1:11" x14ac:dyDescent="0.25">
      <c r="A1167">
        <v>31</v>
      </c>
      <c r="B1167">
        <v>0</v>
      </c>
      <c r="C1167">
        <v>2</v>
      </c>
      <c r="D1167">
        <v>7</v>
      </c>
      <c r="E1167">
        <v>1</v>
      </c>
      <c r="F1167">
        <v>34.282525030000002</v>
      </c>
      <c r="G1167">
        <v>47</v>
      </c>
      <c r="H1167">
        <v>50</v>
      </c>
      <c r="I1167">
        <v>23</v>
      </c>
      <c r="J1167">
        <v>2</v>
      </c>
      <c r="K1167">
        <v>0</v>
      </c>
    </row>
    <row r="1168" spans="1:11" x14ac:dyDescent="0.25">
      <c r="A1168">
        <v>45</v>
      </c>
      <c r="B1168">
        <v>1</v>
      </c>
      <c r="C1168">
        <v>3</v>
      </c>
      <c r="D1168">
        <v>6</v>
      </c>
      <c r="E1168">
        <v>3</v>
      </c>
      <c r="F1168">
        <v>25.673999899999998</v>
      </c>
      <c r="G1168">
        <v>39</v>
      </c>
      <c r="H1168">
        <v>51</v>
      </c>
      <c r="I1168">
        <v>16</v>
      </c>
      <c r="J1168">
        <v>1</v>
      </c>
      <c r="K1168">
        <v>1</v>
      </c>
    </row>
    <row r="1169" spans="1:11" x14ac:dyDescent="0.25">
      <c r="A1169">
        <v>33</v>
      </c>
      <c r="B1169">
        <v>1</v>
      </c>
      <c r="C1169">
        <v>3</v>
      </c>
      <c r="D1169">
        <v>7</v>
      </c>
      <c r="E1169">
        <v>4</v>
      </c>
      <c r="F1169">
        <v>47.158699429999999</v>
      </c>
      <c r="G1169">
        <v>5</v>
      </c>
      <c r="H1169">
        <v>98</v>
      </c>
      <c r="I1169">
        <v>64</v>
      </c>
      <c r="J1169">
        <v>3</v>
      </c>
      <c r="K1169">
        <v>1</v>
      </c>
    </row>
    <row r="1170" spans="1:11" x14ac:dyDescent="0.25">
      <c r="A1170">
        <v>21</v>
      </c>
      <c r="B1170">
        <v>0</v>
      </c>
      <c r="C1170">
        <v>1</v>
      </c>
      <c r="D1170">
        <v>13</v>
      </c>
      <c r="E1170">
        <v>2</v>
      </c>
      <c r="F1170">
        <v>1.7925921119999999</v>
      </c>
      <c r="G1170">
        <v>37</v>
      </c>
      <c r="H1170">
        <v>73</v>
      </c>
      <c r="I1170">
        <v>69</v>
      </c>
      <c r="J1170">
        <v>3</v>
      </c>
      <c r="K1170">
        <v>0</v>
      </c>
    </row>
    <row r="1171" spans="1:11" x14ac:dyDescent="0.25">
      <c r="A1171">
        <v>36</v>
      </c>
      <c r="B1171">
        <v>1</v>
      </c>
      <c r="C1171">
        <v>2</v>
      </c>
      <c r="D1171">
        <v>8</v>
      </c>
      <c r="E1171">
        <v>5</v>
      </c>
      <c r="F1171">
        <v>37.496175960000002</v>
      </c>
      <c r="G1171">
        <v>40</v>
      </c>
      <c r="H1171">
        <v>33</v>
      </c>
      <c r="I1171">
        <v>68</v>
      </c>
      <c r="J1171">
        <v>2</v>
      </c>
      <c r="K1171">
        <v>0</v>
      </c>
    </row>
    <row r="1172" spans="1:11" x14ac:dyDescent="0.25">
      <c r="A1172">
        <v>33</v>
      </c>
      <c r="B1172">
        <v>0</v>
      </c>
      <c r="C1172">
        <v>3</v>
      </c>
      <c r="D1172">
        <v>5</v>
      </c>
      <c r="E1172">
        <v>3</v>
      </c>
      <c r="F1172">
        <v>45.43732584</v>
      </c>
      <c r="G1172">
        <v>99</v>
      </c>
      <c r="H1172">
        <v>35</v>
      </c>
      <c r="I1172">
        <v>59</v>
      </c>
      <c r="J1172">
        <v>1</v>
      </c>
      <c r="K1172">
        <v>1</v>
      </c>
    </row>
    <row r="1173" spans="1:11" x14ac:dyDescent="0.25">
      <c r="A1173">
        <v>45</v>
      </c>
      <c r="B1173">
        <v>0</v>
      </c>
      <c r="C1173">
        <v>2</v>
      </c>
      <c r="D1173">
        <v>13</v>
      </c>
      <c r="E1173">
        <v>1</v>
      </c>
      <c r="F1173">
        <v>4.0837291809999998</v>
      </c>
      <c r="G1173">
        <v>26</v>
      </c>
      <c r="H1173">
        <v>69</v>
      </c>
      <c r="I1173">
        <v>49</v>
      </c>
      <c r="J1173">
        <v>1</v>
      </c>
      <c r="K1173">
        <v>1</v>
      </c>
    </row>
    <row r="1174" spans="1:11" x14ac:dyDescent="0.25">
      <c r="A1174">
        <v>32</v>
      </c>
      <c r="B1174">
        <v>1</v>
      </c>
      <c r="C1174">
        <v>2</v>
      </c>
      <c r="D1174">
        <v>15</v>
      </c>
      <c r="E1174">
        <v>2</v>
      </c>
      <c r="F1174">
        <v>23.503208520000001</v>
      </c>
      <c r="G1174">
        <v>74</v>
      </c>
      <c r="H1174">
        <v>42</v>
      </c>
      <c r="I1174">
        <v>92</v>
      </c>
      <c r="J1174">
        <v>2</v>
      </c>
      <c r="K1174">
        <v>0</v>
      </c>
    </row>
    <row r="1175" spans="1:11" x14ac:dyDescent="0.25">
      <c r="A1175">
        <v>46</v>
      </c>
      <c r="B1175">
        <v>1</v>
      </c>
      <c r="C1175">
        <v>2</v>
      </c>
      <c r="D1175">
        <v>2</v>
      </c>
      <c r="E1175">
        <v>1</v>
      </c>
      <c r="F1175">
        <v>11.2359727</v>
      </c>
      <c r="G1175">
        <v>68</v>
      </c>
      <c r="H1175">
        <v>15</v>
      </c>
      <c r="I1175">
        <v>11</v>
      </c>
      <c r="J1175">
        <v>2</v>
      </c>
      <c r="K1175">
        <v>0</v>
      </c>
    </row>
    <row r="1176" spans="1:11" x14ac:dyDescent="0.25">
      <c r="A1176">
        <v>28</v>
      </c>
      <c r="B1176">
        <v>0</v>
      </c>
      <c r="C1176">
        <v>1</v>
      </c>
      <c r="D1176">
        <v>9</v>
      </c>
      <c r="E1176">
        <v>1</v>
      </c>
      <c r="F1176">
        <v>29.32590828</v>
      </c>
      <c r="G1176">
        <v>56</v>
      </c>
      <c r="H1176">
        <v>58</v>
      </c>
      <c r="I1176">
        <v>46</v>
      </c>
      <c r="J1176">
        <v>2</v>
      </c>
      <c r="K1176">
        <v>0</v>
      </c>
    </row>
    <row r="1177" spans="1:11" x14ac:dyDescent="0.25">
      <c r="A1177">
        <v>45</v>
      </c>
      <c r="B1177">
        <v>0</v>
      </c>
      <c r="C1177">
        <v>3</v>
      </c>
      <c r="D1177">
        <v>2</v>
      </c>
      <c r="E1177">
        <v>1</v>
      </c>
      <c r="F1177">
        <v>33.477147930000001</v>
      </c>
      <c r="G1177">
        <v>16</v>
      </c>
      <c r="H1177">
        <v>52</v>
      </c>
      <c r="I1177">
        <v>66</v>
      </c>
      <c r="J1177">
        <v>2</v>
      </c>
      <c r="K1177">
        <v>0</v>
      </c>
    </row>
    <row r="1178" spans="1:11" x14ac:dyDescent="0.25">
      <c r="A1178">
        <v>44</v>
      </c>
      <c r="B1178">
        <v>0</v>
      </c>
      <c r="C1178">
        <v>2</v>
      </c>
      <c r="D1178">
        <v>15</v>
      </c>
      <c r="E1178">
        <v>4</v>
      </c>
      <c r="F1178">
        <v>16.131159149999998</v>
      </c>
      <c r="G1178">
        <v>70</v>
      </c>
      <c r="H1178">
        <v>18</v>
      </c>
      <c r="I1178">
        <v>64</v>
      </c>
      <c r="J1178">
        <v>2</v>
      </c>
      <c r="K1178">
        <v>0</v>
      </c>
    </row>
    <row r="1179" spans="1:11" x14ac:dyDescent="0.25">
      <c r="A1179">
        <v>34</v>
      </c>
      <c r="B1179">
        <v>0</v>
      </c>
      <c r="C1179">
        <v>1</v>
      </c>
      <c r="D1179">
        <v>10</v>
      </c>
      <c r="E1179">
        <v>4</v>
      </c>
      <c r="F1179">
        <v>23.999083479999999</v>
      </c>
      <c r="G1179">
        <v>90</v>
      </c>
      <c r="H1179">
        <v>97</v>
      </c>
      <c r="I1179">
        <v>26</v>
      </c>
      <c r="J1179">
        <v>2</v>
      </c>
      <c r="K1179">
        <v>0</v>
      </c>
    </row>
    <row r="1180" spans="1:11" x14ac:dyDescent="0.25">
      <c r="A1180">
        <v>44</v>
      </c>
      <c r="B1180">
        <v>1</v>
      </c>
      <c r="C1180">
        <v>2</v>
      </c>
      <c r="D1180">
        <v>11</v>
      </c>
      <c r="E1180">
        <v>5</v>
      </c>
      <c r="F1180">
        <v>14.966974260000001</v>
      </c>
      <c r="G1180">
        <v>46</v>
      </c>
      <c r="H1180">
        <v>88</v>
      </c>
      <c r="I1180">
        <v>47</v>
      </c>
      <c r="J1180">
        <v>2</v>
      </c>
      <c r="K1180">
        <v>0</v>
      </c>
    </row>
    <row r="1181" spans="1:11" x14ac:dyDescent="0.25">
      <c r="A1181">
        <v>41</v>
      </c>
      <c r="B1181">
        <v>1</v>
      </c>
      <c r="C1181">
        <v>2</v>
      </c>
      <c r="D1181">
        <v>0</v>
      </c>
      <c r="E1181">
        <v>2</v>
      </c>
      <c r="F1181">
        <v>19.46955822</v>
      </c>
      <c r="G1181">
        <v>78</v>
      </c>
      <c r="H1181">
        <v>94</v>
      </c>
      <c r="I1181">
        <v>87</v>
      </c>
      <c r="J1181">
        <v>2</v>
      </c>
      <c r="K1181">
        <v>0</v>
      </c>
    </row>
    <row r="1182" spans="1:11" x14ac:dyDescent="0.25">
      <c r="A1182">
        <v>34</v>
      </c>
      <c r="B1182">
        <v>1</v>
      </c>
      <c r="C1182">
        <v>1</v>
      </c>
      <c r="D1182">
        <v>10</v>
      </c>
      <c r="E1182">
        <v>3</v>
      </c>
      <c r="F1182">
        <v>8.9769978340000005</v>
      </c>
      <c r="G1182">
        <v>12</v>
      </c>
      <c r="H1182">
        <v>40</v>
      </c>
      <c r="I1182">
        <v>61</v>
      </c>
      <c r="J1182">
        <v>2</v>
      </c>
      <c r="K1182">
        <v>0</v>
      </c>
    </row>
    <row r="1183" spans="1:11" x14ac:dyDescent="0.25">
      <c r="A1183">
        <v>43</v>
      </c>
      <c r="B1183">
        <v>1</v>
      </c>
      <c r="C1183">
        <v>2</v>
      </c>
      <c r="D1183">
        <v>14</v>
      </c>
      <c r="E1183">
        <v>3</v>
      </c>
      <c r="F1183">
        <v>45.277972179999999</v>
      </c>
      <c r="G1183">
        <v>10</v>
      </c>
      <c r="H1183">
        <v>80</v>
      </c>
      <c r="I1183">
        <v>43</v>
      </c>
      <c r="J1183">
        <v>1</v>
      </c>
      <c r="K1183">
        <v>1</v>
      </c>
    </row>
    <row r="1184" spans="1:11" x14ac:dyDescent="0.25">
      <c r="A1184">
        <v>49</v>
      </c>
      <c r="B1184">
        <v>1</v>
      </c>
      <c r="C1184">
        <v>2</v>
      </c>
      <c r="D1184">
        <v>12</v>
      </c>
      <c r="E1184">
        <v>3</v>
      </c>
      <c r="F1184">
        <v>1.500520528</v>
      </c>
      <c r="G1184">
        <v>89</v>
      </c>
      <c r="H1184">
        <v>46</v>
      </c>
      <c r="I1184">
        <v>18</v>
      </c>
      <c r="J1184">
        <v>1</v>
      </c>
      <c r="K1184">
        <v>1</v>
      </c>
    </row>
    <row r="1185" spans="1:11" x14ac:dyDescent="0.25">
      <c r="A1185">
        <v>30</v>
      </c>
      <c r="B1185">
        <v>0</v>
      </c>
      <c r="C1185">
        <v>2</v>
      </c>
      <c r="D1185">
        <v>14</v>
      </c>
      <c r="E1185">
        <v>1</v>
      </c>
      <c r="F1185">
        <v>45.120459320000002</v>
      </c>
      <c r="G1185">
        <v>85</v>
      </c>
      <c r="H1185">
        <v>93</v>
      </c>
      <c r="I1185">
        <v>58</v>
      </c>
      <c r="J1185">
        <v>2</v>
      </c>
      <c r="K1185">
        <v>0</v>
      </c>
    </row>
    <row r="1186" spans="1:11" x14ac:dyDescent="0.25">
      <c r="A1186">
        <v>50</v>
      </c>
      <c r="B1186">
        <v>1</v>
      </c>
      <c r="C1186">
        <v>3</v>
      </c>
      <c r="D1186">
        <v>4</v>
      </c>
      <c r="E1186">
        <v>4</v>
      </c>
      <c r="F1186">
        <v>29.583943919999999</v>
      </c>
      <c r="G1186">
        <v>91</v>
      </c>
      <c r="H1186">
        <v>53</v>
      </c>
      <c r="I1186">
        <v>7</v>
      </c>
      <c r="J1186">
        <v>1</v>
      </c>
      <c r="K1186">
        <v>1</v>
      </c>
    </row>
    <row r="1187" spans="1:11" x14ac:dyDescent="0.25">
      <c r="A1187">
        <v>35</v>
      </c>
      <c r="B1187">
        <v>1</v>
      </c>
      <c r="C1187">
        <v>2</v>
      </c>
      <c r="D1187">
        <v>13</v>
      </c>
      <c r="E1187">
        <v>2</v>
      </c>
      <c r="F1187">
        <v>17.582892210000001</v>
      </c>
      <c r="G1187">
        <v>23</v>
      </c>
      <c r="H1187">
        <v>54</v>
      </c>
      <c r="I1187">
        <v>54</v>
      </c>
      <c r="J1187">
        <v>2</v>
      </c>
      <c r="K1187">
        <v>0</v>
      </c>
    </row>
    <row r="1188" spans="1:11" x14ac:dyDescent="0.25">
      <c r="A1188">
        <v>48</v>
      </c>
      <c r="B1188">
        <v>1</v>
      </c>
      <c r="C1188">
        <v>2</v>
      </c>
      <c r="D1188">
        <v>3</v>
      </c>
      <c r="E1188">
        <v>1</v>
      </c>
      <c r="F1188">
        <v>37.152856270000001</v>
      </c>
      <c r="G1188">
        <v>92</v>
      </c>
      <c r="H1188">
        <v>94</v>
      </c>
      <c r="I1188">
        <v>46</v>
      </c>
      <c r="J1188">
        <v>2</v>
      </c>
      <c r="K1188">
        <v>0</v>
      </c>
    </row>
    <row r="1189" spans="1:11" x14ac:dyDescent="0.25">
      <c r="A1189">
        <v>36</v>
      </c>
      <c r="B1189">
        <v>1</v>
      </c>
      <c r="C1189">
        <v>2</v>
      </c>
      <c r="D1189">
        <v>8</v>
      </c>
      <c r="E1189">
        <v>4</v>
      </c>
      <c r="F1189">
        <v>26.387607589999998</v>
      </c>
      <c r="G1189">
        <v>72</v>
      </c>
      <c r="H1189">
        <v>18</v>
      </c>
      <c r="I1189">
        <v>1</v>
      </c>
      <c r="J1189">
        <v>3</v>
      </c>
      <c r="K1189">
        <v>0</v>
      </c>
    </row>
    <row r="1190" spans="1:11" x14ac:dyDescent="0.25">
      <c r="A1190">
        <v>45</v>
      </c>
      <c r="B1190">
        <v>1</v>
      </c>
      <c r="C1190">
        <v>2</v>
      </c>
      <c r="D1190">
        <v>14</v>
      </c>
      <c r="E1190">
        <v>4</v>
      </c>
      <c r="F1190">
        <v>25.955432909999999</v>
      </c>
      <c r="G1190">
        <v>3</v>
      </c>
      <c r="H1190">
        <v>61</v>
      </c>
      <c r="I1190">
        <v>93</v>
      </c>
      <c r="J1190">
        <v>2</v>
      </c>
      <c r="K1190">
        <v>0</v>
      </c>
    </row>
    <row r="1191" spans="1:11" x14ac:dyDescent="0.25">
      <c r="A1191">
        <v>23</v>
      </c>
      <c r="B1191">
        <v>0</v>
      </c>
      <c r="C1191">
        <v>2</v>
      </c>
      <c r="D1191">
        <v>8</v>
      </c>
      <c r="E1191">
        <v>2</v>
      </c>
      <c r="F1191">
        <v>6.5071141460000002</v>
      </c>
      <c r="G1191">
        <v>45</v>
      </c>
      <c r="H1191">
        <v>98</v>
      </c>
      <c r="I1191">
        <v>93</v>
      </c>
      <c r="J1191">
        <v>1</v>
      </c>
      <c r="K1191">
        <v>1</v>
      </c>
    </row>
    <row r="1192" spans="1:11" x14ac:dyDescent="0.25">
      <c r="A1192">
        <v>20</v>
      </c>
      <c r="B1192">
        <v>0</v>
      </c>
      <c r="C1192">
        <v>2</v>
      </c>
      <c r="D1192">
        <v>14</v>
      </c>
      <c r="E1192">
        <v>2</v>
      </c>
      <c r="F1192">
        <v>20.475801300000001</v>
      </c>
      <c r="G1192">
        <v>17</v>
      </c>
      <c r="H1192">
        <v>92</v>
      </c>
      <c r="I1192">
        <v>38</v>
      </c>
      <c r="J1192">
        <v>1</v>
      </c>
      <c r="K1192">
        <v>1</v>
      </c>
    </row>
    <row r="1193" spans="1:11" x14ac:dyDescent="0.25">
      <c r="A1193">
        <v>27</v>
      </c>
      <c r="B1193">
        <v>0</v>
      </c>
      <c r="C1193">
        <v>3</v>
      </c>
      <c r="D1193">
        <v>13</v>
      </c>
      <c r="E1193">
        <v>2</v>
      </c>
      <c r="F1193">
        <v>13.053217289999999</v>
      </c>
      <c r="G1193">
        <v>42</v>
      </c>
      <c r="H1193">
        <v>58</v>
      </c>
      <c r="I1193">
        <v>44</v>
      </c>
      <c r="J1193">
        <v>3</v>
      </c>
      <c r="K1193">
        <v>0</v>
      </c>
    </row>
    <row r="1194" spans="1:11" x14ac:dyDescent="0.25">
      <c r="A1194">
        <v>36</v>
      </c>
      <c r="B1194">
        <v>1</v>
      </c>
      <c r="C1194">
        <v>2</v>
      </c>
      <c r="D1194">
        <v>4</v>
      </c>
      <c r="E1194">
        <v>1</v>
      </c>
      <c r="F1194">
        <v>1.78479528</v>
      </c>
      <c r="G1194">
        <v>79</v>
      </c>
      <c r="H1194">
        <v>64</v>
      </c>
      <c r="I1194">
        <v>31</v>
      </c>
      <c r="J1194">
        <v>1</v>
      </c>
      <c r="K1194">
        <v>1</v>
      </c>
    </row>
    <row r="1195" spans="1:11" x14ac:dyDescent="0.25">
      <c r="A1195">
        <v>22</v>
      </c>
      <c r="B1195">
        <v>0</v>
      </c>
      <c r="C1195">
        <v>2</v>
      </c>
      <c r="D1195">
        <v>9</v>
      </c>
      <c r="E1195">
        <v>5</v>
      </c>
      <c r="F1195">
        <v>19.004981539999999</v>
      </c>
      <c r="G1195">
        <v>32</v>
      </c>
      <c r="H1195">
        <v>67</v>
      </c>
      <c r="I1195">
        <v>64</v>
      </c>
      <c r="J1195">
        <v>2</v>
      </c>
      <c r="K1195">
        <v>0</v>
      </c>
    </row>
    <row r="1196" spans="1:11" x14ac:dyDescent="0.25">
      <c r="A1196">
        <v>48</v>
      </c>
      <c r="B1196">
        <v>0</v>
      </c>
      <c r="C1196">
        <v>3</v>
      </c>
      <c r="D1196">
        <v>3</v>
      </c>
      <c r="E1196">
        <v>2</v>
      </c>
      <c r="F1196">
        <v>5.4911064710000002</v>
      </c>
      <c r="G1196">
        <v>92</v>
      </c>
      <c r="H1196">
        <v>27</v>
      </c>
      <c r="I1196">
        <v>37</v>
      </c>
      <c r="J1196">
        <v>2</v>
      </c>
      <c r="K1196">
        <v>0</v>
      </c>
    </row>
    <row r="1197" spans="1:11" x14ac:dyDescent="0.25">
      <c r="A1197">
        <v>39</v>
      </c>
      <c r="B1197">
        <v>1</v>
      </c>
      <c r="C1197">
        <v>2</v>
      </c>
      <c r="D1197">
        <v>6</v>
      </c>
      <c r="E1197">
        <v>5</v>
      </c>
      <c r="F1197">
        <v>13.84150189</v>
      </c>
      <c r="G1197">
        <v>9</v>
      </c>
      <c r="H1197">
        <v>17</v>
      </c>
      <c r="I1197">
        <v>76</v>
      </c>
      <c r="J1197">
        <v>2</v>
      </c>
      <c r="K1197">
        <v>0</v>
      </c>
    </row>
    <row r="1198" spans="1:11" x14ac:dyDescent="0.25">
      <c r="A1198">
        <v>34</v>
      </c>
      <c r="B1198">
        <v>1</v>
      </c>
      <c r="C1198">
        <v>2</v>
      </c>
      <c r="D1198">
        <v>14</v>
      </c>
      <c r="E1198">
        <v>1</v>
      </c>
      <c r="F1198">
        <v>5.6258310590000002</v>
      </c>
      <c r="G1198">
        <v>72</v>
      </c>
      <c r="H1198">
        <v>25</v>
      </c>
      <c r="I1198">
        <v>10</v>
      </c>
      <c r="J1198">
        <v>2</v>
      </c>
      <c r="K1198">
        <v>0</v>
      </c>
    </row>
    <row r="1199" spans="1:11" x14ac:dyDescent="0.25">
      <c r="A1199">
        <v>34</v>
      </c>
      <c r="B1199">
        <v>1</v>
      </c>
      <c r="C1199">
        <v>2</v>
      </c>
      <c r="D1199">
        <v>5</v>
      </c>
      <c r="E1199">
        <v>5</v>
      </c>
      <c r="F1199">
        <v>6.0470812780000003</v>
      </c>
      <c r="G1199">
        <v>58</v>
      </c>
      <c r="H1199">
        <v>18</v>
      </c>
      <c r="I1199">
        <v>9</v>
      </c>
      <c r="J1199">
        <v>2</v>
      </c>
      <c r="K1199">
        <v>0</v>
      </c>
    </row>
    <row r="1200" spans="1:11" x14ac:dyDescent="0.25">
      <c r="A1200">
        <v>50</v>
      </c>
      <c r="B1200">
        <v>0</v>
      </c>
      <c r="C1200">
        <v>1</v>
      </c>
      <c r="D1200">
        <v>3</v>
      </c>
      <c r="E1200">
        <v>3</v>
      </c>
      <c r="F1200">
        <v>10.950564719999999</v>
      </c>
      <c r="G1200">
        <v>30</v>
      </c>
      <c r="H1200">
        <v>54</v>
      </c>
      <c r="I1200">
        <v>58</v>
      </c>
      <c r="J1200">
        <v>3</v>
      </c>
      <c r="K1200">
        <v>0</v>
      </c>
    </row>
    <row r="1201" spans="1:11" x14ac:dyDescent="0.25">
      <c r="A1201">
        <v>43</v>
      </c>
      <c r="B1201">
        <v>0</v>
      </c>
      <c r="C1201">
        <v>3</v>
      </c>
      <c r="D1201">
        <v>12</v>
      </c>
      <c r="E1201">
        <v>5</v>
      </c>
      <c r="F1201">
        <v>50.99246222</v>
      </c>
      <c r="G1201">
        <v>27</v>
      </c>
      <c r="H1201">
        <v>56</v>
      </c>
      <c r="I1201">
        <v>89</v>
      </c>
      <c r="J1201">
        <v>1</v>
      </c>
      <c r="K1201">
        <v>1</v>
      </c>
    </row>
    <row r="1202" spans="1:11" x14ac:dyDescent="0.25">
      <c r="A1202">
        <v>41</v>
      </c>
      <c r="B1202">
        <v>1</v>
      </c>
      <c r="C1202">
        <v>3</v>
      </c>
      <c r="D1202">
        <v>12</v>
      </c>
      <c r="E1202">
        <v>2</v>
      </c>
      <c r="F1202">
        <v>1.1092071429999999</v>
      </c>
      <c r="G1202">
        <v>59</v>
      </c>
      <c r="H1202">
        <v>5</v>
      </c>
      <c r="I1202">
        <v>54</v>
      </c>
      <c r="J1202">
        <v>3</v>
      </c>
      <c r="K1202">
        <v>0</v>
      </c>
    </row>
    <row r="1203" spans="1:11" x14ac:dyDescent="0.25">
      <c r="A1203">
        <v>33</v>
      </c>
      <c r="B1203">
        <v>1</v>
      </c>
      <c r="C1203">
        <v>4</v>
      </c>
      <c r="D1203">
        <v>14</v>
      </c>
      <c r="E1203">
        <v>1</v>
      </c>
      <c r="F1203">
        <v>32.933631810000001</v>
      </c>
      <c r="G1203">
        <v>2</v>
      </c>
      <c r="H1203">
        <v>0</v>
      </c>
      <c r="I1203">
        <v>19</v>
      </c>
      <c r="J1203">
        <v>2</v>
      </c>
      <c r="K1203">
        <v>0</v>
      </c>
    </row>
    <row r="1204" spans="1:11" x14ac:dyDescent="0.25">
      <c r="A1204">
        <v>45</v>
      </c>
      <c r="B1204">
        <v>0</v>
      </c>
      <c r="C1204">
        <v>2</v>
      </c>
      <c r="D1204">
        <v>9</v>
      </c>
      <c r="E1204">
        <v>2</v>
      </c>
      <c r="F1204">
        <v>8.0621849010000002</v>
      </c>
      <c r="G1204">
        <v>54</v>
      </c>
      <c r="H1204">
        <v>7</v>
      </c>
      <c r="I1204">
        <v>80</v>
      </c>
      <c r="J1204">
        <v>3</v>
      </c>
      <c r="K1204">
        <v>0</v>
      </c>
    </row>
    <row r="1205" spans="1:11" x14ac:dyDescent="0.25">
      <c r="A1205">
        <v>47</v>
      </c>
      <c r="B1205">
        <v>0</v>
      </c>
      <c r="C1205">
        <v>2</v>
      </c>
      <c r="D1205">
        <v>1</v>
      </c>
      <c r="E1205">
        <v>3</v>
      </c>
      <c r="F1205">
        <v>47.031406840000002</v>
      </c>
      <c r="G1205">
        <v>13</v>
      </c>
      <c r="H1205">
        <v>96</v>
      </c>
      <c r="I1205">
        <v>16</v>
      </c>
      <c r="J1205">
        <v>1</v>
      </c>
      <c r="K1205">
        <v>0</v>
      </c>
    </row>
    <row r="1206" spans="1:11" x14ac:dyDescent="0.25">
      <c r="A1206">
        <v>42</v>
      </c>
      <c r="B1206">
        <v>1</v>
      </c>
      <c r="C1206">
        <v>1</v>
      </c>
      <c r="D1206">
        <v>0</v>
      </c>
      <c r="E1206">
        <v>2</v>
      </c>
      <c r="F1206">
        <v>5.6816446669999996</v>
      </c>
      <c r="G1206">
        <v>57</v>
      </c>
      <c r="H1206">
        <v>50</v>
      </c>
      <c r="I1206">
        <v>67</v>
      </c>
      <c r="J1206">
        <v>1</v>
      </c>
      <c r="K1206">
        <v>0</v>
      </c>
    </row>
    <row r="1207" spans="1:11" x14ac:dyDescent="0.25">
      <c r="A1207">
        <v>33</v>
      </c>
      <c r="B1207">
        <v>1</v>
      </c>
      <c r="C1207">
        <v>2</v>
      </c>
      <c r="D1207">
        <v>3</v>
      </c>
      <c r="E1207">
        <v>2</v>
      </c>
      <c r="F1207">
        <v>48.753159359999998</v>
      </c>
      <c r="G1207">
        <v>88</v>
      </c>
      <c r="H1207">
        <v>84</v>
      </c>
      <c r="I1207">
        <v>4</v>
      </c>
      <c r="J1207">
        <v>3</v>
      </c>
      <c r="K1207">
        <v>0</v>
      </c>
    </row>
    <row r="1208" spans="1:11" x14ac:dyDescent="0.25">
      <c r="A1208">
        <v>43</v>
      </c>
      <c r="B1208">
        <v>0</v>
      </c>
      <c r="C1208">
        <v>2</v>
      </c>
      <c r="D1208">
        <v>3</v>
      </c>
      <c r="E1208">
        <v>2</v>
      </c>
      <c r="F1208">
        <v>31.546319369999999</v>
      </c>
      <c r="G1208">
        <v>14</v>
      </c>
      <c r="H1208">
        <v>87</v>
      </c>
      <c r="I1208">
        <v>59</v>
      </c>
      <c r="J1208">
        <v>3</v>
      </c>
      <c r="K1208">
        <v>0</v>
      </c>
    </row>
    <row r="1209" spans="1:11" x14ac:dyDescent="0.25">
      <c r="A1209">
        <v>21</v>
      </c>
      <c r="B1209">
        <v>1</v>
      </c>
      <c r="C1209">
        <v>4</v>
      </c>
      <c r="D1209">
        <v>12</v>
      </c>
      <c r="E1209">
        <v>4</v>
      </c>
      <c r="F1209">
        <v>1.0634038459999999</v>
      </c>
      <c r="G1209">
        <v>1</v>
      </c>
      <c r="H1209">
        <v>24</v>
      </c>
      <c r="I1209">
        <v>22</v>
      </c>
      <c r="J1209">
        <v>2</v>
      </c>
      <c r="K1209">
        <v>0</v>
      </c>
    </row>
    <row r="1210" spans="1:11" x14ac:dyDescent="0.25">
      <c r="A1210">
        <v>32</v>
      </c>
      <c r="B1210">
        <v>0</v>
      </c>
      <c r="C1210">
        <v>2</v>
      </c>
      <c r="D1210">
        <v>0</v>
      </c>
      <c r="E1210">
        <v>3</v>
      </c>
      <c r="F1210">
        <v>45.700359900000002</v>
      </c>
      <c r="G1210">
        <v>23</v>
      </c>
      <c r="H1210">
        <v>46</v>
      </c>
      <c r="I1210">
        <v>45</v>
      </c>
      <c r="J1210">
        <v>2</v>
      </c>
      <c r="K1210">
        <v>0</v>
      </c>
    </row>
    <row r="1211" spans="1:11" x14ac:dyDescent="0.25">
      <c r="A1211">
        <v>45</v>
      </c>
      <c r="B1211">
        <v>0</v>
      </c>
      <c r="C1211">
        <v>2</v>
      </c>
      <c r="D1211">
        <v>5</v>
      </c>
      <c r="E1211">
        <v>2</v>
      </c>
      <c r="F1211">
        <v>27.085590069999999</v>
      </c>
      <c r="G1211">
        <v>77</v>
      </c>
      <c r="H1211">
        <v>54</v>
      </c>
      <c r="I1211">
        <v>51</v>
      </c>
      <c r="J1211">
        <v>3</v>
      </c>
      <c r="K1211">
        <v>0</v>
      </c>
    </row>
    <row r="1212" spans="1:11" x14ac:dyDescent="0.25">
      <c r="A1212">
        <v>33</v>
      </c>
      <c r="B1212">
        <v>0</v>
      </c>
      <c r="C1212">
        <v>2</v>
      </c>
      <c r="D1212">
        <v>3</v>
      </c>
      <c r="E1212">
        <v>2</v>
      </c>
      <c r="F1212">
        <v>14.133486769999999</v>
      </c>
      <c r="G1212">
        <v>63</v>
      </c>
      <c r="H1212">
        <v>63</v>
      </c>
      <c r="I1212">
        <v>9</v>
      </c>
      <c r="J1212">
        <v>1</v>
      </c>
      <c r="K1212">
        <v>0</v>
      </c>
    </row>
    <row r="1213" spans="1:11" x14ac:dyDescent="0.25">
      <c r="A1213">
        <v>46</v>
      </c>
      <c r="B1213">
        <v>0</v>
      </c>
      <c r="C1213">
        <v>2</v>
      </c>
      <c r="D1213">
        <v>0</v>
      </c>
      <c r="E1213">
        <v>2</v>
      </c>
      <c r="F1213">
        <v>39.363958879999998</v>
      </c>
      <c r="G1213">
        <v>70</v>
      </c>
      <c r="H1213">
        <v>82</v>
      </c>
      <c r="I1213">
        <v>45</v>
      </c>
      <c r="J1213">
        <v>2</v>
      </c>
      <c r="K1213">
        <v>0</v>
      </c>
    </row>
    <row r="1214" spans="1:11" x14ac:dyDescent="0.25">
      <c r="A1214">
        <v>43</v>
      </c>
      <c r="B1214">
        <v>1</v>
      </c>
      <c r="C1214">
        <v>2</v>
      </c>
      <c r="D1214">
        <v>0</v>
      </c>
      <c r="E1214">
        <v>1</v>
      </c>
      <c r="F1214">
        <v>47.333277690000003</v>
      </c>
      <c r="G1214">
        <v>99</v>
      </c>
      <c r="H1214">
        <v>92</v>
      </c>
      <c r="I1214">
        <v>27</v>
      </c>
      <c r="J1214">
        <v>3</v>
      </c>
      <c r="K1214">
        <v>0</v>
      </c>
    </row>
    <row r="1215" spans="1:11" x14ac:dyDescent="0.25">
      <c r="A1215">
        <v>38</v>
      </c>
      <c r="B1215">
        <v>1</v>
      </c>
      <c r="C1215">
        <v>3</v>
      </c>
      <c r="D1215">
        <v>14</v>
      </c>
      <c r="E1215">
        <v>4</v>
      </c>
      <c r="F1215">
        <v>25.184541159999998</v>
      </c>
      <c r="G1215">
        <v>23</v>
      </c>
      <c r="H1215">
        <v>9</v>
      </c>
      <c r="I1215">
        <v>96</v>
      </c>
      <c r="J1215">
        <v>2</v>
      </c>
      <c r="K1215">
        <v>0</v>
      </c>
    </row>
    <row r="1216" spans="1:11" x14ac:dyDescent="0.25">
      <c r="A1216">
        <v>26</v>
      </c>
      <c r="B1216">
        <v>0</v>
      </c>
      <c r="C1216">
        <v>2</v>
      </c>
      <c r="D1216">
        <v>12</v>
      </c>
      <c r="E1216">
        <v>1</v>
      </c>
      <c r="F1216">
        <v>16.777673719999999</v>
      </c>
      <c r="G1216">
        <v>26</v>
      </c>
      <c r="H1216">
        <v>55</v>
      </c>
      <c r="I1216">
        <v>42</v>
      </c>
      <c r="J1216">
        <v>2</v>
      </c>
      <c r="K1216">
        <v>0</v>
      </c>
    </row>
    <row r="1217" spans="1:11" x14ac:dyDescent="0.25">
      <c r="A1217">
        <v>22</v>
      </c>
      <c r="B1217">
        <v>0</v>
      </c>
      <c r="C1217">
        <v>3</v>
      </c>
      <c r="D1217">
        <v>0</v>
      </c>
      <c r="E1217">
        <v>4</v>
      </c>
      <c r="F1217">
        <v>40.447256199999998</v>
      </c>
      <c r="G1217">
        <v>36</v>
      </c>
      <c r="H1217">
        <v>11</v>
      </c>
      <c r="I1217">
        <v>25</v>
      </c>
      <c r="J1217">
        <v>2</v>
      </c>
      <c r="K1217">
        <v>0</v>
      </c>
    </row>
    <row r="1218" spans="1:11" x14ac:dyDescent="0.25">
      <c r="A1218">
        <v>34</v>
      </c>
      <c r="B1218">
        <v>0</v>
      </c>
      <c r="C1218">
        <v>2</v>
      </c>
      <c r="D1218">
        <v>7</v>
      </c>
      <c r="E1218">
        <v>2</v>
      </c>
      <c r="F1218">
        <v>35.089274889999999</v>
      </c>
      <c r="G1218">
        <v>93</v>
      </c>
      <c r="H1218">
        <v>32</v>
      </c>
      <c r="I1218">
        <v>54</v>
      </c>
      <c r="J1218">
        <v>2</v>
      </c>
      <c r="K1218">
        <v>0</v>
      </c>
    </row>
    <row r="1219" spans="1:11" x14ac:dyDescent="0.25">
      <c r="A1219">
        <v>42</v>
      </c>
      <c r="B1219">
        <v>0</v>
      </c>
      <c r="C1219">
        <v>3</v>
      </c>
      <c r="D1219">
        <v>9</v>
      </c>
      <c r="E1219">
        <v>3</v>
      </c>
      <c r="F1219">
        <v>45.437624190000001</v>
      </c>
      <c r="G1219">
        <v>90</v>
      </c>
      <c r="H1219">
        <v>70</v>
      </c>
      <c r="I1219">
        <v>47</v>
      </c>
      <c r="J1219">
        <v>1</v>
      </c>
      <c r="K1219">
        <v>1</v>
      </c>
    </row>
    <row r="1220" spans="1:11" x14ac:dyDescent="0.25">
      <c r="A1220">
        <v>33</v>
      </c>
      <c r="B1220">
        <v>0</v>
      </c>
      <c r="C1220">
        <v>3</v>
      </c>
      <c r="D1220">
        <v>7</v>
      </c>
      <c r="E1220">
        <v>5</v>
      </c>
      <c r="F1220">
        <v>35.625700639999998</v>
      </c>
      <c r="G1220">
        <v>38</v>
      </c>
      <c r="H1220">
        <v>16</v>
      </c>
      <c r="I1220">
        <v>28</v>
      </c>
      <c r="J1220">
        <v>3</v>
      </c>
      <c r="K1220">
        <v>0</v>
      </c>
    </row>
    <row r="1221" spans="1:11" x14ac:dyDescent="0.25">
      <c r="A1221">
        <v>30</v>
      </c>
      <c r="B1221">
        <v>1</v>
      </c>
      <c r="C1221">
        <v>2</v>
      </c>
      <c r="D1221">
        <v>1</v>
      </c>
      <c r="E1221">
        <v>5</v>
      </c>
      <c r="F1221">
        <v>13.176416939999999</v>
      </c>
      <c r="G1221">
        <v>62</v>
      </c>
      <c r="H1221">
        <v>60</v>
      </c>
      <c r="I1221">
        <v>26</v>
      </c>
      <c r="J1221">
        <v>2</v>
      </c>
      <c r="K1221">
        <v>0</v>
      </c>
    </row>
    <row r="1222" spans="1:11" x14ac:dyDescent="0.25">
      <c r="A1222">
        <v>34</v>
      </c>
      <c r="B1222">
        <v>1</v>
      </c>
      <c r="C1222">
        <v>2</v>
      </c>
      <c r="D1222">
        <v>10</v>
      </c>
      <c r="E1222">
        <v>2</v>
      </c>
      <c r="F1222">
        <v>47.58296249</v>
      </c>
      <c r="G1222">
        <v>78</v>
      </c>
      <c r="H1222">
        <v>9</v>
      </c>
      <c r="I1222">
        <v>17</v>
      </c>
      <c r="J1222">
        <v>3</v>
      </c>
      <c r="K1222">
        <v>0</v>
      </c>
    </row>
    <row r="1223" spans="1:11" x14ac:dyDescent="0.25">
      <c r="A1223">
        <v>47</v>
      </c>
      <c r="B1223">
        <v>1</v>
      </c>
      <c r="C1223">
        <v>4</v>
      </c>
      <c r="D1223">
        <v>12</v>
      </c>
      <c r="E1223">
        <v>1</v>
      </c>
      <c r="F1223">
        <v>6.24178736</v>
      </c>
      <c r="G1223">
        <v>25</v>
      </c>
      <c r="H1223">
        <v>30</v>
      </c>
      <c r="I1223">
        <v>59</v>
      </c>
      <c r="J1223">
        <v>3</v>
      </c>
      <c r="K1223">
        <v>0</v>
      </c>
    </row>
    <row r="1224" spans="1:11" x14ac:dyDescent="0.25">
      <c r="A1224">
        <v>32</v>
      </c>
      <c r="B1224">
        <v>1</v>
      </c>
      <c r="C1224">
        <v>2</v>
      </c>
      <c r="D1224">
        <v>6</v>
      </c>
      <c r="E1224">
        <v>3</v>
      </c>
      <c r="F1224">
        <v>14.39713751</v>
      </c>
      <c r="G1224">
        <v>64</v>
      </c>
      <c r="H1224">
        <v>59</v>
      </c>
      <c r="I1224">
        <v>73</v>
      </c>
      <c r="J1224">
        <v>1</v>
      </c>
      <c r="K1224">
        <v>1</v>
      </c>
    </row>
    <row r="1225" spans="1:11" x14ac:dyDescent="0.25">
      <c r="A1225">
        <v>37</v>
      </c>
      <c r="B1225">
        <v>0</v>
      </c>
      <c r="C1225">
        <v>4</v>
      </c>
      <c r="D1225">
        <v>13</v>
      </c>
      <c r="E1225">
        <v>4</v>
      </c>
      <c r="F1225">
        <v>27.009730390000001</v>
      </c>
      <c r="G1225">
        <v>3</v>
      </c>
      <c r="H1225">
        <v>69</v>
      </c>
      <c r="I1225">
        <v>68</v>
      </c>
      <c r="J1225">
        <v>1</v>
      </c>
      <c r="K1225">
        <v>1</v>
      </c>
    </row>
    <row r="1226" spans="1:11" x14ac:dyDescent="0.25">
      <c r="A1226">
        <v>45</v>
      </c>
      <c r="B1226">
        <v>0</v>
      </c>
      <c r="C1226">
        <v>1</v>
      </c>
      <c r="D1226">
        <v>7</v>
      </c>
      <c r="E1226">
        <v>2</v>
      </c>
      <c r="F1226">
        <v>29.2871013</v>
      </c>
      <c r="G1226">
        <v>28</v>
      </c>
      <c r="H1226">
        <v>16</v>
      </c>
      <c r="I1226">
        <v>73</v>
      </c>
      <c r="J1226">
        <v>2</v>
      </c>
      <c r="K1226">
        <v>0</v>
      </c>
    </row>
    <row r="1227" spans="1:11" x14ac:dyDescent="0.25">
      <c r="A1227">
        <v>25</v>
      </c>
      <c r="B1227">
        <v>0</v>
      </c>
      <c r="C1227">
        <v>2</v>
      </c>
      <c r="D1227">
        <v>7</v>
      </c>
      <c r="E1227">
        <v>3</v>
      </c>
      <c r="F1227">
        <v>1.765529331</v>
      </c>
      <c r="G1227">
        <v>0</v>
      </c>
      <c r="H1227">
        <v>49</v>
      </c>
      <c r="I1227">
        <v>20</v>
      </c>
      <c r="J1227">
        <v>2</v>
      </c>
      <c r="K1227">
        <v>0</v>
      </c>
    </row>
    <row r="1228" spans="1:11" x14ac:dyDescent="0.25">
      <c r="A1228">
        <v>22</v>
      </c>
      <c r="B1228">
        <v>0</v>
      </c>
      <c r="C1228">
        <v>3</v>
      </c>
      <c r="D1228">
        <v>10</v>
      </c>
      <c r="E1228">
        <v>3</v>
      </c>
      <c r="F1228">
        <v>40.028636290000001</v>
      </c>
      <c r="G1228">
        <v>49</v>
      </c>
      <c r="H1228">
        <v>36</v>
      </c>
      <c r="I1228">
        <v>23</v>
      </c>
      <c r="J1228">
        <v>2</v>
      </c>
      <c r="K1228">
        <v>0</v>
      </c>
    </row>
    <row r="1229" spans="1:11" x14ac:dyDescent="0.25">
      <c r="A1229">
        <v>38</v>
      </c>
      <c r="B1229">
        <v>0</v>
      </c>
      <c r="C1229">
        <v>4</v>
      </c>
      <c r="D1229">
        <v>9</v>
      </c>
      <c r="E1229">
        <v>4</v>
      </c>
      <c r="F1229">
        <v>19.080365919999998</v>
      </c>
      <c r="G1229">
        <v>85</v>
      </c>
      <c r="H1229">
        <v>81</v>
      </c>
      <c r="I1229">
        <v>2</v>
      </c>
      <c r="J1229">
        <v>2</v>
      </c>
      <c r="K1229">
        <v>1</v>
      </c>
    </row>
    <row r="1230" spans="1:11" x14ac:dyDescent="0.25">
      <c r="A1230">
        <v>34</v>
      </c>
      <c r="B1230">
        <v>1</v>
      </c>
      <c r="C1230">
        <v>2</v>
      </c>
      <c r="D1230">
        <v>14</v>
      </c>
      <c r="E1230">
        <v>3</v>
      </c>
      <c r="F1230">
        <v>21.320927050000002</v>
      </c>
      <c r="G1230">
        <v>10</v>
      </c>
      <c r="H1230">
        <v>61</v>
      </c>
      <c r="I1230">
        <v>94</v>
      </c>
      <c r="J1230">
        <v>2</v>
      </c>
      <c r="K1230">
        <v>0</v>
      </c>
    </row>
    <row r="1231" spans="1:11" x14ac:dyDescent="0.25">
      <c r="A1231">
        <v>44</v>
      </c>
      <c r="B1231">
        <v>0</v>
      </c>
      <c r="C1231">
        <v>3</v>
      </c>
      <c r="D1231">
        <v>10</v>
      </c>
      <c r="E1231">
        <v>1</v>
      </c>
      <c r="F1231">
        <v>41.468477219999997</v>
      </c>
      <c r="G1231">
        <v>73</v>
      </c>
      <c r="H1231">
        <v>89</v>
      </c>
      <c r="I1231">
        <v>61</v>
      </c>
      <c r="J1231">
        <v>1</v>
      </c>
      <c r="K1231">
        <v>1</v>
      </c>
    </row>
    <row r="1232" spans="1:11" x14ac:dyDescent="0.25">
      <c r="A1232">
        <v>42</v>
      </c>
      <c r="B1232">
        <v>1</v>
      </c>
      <c r="C1232">
        <v>2</v>
      </c>
      <c r="D1232">
        <v>12</v>
      </c>
      <c r="E1232">
        <v>1</v>
      </c>
      <c r="F1232">
        <v>19.964169590000001</v>
      </c>
      <c r="G1232">
        <v>58</v>
      </c>
      <c r="H1232">
        <v>79</v>
      </c>
      <c r="I1232">
        <v>100</v>
      </c>
      <c r="J1232">
        <v>2</v>
      </c>
      <c r="K1232">
        <v>0</v>
      </c>
    </row>
    <row r="1233" spans="1:11" x14ac:dyDescent="0.25">
      <c r="A1233">
        <v>24</v>
      </c>
      <c r="B1233">
        <v>1</v>
      </c>
      <c r="C1233">
        <v>1</v>
      </c>
      <c r="D1233">
        <v>6</v>
      </c>
      <c r="E1233">
        <v>1</v>
      </c>
      <c r="F1233">
        <v>3.3612438249999999</v>
      </c>
      <c r="G1233">
        <v>61</v>
      </c>
      <c r="H1233">
        <v>71</v>
      </c>
      <c r="I1233">
        <v>1</v>
      </c>
      <c r="J1233">
        <v>2</v>
      </c>
      <c r="K1233">
        <v>0</v>
      </c>
    </row>
    <row r="1234" spans="1:11" x14ac:dyDescent="0.25">
      <c r="A1234">
        <v>47</v>
      </c>
      <c r="B1234">
        <v>1</v>
      </c>
      <c r="C1234">
        <v>2</v>
      </c>
      <c r="D1234">
        <v>4</v>
      </c>
      <c r="E1234">
        <v>3</v>
      </c>
      <c r="F1234">
        <v>9.821988524</v>
      </c>
      <c r="G1234">
        <v>80</v>
      </c>
      <c r="H1234">
        <v>87</v>
      </c>
      <c r="I1234">
        <v>65</v>
      </c>
      <c r="J1234">
        <v>2</v>
      </c>
      <c r="K1234">
        <v>0</v>
      </c>
    </row>
    <row r="1235" spans="1:11" x14ac:dyDescent="0.25">
      <c r="A1235">
        <v>29</v>
      </c>
      <c r="B1235">
        <v>1</v>
      </c>
      <c r="C1235">
        <v>2</v>
      </c>
      <c r="D1235">
        <v>0</v>
      </c>
      <c r="E1235">
        <v>1</v>
      </c>
      <c r="F1235">
        <v>48.795158620000002</v>
      </c>
      <c r="G1235">
        <v>35</v>
      </c>
      <c r="H1235">
        <v>76</v>
      </c>
      <c r="I1235">
        <v>41</v>
      </c>
      <c r="J1235">
        <v>1</v>
      </c>
      <c r="K1235">
        <v>0</v>
      </c>
    </row>
    <row r="1236" spans="1:11" x14ac:dyDescent="0.25">
      <c r="A1236">
        <v>26</v>
      </c>
      <c r="B1236">
        <v>0</v>
      </c>
      <c r="C1236">
        <v>4</v>
      </c>
      <c r="D1236">
        <v>11</v>
      </c>
      <c r="E1236">
        <v>4</v>
      </c>
      <c r="F1236">
        <v>4.5202681199999999</v>
      </c>
      <c r="G1236">
        <v>55</v>
      </c>
      <c r="H1236">
        <v>28</v>
      </c>
      <c r="I1236">
        <v>33</v>
      </c>
      <c r="J1236">
        <v>2</v>
      </c>
      <c r="K1236">
        <v>0</v>
      </c>
    </row>
    <row r="1237" spans="1:11" x14ac:dyDescent="0.25">
      <c r="A1237">
        <v>44</v>
      </c>
      <c r="B1237">
        <v>1</v>
      </c>
      <c r="C1237">
        <v>2</v>
      </c>
      <c r="D1237">
        <v>8</v>
      </c>
      <c r="E1237">
        <v>3</v>
      </c>
      <c r="F1237">
        <v>18.746560049999999</v>
      </c>
      <c r="G1237">
        <v>89</v>
      </c>
      <c r="H1237">
        <v>31</v>
      </c>
      <c r="I1237">
        <v>41</v>
      </c>
      <c r="J1237">
        <v>1</v>
      </c>
      <c r="K1237">
        <v>1</v>
      </c>
    </row>
    <row r="1238" spans="1:11" x14ac:dyDescent="0.25">
      <c r="A1238">
        <v>36</v>
      </c>
      <c r="B1238">
        <v>1</v>
      </c>
      <c r="C1238">
        <v>2</v>
      </c>
      <c r="D1238">
        <v>12</v>
      </c>
      <c r="E1238">
        <v>5</v>
      </c>
      <c r="F1238">
        <v>26.158958349999999</v>
      </c>
      <c r="G1238">
        <v>20</v>
      </c>
      <c r="H1238">
        <v>87</v>
      </c>
      <c r="I1238">
        <v>19</v>
      </c>
      <c r="J1238">
        <v>2</v>
      </c>
      <c r="K1238">
        <v>0</v>
      </c>
    </row>
    <row r="1239" spans="1:11" x14ac:dyDescent="0.25">
      <c r="A1239">
        <v>26</v>
      </c>
      <c r="B1239">
        <v>1</v>
      </c>
      <c r="C1239">
        <v>1</v>
      </c>
      <c r="D1239">
        <v>15</v>
      </c>
      <c r="E1239">
        <v>3</v>
      </c>
      <c r="F1239">
        <v>25.66404137</v>
      </c>
      <c r="G1239">
        <v>12</v>
      </c>
      <c r="H1239">
        <v>79</v>
      </c>
      <c r="I1239">
        <v>96</v>
      </c>
      <c r="J1239">
        <v>2</v>
      </c>
      <c r="K1239">
        <v>0</v>
      </c>
    </row>
    <row r="1240" spans="1:11" x14ac:dyDescent="0.25">
      <c r="A1240">
        <v>41</v>
      </c>
      <c r="B1240">
        <v>0</v>
      </c>
      <c r="C1240">
        <v>2</v>
      </c>
      <c r="D1240">
        <v>6</v>
      </c>
      <c r="E1240">
        <v>4</v>
      </c>
      <c r="F1240">
        <v>1.197997151</v>
      </c>
      <c r="G1240">
        <v>8</v>
      </c>
      <c r="H1240">
        <v>10</v>
      </c>
      <c r="I1240">
        <v>67</v>
      </c>
      <c r="J1240">
        <v>1</v>
      </c>
      <c r="K1240">
        <v>1</v>
      </c>
    </row>
    <row r="1241" spans="1:11" x14ac:dyDescent="0.25">
      <c r="A1241">
        <v>45</v>
      </c>
      <c r="B1241">
        <v>0</v>
      </c>
      <c r="C1241">
        <v>2</v>
      </c>
      <c r="D1241">
        <v>1</v>
      </c>
      <c r="E1241">
        <v>5</v>
      </c>
      <c r="F1241">
        <v>26.058136569999998</v>
      </c>
      <c r="G1241">
        <v>10</v>
      </c>
      <c r="H1241">
        <v>95</v>
      </c>
      <c r="I1241">
        <v>44</v>
      </c>
      <c r="J1241">
        <v>2</v>
      </c>
      <c r="K1241">
        <v>0</v>
      </c>
    </row>
    <row r="1242" spans="1:11" x14ac:dyDescent="0.25">
      <c r="A1242">
        <v>49</v>
      </c>
      <c r="B1242">
        <v>0</v>
      </c>
      <c r="C1242">
        <v>3</v>
      </c>
      <c r="D1242">
        <v>5</v>
      </c>
      <c r="E1242">
        <v>3</v>
      </c>
      <c r="F1242">
        <v>20.188622899999999</v>
      </c>
      <c r="G1242">
        <v>74</v>
      </c>
      <c r="H1242">
        <v>5</v>
      </c>
      <c r="I1242">
        <v>74</v>
      </c>
      <c r="J1242">
        <v>2</v>
      </c>
      <c r="K1242">
        <v>0</v>
      </c>
    </row>
    <row r="1243" spans="1:11" x14ac:dyDescent="0.25">
      <c r="A1243">
        <v>31</v>
      </c>
      <c r="B1243">
        <v>1</v>
      </c>
      <c r="C1243">
        <v>2</v>
      </c>
      <c r="D1243">
        <v>1</v>
      </c>
      <c r="E1243">
        <v>1</v>
      </c>
      <c r="F1243">
        <v>49.60396677</v>
      </c>
      <c r="G1243">
        <v>69</v>
      </c>
      <c r="H1243">
        <v>34</v>
      </c>
      <c r="I1243">
        <v>41</v>
      </c>
      <c r="J1243">
        <v>1</v>
      </c>
      <c r="K1243">
        <v>0</v>
      </c>
    </row>
    <row r="1244" spans="1:11" x14ac:dyDescent="0.25">
      <c r="A1244">
        <v>44</v>
      </c>
      <c r="B1244">
        <v>1</v>
      </c>
      <c r="C1244">
        <v>4</v>
      </c>
      <c r="D1244">
        <v>14</v>
      </c>
      <c r="E1244">
        <v>2</v>
      </c>
      <c r="F1244">
        <v>8.9579541999999996</v>
      </c>
      <c r="G1244">
        <v>0</v>
      </c>
      <c r="H1244">
        <v>32</v>
      </c>
      <c r="I1244">
        <v>46</v>
      </c>
      <c r="J1244">
        <v>1</v>
      </c>
      <c r="K1244">
        <v>1</v>
      </c>
    </row>
    <row r="1245" spans="1:11" x14ac:dyDescent="0.25">
      <c r="A1245">
        <v>36</v>
      </c>
      <c r="B1245">
        <v>0</v>
      </c>
      <c r="C1245">
        <v>4</v>
      </c>
      <c r="D1245">
        <v>0</v>
      </c>
      <c r="E1245">
        <v>2</v>
      </c>
      <c r="F1245">
        <v>18.70770984</v>
      </c>
      <c r="G1245">
        <v>69</v>
      </c>
      <c r="H1245">
        <v>17</v>
      </c>
      <c r="I1245">
        <v>4</v>
      </c>
      <c r="J1245">
        <v>3</v>
      </c>
      <c r="K1245">
        <v>0</v>
      </c>
    </row>
    <row r="1246" spans="1:11" x14ac:dyDescent="0.25">
      <c r="A1246">
        <v>32</v>
      </c>
      <c r="B1246">
        <v>1</v>
      </c>
      <c r="C1246">
        <v>2</v>
      </c>
      <c r="D1246">
        <v>13</v>
      </c>
      <c r="E1246">
        <v>1</v>
      </c>
      <c r="F1246">
        <v>21.974074250000001</v>
      </c>
      <c r="G1246">
        <v>76</v>
      </c>
      <c r="H1246">
        <v>36</v>
      </c>
      <c r="I1246">
        <v>88</v>
      </c>
      <c r="J1246">
        <v>2</v>
      </c>
      <c r="K1246">
        <v>0</v>
      </c>
    </row>
    <row r="1247" spans="1:11" x14ac:dyDescent="0.25">
      <c r="A1247">
        <v>39</v>
      </c>
      <c r="B1247">
        <v>0</v>
      </c>
      <c r="C1247">
        <v>4</v>
      </c>
      <c r="D1247">
        <v>6</v>
      </c>
      <c r="E1247">
        <v>2</v>
      </c>
      <c r="F1247">
        <v>20.534676860000001</v>
      </c>
      <c r="G1247">
        <v>85</v>
      </c>
      <c r="H1247">
        <v>12</v>
      </c>
      <c r="I1247">
        <v>48</v>
      </c>
      <c r="J1247">
        <v>3</v>
      </c>
      <c r="K1247">
        <v>0</v>
      </c>
    </row>
    <row r="1248" spans="1:11" x14ac:dyDescent="0.25">
      <c r="A1248">
        <v>44</v>
      </c>
      <c r="B1248">
        <v>0</v>
      </c>
      <c r="C1248">
        <v>3</v>
      </c>
      <c r="D1248">
        <v>12</v>
      </c>
      <c r="E1248">
        <v>2</v>
      </c>
      <c r="F1248">
        <v>34.291541379999998</v>
      </c>
      <c r="G1248">
        <v>55</v>
      </c>
      <c r="H1248">
        <v>73</v>
      </c>
      <c r="I1248">
        <v>36</v>
      </c>
      <c r="J1248">
        <v>2</v>
      </c>
      <c r="K1248">
        <v>0</v>
      </c>
    </row>
    <row r="1249" spans="1:11" x14ac:dyDescent="0.25">
      <c r="A1249">
        <v>23</v>
      </c>
      <c r="B1249">
        <v>1</v>
      </c>
      <c r="C1249">
        <v>2</v>
      </c>
      <c r="D1249">
        <v>15</v>
      </c>
      <c r="E1249">
        <v>1</v>
      </c>
      <c r="F1249">
        <v>11.775642879999999</v>
      </c>
      <c r="G1249">
        <v>30</v>
      </c>
      <c r="H1249">
        <v>100</v>
      </c>
      <c r="I1249">
        <v>33</v>
      </c>
      <c r="J1249">
        <v>2</v>
      </c>
      <c r="K1249">
        <v>0</v>
      </c>
    </row>
    <row r="1250" spans="1:11" x14ac:dyDescent="0.25">
      <c r="A1250">
        <v>29</v>
      </c>
      <c r="B1250">
        <v>1</v>
      </c>
      <c r="C1250">
        <v>1</v>
      </c>
      <c r="D1250">
        <v>1</v>
      </c>
      <c r="E1250">
        <v>1</v>
      </c>
      <c r="F1250">
        <v>12.05357764</v>
      </c>
      <c r="G1250">
        <v>85</v>
      </c>
      <c r="H1250">
        <v>89</v>
      </c>
      <c r="I1250">
        <v>72</v>
      </c>
      <c r="J1250">
        <v>2</v>
      </c>
      <c r="K1250">
        <v>0</v>
      </c>
    </row>
    <row r="1251" spans="1:11" x14ac:dyDescent="0.25">
      <c r="A1251">
        <v>22</v>
      </c>
      <c r="B1251">
        <v>1</v>
      </c>
      <c r="C1251">
        <v>2</v>
      </c>
      <c r="D1251">
        <v>12</v>
      </c>
      <c r="E1251">
        <v>3</v>
      </c>
      <c r="F1251">
        <v>37.460547429999998</v>
      </c>
      <c r="G1251">
        <v>36</v>
      </c>
      <c r="H1251">
        <v>80</v>
      </c>
      <c r="I1251">
        <v>69</v>
      </c>
      <c r="J1251">
        <v>2</v>
      </c>
      <c r="K1251">
        <v>0</v>
      </c>
    </row>
    <row r="1252" spans="1:11" x14ac:dyDescent="0.25">
      <c r="A1252">
        <v>28</v>
      </c>
      <c r="B1252">
        <v>1</v>
      </c>
      <c r="C1252">
        <v>2</v>
      </c>
      <c r="D1252">
        <v>13</v>
      </c>
      <c r="E1252">
        <v>3</v>
      </c>
      <c r="F1252">
        <v>26.014525930000001</v>
      </c>
      <c r="G1252">
        <v>46</v>
      </c>
      <c r="H1252">
        <v>63</v>
      </c>
      <c r="I1252">
        <v>17</v>
      </c>
      <c r="J1252">
        <v>1</v>
      </c>
      <c r="K1252">
        <v>1</v>
      </c>
    </row>
    <row r="1253" spans="1:11" x14ac:dyDescent="0.25">
      <c r="A1253">
        <v>32</v>
      </c>
      <c r="B1253">
        <v>0</v>
      </c>
      <c r="C1253">
        <v>3</v>
      </c>
      <c r="D1253">
        <v>13</v>
      </c>
      <c r="E1253">
        <v>1</v>
      </c>
      <c r="F1253">
        <v>21.757783799999999</v>
      </c>
      <c r="G1253">
        <v>90</v>
      </c>
      <c r="H1253">
        <v>0</v>
      </c>
      <c r="I1253">
        <v>77</v>
      </c>
      <c r="J1253">
        <v>2</v>
      </c>
      <c r="K1253">
        <v>1</v>
      </c>
    </row>
    <row r="1254" spans="1:11" x14ac:dyDescent="0.25">
      <c r="A1254">
        <v>37</v>
      </c>
      <c r="B1254">
        <v>0</v>
      </c>
      <c r="C1254">
        <v>2</v>
      </c>
      <c r="D1254">
        <v>1</v>
      </c>
      <c r="E1254">
        <v>4</v>
      </c>
      <c r="F1254">
        <v>9.4601525839999994</v>
      </c>
      <c r="G1254">
        <v>77</v>
      </c>
      <c r="H1254">
        <v>62</v>
      </c>
      <c r="I1254">
        <v>18</v>
      </c>
      <c r="J1254">
        <v>2</v>
      </c>
      <c r="K1254">
        <v>0</v>
      </c>
    </row>
    <row r="1255" spans="1:11" x14ac:dyDescent="0.25">
      <c r="A1255">
        <v>34</v>
      </c>
      <c r="B1255">
        <v>0</v>
      </c>
      <c r="C1255">
        <v>3</v>
      </c>
      <c r="D1255">
        <v>12</v>
      </c>
      <c r="E1255">
        <v>2</v>
      </c>
      <c r="F1255">
        <v>10.376361149999999</v>
      </c>
      <c r="G1255">
        <v>46</v>
      </c>
      <c r="H1255">
        <v>88</v>
      </c>
      <c r="I1255">
        <v>77</v>
      </c>
      <c r="J1255">
        <v>1</v>
      </c>
      <c r="K1255">
        <v>1</v>
      </c>
    </row>
    <row r="1256" spans="1:11" x14ac:dyDescent="0.25">
      <c r="A1256">
        <v>23</v>
      </c>
      <c r="B1256">
        <v>0</v>
      </c>
      <c r="C1256">
        <v>2</v>
      </c>
      <c r="D1256">
        <v>10</v>
      </c>
      <c r="E1256">
        <v>3</v>
      </c>
      <c r="F1256">
        <v>1.5275818409999999</v>
      </c>
      <c r="G1256">
        <v>68</v>
      </c>
      <c r="H1256">
        <v>33</v>
      </c>
      <c r="I1256">
        <v>39</v>
      </c>
      <c r="J1256">
        <v>1</v>
      </c>
      <c r="K1256">
        <v>0</v>
      </c>
    </row>
    <row r="1257" spans="1:11" x14ac:dyDescent="0.25">
      <c r="A1257">
        <v>34</v>
      </c>
      <c r="B1257">
        <v>0</v>
      </c>
      <c r="C1257">
        <v>1</v>
      </c>
      <c r="D1257">
        <v>4</v>
      </c>
      <c r="E1257">
        <v>2</v>
      </c>
      <c r="F1257">
        <v>5.5713134430000002</v>
      </c>
      <c r="G1257">
        <v>57</v>
      </c>
      <c r="H1257">
        <v>9</v>
      </c>
      <c r="I1257">
        <v>16</v>
      </c>
      <c r="J1257">
        <v>1</v>
      </c>
      <c r="K1257">
        <v>0</v>
      </c>
    </row>
    <row r="1258" spans="1:11" x14ac:dyDescent="0.25">
      <c r="A1258">
        <v>41</v>
      </c>
      <c r="B1258">
        <v>1</v>
      </c>
      <c r="C1258">
        <v>4</v>
      </c>
      <c r="D1258">
        <v>13</v>
      </c>
      <c r="E1258">
        <v>5</v>
      </c>
      <c r="F1258">
        <v>28.841934729999998</v>
      </c>
      <c r="G1258">
        <v>35</v>
      </c>
      <c r="H1258">
        <v>83</v>
      </c>
      <c r="I1258">
        <v>59</v>
      </c>
      <c r="J1258">
        <v>2</v>
      </c>
      <c r="K1258">
        <v>0</v>
      </c>
    </row>
    <row r="1259" spans="1:11" x14ac:dyDescent="0.25">
      <c r="A1259">
        <v>21</v>
      </c>
      <c r="B1259">
        <v>0</v>
      </c>
      <c r="C1259">
        <v>2</v>
      </c>
      <c r="D1259">
        <v>4</v>
      </c>
      <c r="E1259">
        <v>1</v>
      </c>
      <c r="F1259">
        <v>45.593656500000002</v>
      </c>
      <c r="G1259">
        <v>31</v>
      </c>
      <c r="H1259">
        <v>6</v>
      </c>
      <c r="I1259">
        <v>98</v>
      </c>
      <c r="J1259">
        <v>2</v>
      </c>
      <c r="K1259">
        <v>0</v>
      </c>
    </row>
    <row r="1260" spans="1:11" x14ac:dyDescent="0.25">
      <c r="A1260">
        <v>34</v>
      </c>
      <c r="B1260">
        <v>0</v>
      </c>
      <c r="C1260">
        <v>2</v>
      </c>
      <c r="D1260">
        <v>15</v>
      </c>
      <c r="E1260">
        <v>4</v>
      </c>
      <c r="F1260">
        <v>15.35823826</v>
      </c>
      <c r="G1260">
        <v>97</v>
      </c>
      <c r="H1260">
        <v>55</v>
      </c>
      <c r="I1260">
        <v>92</v>
      </c>
      <c r="J1260">
        <v>3</v>
      </c>
      <c r="K1260">
        <v>1</v>
      </c>
    </row>
    <row r="1261" spans="1:11" x14ac:dyDescent="0.25">
      <c r="A1261">
        <v>27</v>
      </c>
      <c r="B1261">
        <v>0</v>
      </c>
      <c r="C1261">
        <v>2</v>
      </c>
      <c r="D1261">
        <v>6</v>
      </c>
      <c r="E1261">
        <v>5</v>
      </c>
      <c r="F1261">
        <v>17.387361290000001</v>
      </c>
      <c r="G1261">
        <v>63</v>
      </c>
      <c r="H1261">
        <v>79</v>
      </c>
      <c r="I1261">
        <v>41</v>
      </c>
      <c r="J1261">
        <v>1</v>
      </c>
      <c r="K1261">
        <v>1</v>
      </c>
    </row>
    <row r="1262" spans="1:11" x14ac:dyDescent="0.25">
      <c r="A1262">
        <v>27</v>
      </c>
      <c r="B1262">
        <v>1</v>
      </c>
      <c r="C1262">
        <v>1</v>
      </c>
      <c r="D1262">
        <v>0</v>
      </c>
      <c r="E1262">
        <v>5</v>
      </c>
      <c r="F1262">
        <v>6.7802805309999998</v>
      </c>
      <c r="G1262">
        <v>70</v>
      </c>
      <c r="H1262">
        <v>36</v>
      </c>
      <c r="I1262">
        <v>80</v>
      </c>
      <c r="J1262">
        <v>1</v>
      </c>
      <c r="K1262">
        <v>0</v>
      </c>
    </row>
    <row r="1263" spans="1:11" x14ac:dyDescent="0.25">
      <c r="A1263">
        <v>36</v>
      </c>
      <c r="B1263">
        <v>1</v>
      </c>
      <c r="C1263">
        <v>2</v>
      </c>
      <c r="D1263">
        <v>7</v>
      </c>
      <c r="E1263">
        <v>5</v>
      </c>
      <c r="F1263">
        <v>20.43154728</v>
      </c>
      <c r="G1263">
        <v>41</v>
      </c>
      <c r="H1263">
        <v>28</v>
      </c>
      <c r="I1263">
        <v>71</v>
      </c>
      <c r="J1263">
        <v>2</v>
      </c>
      <c r="K1263">
        <v>0</v>
      </c>
    </row>
    <row r="1264" spans="1:11" x14ac:dyDescent="0.25">
      <c r="A1264">
        <v>31</v>
      </c>
      <c r="B1264">
        <v>1</v>
      </c>
      <c r="C1264">
        <v>2</v>
      </c>
      <c r="D1264">
        <v>2</v>
      </c>
      <c r="E1264">
        <v>1</v>
      </c>
      <c r="F1264">
        <v>2.8610852279999999</v>
      </c>
      <c r="G1264">
        <v>47</v>
      </c>
      <c r="H1264">
        <v>11</v>
      </c>
      <c r="I1264">
        <v>64</v>
      </c>
      <c r="J1264">
        <v>3</v>
      </c>
      <c r="K1264">
        <v>0</v>
      </c>
    </row>
    <row r="1265" spans="1:11" x14ac:dyDescent="0.25">
      <c r="A1265">
        <v>38</v>
      </c>
      <c r="B1265">
        <v>1</v>
      </c>
      <c r="C1265">
        <v>2</v>
      </c>
      <c r="D1265">
        <v>3</v>
      </c>
      <c r="E1265">
        <v>3</v>
      </c>
      <c r="F1265">
        <v>46.880034809999998</v>
      </c>
      <c r="G1265">
        <v>73</v>
      </c>
      <c r="H1265">
        <v>16</v>
      </c>
      <c r="I1265">
        <v>52</v>
      </c>
      <c r="J1265">
        <v>1</v>
      </c>
      <c r="K1265">
        <v>0</v>
      </c>
    </row>
    <row r="1266" spans="1:11" x14ac:dyDescent="0.25">
      <c r="A1266">
        <v>29</v>
      </c>
      <c r="B1266">
        <v>0</v>
      </c>
      <c r="C1266">
        <v>4</v>
      </c>
      <c r="D1266">
        <v>14</v>
      </c>
      <c r="E1266">
        <v>1</v>
      </c>
      <c r="F1266">
        <v>34.655567410000003</v>
      </c>
      <c r="G1266">
        <v>80</v>
      </c>
      <c r="H1266">
        <v>47</v>
      </c>
      <c r="I1266">
        <v>99</v>
      </c>
      <c r="J1266">
        <v>2</v>
      </c>
      <c r="K1266">
        <v>1</v>
      </c>
    </row>
    <row r="1267" spans="1:11" x14ac:dyDescent="0.25">
      <c r="A1267">
        <v>28</v>
      </c>
      <c r="B1267">
        <v>0</v>
      </c>
      <c r="C1267">
        <v>2</v>
      </c>
      <c r="D1267">
        <v>8</v>
      </c>
      <c r="E1267">
        <v>3</v>
      </c>
      <c r="F1267">
        <v>50.53744047</v>
      </c>
      <c r="G1267">
        <v>29</v>
      </c>
      <c r="H1267">
        <v>83</v>
      </c>
      <c r="I1267">
        <v>6</v>
      </c>
      <c r="J1267">
        <v>2</v>
      </c>
      <c r="K1267">
        <v>0</v>
      </c>
    </row>
    <row r="1268" spans="1:11" x14ac:dyDescent="0.25">
      <c r="A1268">
        <v>24</v>
      </c>
      <c r="B1268">
        <v>1</v>
      </c>
      <c r="C1268">
        <v>2</v>
      </c>
      <c r="D1268">
        <v>3</v>
      </c>
      <c r="E1268">
        <v>5</v>
      </c>
      <c r="F1268">
        <v>45.141158130000001</v>
      </c>
      <c r="G1268">
        <v>20</v>
      </c>
      <c r="H1268">
        <v>25</v>
      </c>
      <c r="I1268">
        <v>4</v>
      </c>
      <c r="J1268">
        <v>1</v>
      </c>
      <c r="K1268">
        <v>0</v>
      </c>
    </row>
    <row r="1269" spans="1:11" x14ac:dyDescent="0.25">
      <c r="A1269">
        <v>25</v>
      </c>
      <c r="B1269">
        <v>1</v>
      </c>
      <c r="C1269">
        <v>2</v>
      </c>
      <c r="D1269">
        <v>9</v>
      </c>
      <c r="E1269">
        <v>5</v>
      </c>
      <c r="F1269">
        <v>24.649529680000001</v>
      </c>
      <c r="G1269">
        <v>59</v>
      </c>
      <c r="H1269">
        <v>82</v>
      </c>
      <c r="I1269">
        <v>23</v>
      </c>
      <c r="J1269">
        <v>2</v>
      </c>
      <c r="K1269">
        <v>0</v>
      </c>
    </row>
    <row r="1270" spans="1:11" x14ac:dyDescent="0.25">
      <c r="A1270">
        <v>39</v>
      </c>
      <c r="B1270">
        <v>0</v>
      </c>
      <c r="C1270">
        <v>4</v>
      </c>
      <c r="D1270">
        <v>11</v>
      </c>
      <c r="E1270">
        <v>4</v>
      </c>
      <c r="F1270">
        <v>26.984251560000001</v>
      </c>
      <c r="G1270">
        <v>12</v>
      </c>
      <c r="H1270">
        <v>11</v>
      </c>
      <c r="I1270">
        <v>27</v>
      </c>
      <c r="J1270">
        <v>1</v>
      </c>
      <c r="K1270">
        <v>1</v>
      </c>
    </row>
    <row r="1271" spans="1:11" x14ac:dyDescent="0.25">
      <c r="A1271">
        <v>45</v>
      </c>
      <c r="B1271">
        <v>0</v>
      </c>
      <c r="C1271">
        <v>1</v>
      </c>
      <c r="D1271">
        <v>14</v>
      </c>
      <c r="E1271">
        <v>3</v>
      </c>
      <c r="F1271">
        <v>10.52880233</v>
      </c>
      <c r="G1271">
        <v>0</v>
      </c>
      <c r="H1271">
        <v>20</v>
      </c>
      <c r="I1271">
        <v>61</v>
      </c>
      <c r="J1271">
        <v>3</v>
      </c>
      <c r="K1271">
        <v>0</v>
      </c>
    </row>
    <row r="1272" spans="1:11" x14ac:dyDescent="0.25">
      <c r="A1272">
        <v>21</v>
      </c>
      <c r="B1272">
        <v>1</v>
      </c>
      <c r="C1272">
        <v>2</v>
      </c>
      <c r="D1272">
        <v>4</v>
      </c>
      <c r="E1272">
        <v>5</v>
      </c>
      <c r="F1272">
        <v>24.101967139999999</v>
      </c>
      <c r="G1272">
        <v>64</v>
      </c>
      <c r="H1272">
        <v>41</v>
      </c>
      <c r="I1272">
        <v>16</v>
      </c>
      <c r="J1272">
        <v>2</v>
      </c>
      <c r="K1272">
        <v>0</v>
      </c>
    </row>
    <row r="1273" spans="1:11" x14ac:dyDescent="0.25">
      <c r="A1273">
        <v>46</v>
      </c>
      <c r="B1273">
        <v>1</v>
      </c>
      <c r="C1273">
        <v>1</v>
      </c>
      <c r="D1273">
        <v>6</v>
      </c>
      <c r="E1273">
        <v>2</v>
      </c>
      <c r="F1273">
        <v>46.151393669999997</v>
      </c>
      <c r="G1273">
        <v>32</v>
      </c>
      <c r="H1273">
        <v>60</v>
      </c>
      <c r="I1273">
        <v>100</v>
      </c>
      <c r="J1273">
        <v>2</v>
      </c>
      <c r="K1273">
        <v>0</v>
      </c>
    </row>
    <row r="1274" spans="1:11" x14ac:dyDescent="0.25">
      <c r="A1274">
        <v>43</v>
      </c>
      <c r="B1274">
        <v>1</v>
      </c>
      <c r="C1274">
        <v>1</v>
      </c>
      <c r="D1274">
        <v>15</v>
      </c>
      <c r="E1274">
        <v>4</v>
      </c>
      <c r="F1274">
        <v>3.5426711819999999</v>
      </c>
      <c r="G1274">
        <v>37</v>
      </c>
      <c r="H1274">
        <v>57</v>
      </c>
      <c r="I1274">
        <v>19</v>
      </c>
      <c r="J1274">
        <v>2</v>
      </c>
      <c r="K1274">
        <v>0</v>
      </c>
    </row>
    <row r="1275" spans="1:11" x14ac:dyDescent="0.25">
      <c r="A1275">
        <v>46</v>
      </c>
      <c r="B1275">
        <v>1</v>
      </c>
      <c r="C1275">
        <v>3</v>
      </c>
      <c r="D1275">
        <v>3</v>
      </c>
      <c r="E1275">
        <v>1</v>
      </c>
      <c r="F1275">
        <v>44.177840150000002</v>
      </c>
      <c r="G1275">
        <v>24</v>
      </c>
      <c r="H1275">
        <v>53</v>
      </c>
      <c r="I1275">
        <v>2</v>
      </c>
      <c r="J1275">
        <v>2</v>
      </c>
      <c r="K1275">
        <v>0</v>
      </c>
    </row>
    <row r="1276" spans="1:11" x14ac:dyDescent="0.25">
      <c r="A1276">
        <v>32</v>
      </c>
      <c r="B1276">
        <v>0</v>
      </c>
      <c r="C1276">
        <v>3</v>
      </c>
      <c r="D1276">
        <v>13</v>
      </c>
      <c r="E1276">
        <v>4</v>
      </c>
      <c r="F1276">
        <v>18.04739008</v>
      </c>
      <c r="G1276">
        <v>25</v>
      </c>
      <c r="H1276">
        <v>33</v>
      </c>
      <c r="I1276">
        <v>36</v>
      </c>
      <c r="J1276">
        <v>2</v>
      </c>
      <c r="K1276">
        <v>0</v>
      </c>
    </row>
    <row r="1277" spans="1:11" x14ac:dyDescent="0.25">
      <c r="A1277">
        <v>25</v>
      </c>
      <c r="B1277">
        <v>0</v>
      </c>
      <c r="C1277">
        <v>2</v>
      </c>
      <c r="D1277">
        <v>0</v>
      </c>
      <c r="E1277">
        <v>2</v>
      </c>
      <c r="F1277">
        <v>45.975638250000003</v>
      </c>
      <c r="G1277">
        <v>76</v>
      </c>
      <c r="H1277">
        <v>6</v>
      </c>
      <c r="I1277">
        <v>89</v>
      </c>
      <c r="J1277">
        <v>1</v>
      </c>
      <c r="K1277">
        <v>1</v>
      </c>
    </row>
    <row r="1278" spans="1:11" x14ac:dyDescent="0.25">
      <c r="A1278">
        <v>24</v>
      </c>
      <c r="B1278">
        <v>0</v>
      </c>
      <c r="C1278">
        <v>2</v>
      </c>
      <c r="D1278">
        <v>8</v>
      </c>
      <c r="E1278">
        <v>3</v>
      </c>
      <c r="F1278">
        <v>48.043995320000001</v>
      </c>
      <c r="G1278">
        <v>58</v>
      </c>
      <c r="H1278">
        <v>34</v>
      </c>
      <c r="I1278">
        <v>14</v>
      </c>
      <c r="J1278">
        <v>2</v>
      </c>
      <c r="K1278">
        <v>0</v>
      </c>
    </row>
    <row r="1279" spans="1:11" x14ac:dyDescent="0.25">
      <c r="A1279">
        <v>44</v>
      </c>
      <c r="B1279">
        <v>1</v>
      </c>
      <c r="C1279">
        <v>2</v>
      </c>
      <c r="D1279">
        <v>3</v>
      </c>
      <c r="E1279">
        <v>1</v>
      </c>
      <c r="F1279">
        <v>34.543244350000002</v>
      </c>
      <c r="G1279">
        <v>91</v>
      </c>
      <c r="H1279">
        <v>14</v>
      </c>
      <c r="I1279">
        <v>50</v>
      </c>
      <c r="J1279">
        <v>1</v>
      </c>
      <c r="K1279">
        <v>0</v>
      </c>
    </row>
    <row r="1280" spans="1:11" x14ac:dyDescent="0.25">
      <c r="A1280">
        <v>20</v>
      </c>
      <c r="B1280">
        <v>1</v>
      </c>
      <c r="C1280">
        <v>4</v>
      </c>
      <c r="D1280">
        <v>8</v>
      </c>
      <c r="E1280">
        <v>1</v>
      </c>
      <c r="F1280">
        <v>34.221189330000001</v>
      </c>
      <c r="G1280">
        <v>32</v>
      </c>
      <c r="H1280">
        <v>64</v>
      </c>
      <c r="I1280">
        <v>47</v>
      </c>
      <c r="J1280">
        <v>2</v>
      </c>
      <c r="K1280">
        <v>0</v>
      </c>
    </row>
    <row r="1281" spans="1:11" x14ac:dyDescent="0.25">
      <c r="A1281">
        <v>40</v>
      </c>
      <c r="B1281">
        <v>0</v>
      </c>
      <c r="C1281">
        <v>4</v>
      </c>
      <c r="D1281">
        <v>5</v>
      </c>
      <c r="E1281">
        <v>3</v>
      </c>
      <c r="F1281">
        <v>23.63771689</v>
      </c>
      <c r="G1281">
        <v>100</v>
      </c>
      <c r="H1281">
        <v>89</v>
      </c>
      <c r="I1281">
        <v>7</v>
      </c>
      <c r="J1281">
        <v>1</v>
      </c>
      <c r="K1281">
        <v>1</v>
      </c>
    </row>
    <row r="1282" spans="1:11" x14ac:dyDescent="0.25">
      <c r="A1282">
        <v>41</v>
      </c>
      <c r="B1282">
        <v>0</v>
      </c>
      <c r="C1282">
        <v>2</v>
      </c>
      <c r="D1282">
        <v>14</v>
      </c>
      <c r="E1282">
        <v>4</v>
      </c>
      <c r="F1282">
        <v>42.777011229999999</v>
      </c>
      <c r="G1282">
        <v>40</v>
      </c>
      <c r="H1282">
        <v>98</v>
      </c>
      <c r="I1282">
        <v>12</v>
      </c>
      <c r="J1282">
        <v>2</v>
      </c>
      <c r="K1282">
        <v>0</v>
      </c>
    </row>
    <row r="1283" spans="1:11" x14ac:dyDescent="0.25">
      <c r="A1283">
        <v>40</v>
      </c>
      <c r="B1283">
        <v>0</v>
      </c>
      <c r="C1283">
        <v>3</v>
      </c>
      <c r="D1283">
        <v>0</v>
      </c>
      <c r="E1283">
        <v>5</v>
      </c>
      <c r="F1283">
        <v>49.080637920000001</v>
      </c>
      <c r="G1283">
        <v>29</v>
      </c>
      <c r="H1283">
        <v>24</v>
      </c>
      <c r="I1283">
        <v>47</v>
      </c>
      <c r="J1283">
        <v>1</v>
      </c>
      <c r="K1283">
        <v>0</v>
      </c>
    </row>
    <row r="1284" spans="1:11" x14ac:dyDescent="0.25">
      <c r="A1284">
        <v>25</v>
      </c>
      <c r="B1284">
        <v>0</v>
      </c>
      <c r="C1284">
        <v>3</v>
      </c>
      <c r="D1284">
        <v>11</v>
      </c>
      <c r="E1284">
        <v>4</v>
      </c>
      <c r="F1284">
        <v>39.75409002</v>
      </c>
      <c r="G1284">
        <v>56</v>
      </c>
      <c r="H1284">
        <v>58</v>
      </c>
      <c r="I1284">
        <v>2</v>
      </c>
      <c r="J1284">
        <v>3</v>
      </c>
      <c r="K1284">
        <v>0</v>
      </c>
    </row>
    <row r="1285" spans="1:11" x14ac:dyDescent="0.25">
      <c r="A1285">
        <v>25</v>
      </c>
      <c r="B1285">
        <v>1</v>
      </c>
      <c r="C1285">
        <v>2</v>
      </c>
      <c r="D1285">
        <v>2</v>
      </c>
      <c r="E1285">
        <v>2</v>
      </c>
      <c r="F1285">
        <v>32.096836690000004</v>
      </c>
      <c r="G1285">
        <v>48</v>
      </c>
      <c r="H1285">
        <v>78</v>
      </c>
      <c r="I1285">
        <v>64</v>
      </c>
      <c r="J1285">
        <v>2</v>
      </c>
      <c r="K1285">
        <v>0</v>
      </c>
    </row>
    <row r="1286" spans="1:11" x14ac:dyDescent="0.25">
      <c r="A1286">
        <v>42</v>
      </c>
      <c r="B1286">
        <v>0</v>
      </c>
      <c r="C1286">
        <v>2</v>
      </c>
      <c r="D1286">
        <v>10</v>
      </c>
      <c r="E1286">
        <v>5</v>
      </c>
      <c r="F1286">
        <v>31.339644790000001</v>
      </c>
      <c r="G1286">
        <v>47</v>
      </c>
      <c r="H1286">
        <v>85</v>
      </c>
      <c r="I1286">
        <v>72</v>
      </c>
      <c r="J1286">
        <v>2</v>
      </c>
      <c r="K1286">
        <v>0</v>
      </c>
    </row>
    <row r="1287" spans="1:11" x14ac:dyDescent="0.25">
      <c r="A1287">
        <v>35</v>
      </c>
      <c r="B1287">
        <v>0</v>
      </c>
      <c r="C1287">
        <v>2</v>
      </c>
      <c r="D1287">
        <v>1</v>
      </c>
      <c r="E1287">
        <v>4</v>
      </c>
      <c r="F1287">
        <v>43.473495079999999</v>
      </c>
      <c r="G1287">
        <v>71</v>
      </c>
      <c r="H1287">
        <v>5</v>
      </c>
      <c r="I1287">
        <v>30</v>
      </c>
      <c r="J1287">
        <v>3</v>
      </c>
      <c r="K1287">
        <v>0</v>
      </c>
    </row>
    <row r="1288" spans="1:11" x14ac:dyDescent="0.25">
      <c r="A1288">
        <v>23</v>
      </c>
      <c r="B1288">
        <v>0</v>
      </c>
      <c r="C1288">
        <v>3</v>
      </c>
      <c r="D1288">
        <v>15</v>
      </c>
      <c r="E1288">
        <v>3</v>
      </c>
      <c r="F1288">
        <v>28.060188289999999</v>
      </c>
      <c r="G1288">
        <v>48</v>
      </c>
      <c r="H1288">
        <v>51</v>
      </c>
      <c r="I1288">
        <v>25</v>
      </c>
      <c r="J1288">
        <v>2</v>
      </c>
      <c r="K1288">
        <v>0</v>
      </c>
    </row>
    <row r="1289" spans="1:11" x14ac:dyDescent="0.25">
      <c r="A1289">
        <v>49</v>
      </c>
      <c r="B1289">
        <v>0</v>
      </c>
      <c r="C1289">
        <v>4</v>
      </c>
      <c r="D1289">
        <v>8</v>
      </c>
      <c r="E1289">
        <v>2</v>
      </c>
      <c r="F1289">
        <v>41.192994310000003</v>
      </c>
      <c r="G1289">
        <v>46</v>
      </c>
      <c r="H1289">
        <v>78</v>
      </c>
      <c r="I1289">
        <v>80</v>
      </c>
      <c r="J1289">
        <v>3</v>
      </c>
      <c r="K1289">
        <v>1</v>
      </c>
    </row>
    <row r="1290" spans="1:11" x14ac:dyDescent="0.25">
      <c r="A1290">
        <v>30</v>
      </c>
      <c r="B1290">
        <v>0</v>
      </c>
      <c r="C1290">
        <v>3</v>
      </c>
      <c r="D1290">
        <v>15</v>
      </c>
      <c r="E1290">
        <v>2</v>
      </c>
      <c r="F1290">
        <v>26.444262760000001</v>
      </c>
      <c r="G1290">
        <v>55</v>
      </c>
      <c r="H1290">
        <v>87</v>
      </c>
      <c r="I1290">
        <v>55</v>
      </c>
      <c r="J1290">
        <v>1</v>
      </c>
      <c r="K1290">
        <v>1</v>
      </c>
    </row>
    <row r="1291" spans="1:11" x14ac:dyDescent="0.25">
      <c r="A1291">
        <v>49</v>
      </c>
      <c r="B1291">
        <v>0</v>
      </c>
      <c r="C1291">
        <v>3</v>
      </c>
      <c r="D1291">
        <v>14</v>
      </c>
      <c r="E1291">
        <v>2</v>
      </c>
      <c r="F1291">
        <v>4.1222137490000001</v>
      </c>
      <c r="G1291">
        <v>64</v>
      </c>
      <c r="H1291">
        <v>20</v>
      </c>
      <c r="I1291">
        <v>33</v>
      </c>
      <c r="J1291">
        <v>2</v>
      </c>
      <c r="K1291">
        <v>0</v>
      </c>
    </row>
    <row r="1292" spans="1:11" x14ac:dyDescent="0.25">
      <c r="A1292">
        <v>49</v>
      </c>
      <c r="B1292">
        <v>0</v>
      </c>
      <c r="C1292">
        <v>2</v>
      </c>
      <c r="D1292">
        <v>11</v>
      </c>
      <c r="E1292">
        <v>5</v>
      </c>
      <c r="F1292">
        <v>20.197350449999998</v>
      </c>
      <c r="G1292">
        <v>11</v>
      </c>
      <c r="H1292">
        <v>70</v>
      </c>
      <c r="I1292">
        <v>8</v>
      </c>
      <c r="J1292">
        <v>2</v>
      </c>
      <c r="K1292">
        <v>0</v>
      </c>
    </row>
    <row r="1293" spans="1:11" x14ac:dyDescent="0.25">
      <c r="A1293">
        <v>49</v>
      </c>
      <c r="B1293">
        <v>1</v>
      </c>
      <c r="C1293">
        <v>3</v>
      </c>
      <c r="D1293">
        <v>0</v>
      </c>
      <c r="E1293">
        <v>1</v>
      </c>
      <c r="F1293">
        <v>23.222047880000002</v>
      </c>
      <c r="G1293">
        <v>68</v>
      </c>
      <c r="H1293">
        <v>92</v>
      </c>
      <c r="I1293">
        <v>61</v>
      </c>
      <c r="J1293">
        <v>3</v>
      </c>
      <c r="K1293">
        <v>0</v>
      </c>
    </row>
    <row r="1294" spans="1:11" x14ac:dyDescent="0.25">
      <c r="A1294">
        <v>50</v>
      </c>
      <c r="B1294">
        <v>1</v>
      </c>
      <c r="C1294">
        <v>3</v>
      </c>
      <c r="D1294">
        <v>12</v>
      </c>
      <c r="E1294">
        <v>5</v>
      </c>
      <c r="F1294">
        <v>8.0808622490000008</v>
      </c>
      <c r="G1294">
        <v>87</v>
      </c>
      <c r="H1294">
        <v>95</v>
      </c>
      <c r="I1294">
        <v>12</v>
      </c>
      <c r="J1294">
        <v>1</v>
      </c>
      <c r="K1294">
        <v>1</v>
      </c>
    </row>
    <row r="1295" spans="1:11" x14ac:dyDescent="0.25">
      <c r="A1295">
        <v>43</v>
      </c>
      <c r="B1295">
        <v>1</v>
      </c>
      <c r="C1295">
        <v>2</v>
      </c>
      <c r="D1295">
        <v>13</v>
      </c>
      <c r="E1295">
        <v>4</v>
      </c>
      <c r="F1295">
        <v>6.1248164589999998</v>
      </c>
      <c r="G1295">
        <v>5</v>
      </c>
      <c r="H1295">
        <v>31</v>
      </c>
      <c r="I1295">
        <v>68</v>
      </c>
      <c r="J1295">
        <v>3</v>
      </c>
      <c r="K1295">
        <v>0</v>
      </c>
    </row>
    <row r="1296" spans="1:11" x14ac:dyDescent="0.25">
      <c r="A1296">
        <v>42</v>
      </c>
      <c r="B1296">
        <v>1</v>
      </c>
      <c r="C1296">
        <v>2</v>
      </c>
      <c r="D1296">
        <v>8</v>
      </c>
      <c r="E1296">
        <v>1</v>
      </c>
      <c r="F1296">
        <v>27.773247479999998</v>
      </c>
      <c r="G1296">
        <v>88</v>
      </c>
      <c r="H1296">
        <v>52</v>
      </c>
      <c r="I1296">
        <v>40</v>
      </c>
      <c r="J1296">
        <v>2</v>
      </c>
      <c r="K1296">
        <v>0</v>
      </c>
    </row>
    <row r="1297" spans="1:11" x14ac:dyDescent="0.25">
      <c r="A1297">
        <v>28</v>
      </c>
      <c r="B1297">
        <v>0</v>
      </c>
      <c r="C1297">
        <v>3</v>
      </c>
      <c r="D1297">
        <v>8</v>
      </c>
      <c r="E1297">
        <v>4</v>
      </c>
      <c r="F1297">
        <v>5.2571818280000002</v>
      </c>
      <c r="G1297">
        <v>64</v>
      </c>
      <c r="H1297">
        <v>58</v>
      </c>
      <c r="I1297">
        <v>76</v>
      </c>
      <c r="J1297">
        <v>3</v>
      </c>
      <c r="K1297">
        <v>1</v>
      </c>
    </row>
    <row r="1298" spans="1:11" x14ac:dyDescent="0.25">
      <c r="A1298">
        <v>42</v>
      </c>
      <c r="B1298">
        <v>1</v>
      </c>
      <c r="C1298">
        <v>1</v>
      </c>
      <c r="D1298">
        <v>7</v>
      </c>
      <c r="E1298">
        <v>1</v>
      </c>
      <c r="F1298">
        <v>16.147258390000001</v>
      </c>
      <c r="G1298">
        <v>24</v>
      </c>
      <c r="H1298">
        <v>68</v>
      </c>
      <c r="I1298">
        <v>0</v>
      </c>
      <c r="J1298">
        <v>2</v>
      </c>
      <c r="K1298">
        <v>0</v>
      </c>
    </row>
    <row r="1299" spans="1:11" x14ac:dyDescent="0.25">
      <c r="A1299">
        <v>22</v>
      </c>
      <c r="B1299">
        <v>1</v>
      </c>
      <c r="C1299">
        <v>3</v>
      </c>
      <c r="D1299">
        <v>7</v>
      </c>
      <c r="E1299">
        <v>5</v>
      </c>
      <c r="F1299">
        <v>38.229848799999999</v>
      </c>
      <c r="G1299">
        <v>0</v>
      </c>
      <c r="H1299">
        <v>61</v>
      </c>
      <c r="I1299">
        <v>88</v>
      </c>
      <c r="J1299">
        <v>1</v>
      </c>
      <c r="K1299">
        <v>1</v>
      </c>
    </row>
    <row r="1300" spans="1:11" x14ac:dyDescent="0.25">
      <c r="A1300">
        <v>38</v>
      </c>
      <c r="B1300">
        <v>0</v>
      </c>
      <c r="C1300">
        <v>1</v>
      </c>
      <c r="D1300">
        <v>10</v>
      </c>
      <c r="E1300">
        <v>2</v>
      </c>
      <c r="F1300">
        <v>49.221608979999999</v>
      </c>
      <c r="G1300">
        <v>31</v>
      </c>
      <c r="H1300">
        <v>3</v>
      </c>
      <c r="I1300">
        <v>46</v>
      </c>
      <c r="J1300">
        <v>3</v>
      </c>
      <c r="K1300">
        <v>0</v>
      </c>
    </row>
    <row r="1301" spans="1:11" x14ac:dyDescent="0.25">
      <c r="A1301">
        <v>50</v>
      </c>
      <c r="B1301">
        <v>0</v>
      </c>
      <c r="C1301">
        <v>2</v>
      </c>
      <c r="D1301">
        <v>13</v>
      </c>
      <c r="E1301">
        <v>3</v>
      </c>
      <c r="F1301">
        <v>36.893529030000003</v>
      </c>
      <c r="G1301">
        <v>2</v>
      </c>
      <c r="H1301">
        <v>85</v>
      </c>
      <c r="I1301">
        <v>3</v>
      </c>
      <c r="J1301">
        <v>3</v>
      </c>
      <c r="K1301">
        <v>0</v>
      </c>
    </row>
    <row r="1302" spans="1:11" x14ac:dyDescent="0.25">
      <c r="A1302">
        <v>27</v>
      </c>
      <c r="B1302">
        <v>1</v>
      </c>
      <c r="C1302">
        <v>3</v>
      </c>
      <c r="D1302">
        <v>11</v>
      </c>
      <c r="E1302">
        <v>2</v>
      </c>
      <c r="F1302">
        <v>50.631277420000004</v>
      </c>
      <c r="G1302">
        <v>48</v>
      </c>
      <c r="H1302">
        <v>17</v>
      </c>
      <c r="I1302">
        <v>99</v>
      </c>
      <c r="J1302">
        <v>2</v>
      </c>
      <c r="K1302">
        <v>0</v>
      </c>
    </row>
    <row r="1303" spans="1:11" x14ac:dyDescent="0.25">
      <c r="A1303">
        <v>24</v>
      </c>
      <c r="B1303">
        <v>1</v>
      </c>
      <c r="C1303">
        <v>2</v>
      </c>
      <c r="D1303">
        <v>0</v>
      </c>
      <c r="E1303">
        <v>5</v>
      </c>
      <c r="F1303">
        <v>35.91689856</v>
      </c>
      <c r="G1303">
        <v>18</v>
      </c>
      <c r="H1303">
        <v>98</v>
      </c>
      <c r="I1303">
        <v>62</v>
      </c>
      <c r="J1303">
        <v>1</v>
      </c>
      <c r="K1303">
        <v>1</v>
      </c>
    </row>
    <row r="1304" spans="1:11" x14ac:dyDescent="0.25">
      <c r="A1304">
        <v>23</v>
      </c>
      <c r="B1304">
        <v>0</v>
      </c>
      <c r="C1304">
        <v>2</v>
      </c>
      <c r="D1304">
        <v>10</v>
      </c>
      <c r="E1304">
        <v>1</v>
      </c>
      <c r="F1304">
        <v>15.68972353</v>
      </c>
      <c r="G1304">
        <v>59</v>
      </c>
      <c r="H1304">
        <v>80</v>
      </c>
      <c r="I1304">
        <v>51</v>
      </c>
      <c r="J1304">
        <v>1</v>
      </c>
      <c r="K1304">
        <v>1</v>
      </c>
    </row>
    <row r="1305" spans="1:11" x14ac:dyDescent="0.25">
      <c r="A1305">
        <v>43</v>
      </c>
      <c r="B1305">
        <v>1</v>
      </c>
      <c r="C1305">
        <v>2</v>
      </c>
      <c r="D1305">
        <v>7</v>
      </c>
      <c r="E1305">
        <v>2</v>
      </c>
      <c r="F1305">
        <v>34.602627030000001</v>
      </c>
      <c r="G1305">
        <v>28</v>
      </c>
      <c r="H1305">
        <v>55</v>
      </c>
      <c r="I1305">
        <v>9</v>
      </c>
      <c r="J1305">
        <v>2</v>
      </c>
      <c r="K1305">
        <v>0</v>
      </c>
    </row>
    <row r="1306" spans="1:11" x14ac:dyDescent="0.25">
      <c r="A1306">
        <v>50</v>
      </c>
      <c r="B1306">
        <v>0</v>
      </c>
      <c r="C1306">
        <v>3</v>
      </c>
      <c r="D1306">
        <v>9</v>
      </c>
      <c r="E1306">
        <v>5</v>
      </c>
      <c r="F1306">
        <v>36.107838260000001</v>
      </c>
      <c r="G1306">
        <v>49</v>
      </c>
      <c r="H1306">
        <v>23</v>
      </c>
      <c r="I1306">
        <v>27</v>
      </c>
      <c r="J1306">
        <v>1</v>
      </c>
      <c r="K1306">
        <v>1</v>
      </c>
    </row>
    <row r="1307" spans="1:11" x14ac:dyDescent="0.25">
      <c r="A1307">
        <v>25</v>
      </c>
      <c r="B1307">
        <v>0</v>
      </c>
      <c r="C1307">
        <v>1</v>
      </c>
      <c r="D1307">
        <v>13</v>
      </c>
      <c r="E1307">
        <v>4</v>
      </c>
      <c r="F1307">
        <v>19.58634923</v>
      </c>
      <c r="G1307">
        <v>1</v>
      </c>
      <c r="H1307">
        <v>65</v>
      </c>
      <c r="I1307">
        <v>5</v>
      </c>
      <c r="J1307">
        <v>2</v>
      </c>
      <c r="K1307">
        <v>0</v>
      </c>
    </row>
    <row r="1308" spans="1:11" x14ac:dyDescent="0.25">
      <c r="A1308">
        <v>21</v>
      </c>
      <c r="B1308">
        <v>0</v>
      </c>
      <c r="C1308">
        <v>4</v>
      </c>
      <c r="D1308">
        <v>2</v>
      </c>
      <c r="E1308">
        <v>3</v>
      </c>
      <c r="F1308">
        <v>1.88569253</v>
      </c>
      <c r="G1308">
        <v>72</v>
      </c>
      <c r="H1308">
        <v>12</v>
      </c>
      <c r="I1308">
        <v>26</v>
      </c>
      <c r="J1308">
        <v>2</v>
      </c>
      <c r="K1308">
        <v>0</v>
      </c>
    </row>
    <row r="1309" spans="1:11" x14ac:dyDescent="0.25">
      <c r="A1309">
        <v>39</v>
      </c>
      <c r="B1309">
        <v>0</v>
      </c>
      <c r="C1309">
        <v>1</v>
      </c>
      <c r="D1309">
        <v>10</v>
      </c>
      <c r="E1309">
        <v>2</v>
      </c>
      <c r="F1309">
        <v>36.159989240000002</v>
      </c>
      <c r="G1309">
        <v>55</v>
      </c>
      <c r="H1309">
        <v>61</v>
      </c>
      <c r="I1309">
        <v>11</v>
      </c>
      <c r="J1309">
        <v>2</v>
      </c>
      <c r="K1309">
        <v>0</v>
      </c>
    </row>
    <row r="1310" spans="1:11" x14ac:dyDescent="0.25">
      <c r="A1310">
        <v>47</v>
      </c>
      <c r="B1310">
        <v>1</v>
      </c>
      <c r="C1310">
        <v>4</v>
      </c>
      <c r="D1310">
        <v>6</v>
      </c>
      <c r="E1310">
        <v>1</v>
      </c>
      <c r="F1310">
        <v>2.0850047639999998</v>
      </c>
      <c r="G1310">
        <v>16</v>
      </c>
      <c r="H1310">
        <v>53</v>
      </c>
      <c r="I1310">
        <v>61</v>
      </c>
      <c r="J1310">
        <v>1</v>
      </c>
      <c r="K1310">
        <v>1</v>
      </c>
    </row>
    <row r="1311" spans="1:11" x14ac:dyDescent="0.25">
      <c r="A1311">
        <v>30</v>
      </c>
      <c r="B1311">
        <v>0</v>
      </c>
      <c r="C1311">
        <v>4</v>
      </c>
      <c r="D1311">
        <v>10</v>
      </c>
      <c r="E1311">
        <v>4</v>
      </c>
      <c r="F1311">
        <v>32.5594039</v>
      </c>
      <c r="G1311">
        <v>59</v>
      </c>
      <c r="H1311">
        <v>14</v>
      </c>
      <c r="I1311">
        <v>51</v>
      </c>
      <c r="J1311">
        <v>2</v>
      </c>
      <c r="K1311">
        <v>0</v>
      </c>
    </row>
    <row r="1312" spans="1:11" x14ac:dyDescent="0.25">
      <c r="A1312">
        <v>23</v>
      </c>
      <c r="B1312">
        <v>0</v>
      </c>
      <c r="C1312">
        <v>2</v>
      </c>
      <c r="D1312">
        <v>14</v>
      </c>
      <c r="E1312">
        <v>5</v>
      </c>
      <c r="F1312">
        <v>9.1808244370000001</v>
      </c>
      <c r="G1312">
        <v>35</v>
      </c>
      <c r="H1312">
        <v>68</v>
      </c>
      <c r="I1312">
        <v>47</v>
      </c>
      <c r="J1312">
        <v>2</v>
      </c>
      <c r="K1312">
        <v>0</v>
      </c>
    </row>
    <row r="1313" spans="1:11" x14ac:dyDescent="0.25">
      <c r="A1313">
        <v>34</v>
      </c>
      <c r="B1313">
        <v>1</v>
      </c>
      <c r="C1313">
        <v>2</v>
      </c>
      <c r="D1313">
        <v>0</v>
      </c>
      <c r="E1313">
        <v>3</v>
      </c>
      <c r="F1313">
        <v>29.280176390000001</v>
      </c>
      <c r="G1313">
        <v>60</v>
      </c>
      <c r="H1313">
        <v>2</v>
      </c>
      <c r="I1313">
        <v>66</v>
      </c>
      <c r="J1313">
        <v>2</v>
      </c>
      <c r="K1313">
        <v>0</v>
      </c>
    </row>
    <row r="1314" spans="1:11" x14ac:dyDescent="0.25">
      <c r="A1314">
        <v>25</v>
      </c>
      <c r="B1314">
        <v>0</v>
      </c>
      <c r="C1314">
        <v>2</v>
      </c>
      <c r="D1314">
        <v>0</v>
      </c>
      <c r="E1314">
        <v>1</v>
      </c>
      <c r="F1314">
        <v>26.195651269999999</v>
      </c>
      <c r="G1314">
        <v>16</v>
      </c>
      <c r="H1314">
        <v>36</v>
      </c>
      <c r="I1314">
        <v>45</v>
      </c>
      <c r="J1314">
        <v>2</v>
      </c>
      <c r="K1314">
        <v>0</v>
      </c>
    </row>
    <row r="1315" spans="1:11" x14ac:dyDescent="0.25">
      <c r="A1315">
        <v>41</v>
      </c>
      <c r="B1315">
        <v>1</v>
      </c>
      <c r="C1315">
        <v>2</v>
      </c>
      <c r="D1315">
        <v>15</v>
      </c>
      <c r="E1315">
        <v>5</v>
      </c>
      <c r="F1315">
        <v>1.6756821150000001</v>
      </c>
      <c r="G1315">
        <v>48</v>
      </c>
      <c r="H1315">
        <v>36</v>
      </c>
      <c r="I1315">
        <v>96</v>
      </c>
      <c r="J1315">
        <v>2</v>
      </c>
      <c r="K1315">
        <v>0</v>
      </c>
    </row>
    <row r="1316" spans="1:11" x14ac:dyDescent="0.25">
      <c r="A1316">
        <v>36</v>
      </c>
      <c r="B1316">
        <v>1</v>
      </c>
      <c r="C1316">
        <v>1</v>
      </c>
      <c r="D1316">
        <v>9</v>
      </c>
      <c r="E1316">
        <v>5</v>
      </c>
      <c r="F1316">
        <v>19.14329085</v>
      </c>
      <c r="G1316">
        <v>75</v>
      </c>
      <c r="H1316">
        <v>100</v>
      </c>
      <c r="I1316">
        <v>73</v>
      </c>
      <c r="J1316">
        <v>2</v>
      </c>
      <c r="K1316">
        <v>1</v>
      </c>
    </row>
    <row r="1317" spans="1:11" x14ac:dyDescent="0.25">
      <c r="A1317">
        <v>49</v>
      </c>
      <c r="B1317">
        <v>1</v>
      </c>
      <c r="C1317">
        <v>1</v>
      </c>
      <c r="D1317">
        <v>12</v>
      </c>
      <c r="E1317">
        <v>2</v>
      </c>
      <c r="F1317">
        <v>31.054558369999999</v>
      </c>
      <c r="G1317">
        <v>59</v>
      </c>
      <c r="H1317">
        <v>2</v>
      </c>
      <c r="I1317">
        <v>94</v>
      </c>
      <c r="J1317">
        <v>3</v>
      </c>
      <c r="K1317">
        <v>0</v>
      </c>
    </row>
    <row r="1318" spans="1:11" x14ac:dyDescent="0.25">
      <c r="A1318">
        <v>43</v>
      </c>
      <c r="B1318">
        <v>0</v>
      </c>
      <c r="C1318">
        <v>1</v>
      </c>
      <c r="D1318">
        <v>4</v>
      </c>
      <c r="E1318">
        <v>2</v>
      </c>
      <c r="F1318">
        <v>43.430327589999997</v>
      </c>
      <c r="G1318">
        <v>19</v>
      </c>
      <c r="H1318">
        <v>62</v>
      </c>
      <c r="I1318">
        <v>14</v>
      </c>
      <c r="J1318">
        <v>2</v>
      </c>
      <c r="K1318">
        <v>0</v>
      </c>
    </row>
    <row r="1319" spans="1:11" x14ac:dyDescent="0.25">
      <c r="A1319">
        <v>25</v>
      </c>
      <c r="B1319">
        <v>1</v>
      </c>
      <c r="C1319">
        <v>2</v>
      </c>
      <c r="D1319">
        <v>4</v>
      </c>
      <c r="E1319">
        <v>1</v>
      </c>
      <c r="F1319">
        <v>45.43210569</v>
      </c>
      <c r="G1319">
        <v>49</v>
      </c>
      <c r="H1319">
        <v>34</v>
      </c>
      <c r="I1319">
        <v>70</v>
      </c>
      <c r="J1319">
        <v>3</v>
      </c>
      <c r="K1319">
        <v>0</v>
      </c>
    </row>
    <row r="1320" spans="1:11" x14ac:dyDescent="0.25">
      <c r="A1320">
        <v>38</v>
      </c>
      <c r="B1320">
        <v>1</v>
      </c>
      <c r="C1320">
        <v>2</v>
      </c>
      <c r="D1320">
        <v>7</v>
      </c>
      <c r="E1320">
        <v>5</v>
      </c>
      <c r="F1320">
        <v>25.192498499999999</v>
      </c>
      <c r="G1320">
        <v>2</v>
      </c>
      <c r="H1320">
        <v>51</v>
      </c>
      <c r="I1320">
        <v>35</v>
      </c>
      <c r="J1320">
        <v>2</v>
      </c>
      <c r="K1320">
        <v>0</v>
      </c>
    </row>
    <row r="1321" spans="1:11" x14ac:dyDescent="0.25">
      <c r="A1321">
        <v>49</v>
      </c>
      <c r="B1321">
        <v>0</v>
      </c>
      <c r="C1321">
        <v>2</v>
      </c>
      <c r="D1321">
        <v>6</v>
      </c>
      <c r="E1321">
        <v>2</v>
      </c>
      <c r="F1321">
        <v>37.42112436</v>
      </c>
      <c r="G1321">
        <v>42</v>
      </c>
      <c r="H1321">
        <v>86</v>
      </c>
      <c r="I1321">
        <v>13</v>
      </c>
      <c r="J1321">
        <v>2</v>
      </c>
      <c r="K1321">
        <v>0</v>
      </c>
    </row>
    <row r="1322" spans="1:11" x14ac:dyDescent="0.25">
      <c r="A1322">
        <v>44</v>
      </c>
      <c r="B1322">
        <v>1</v>
      </c>
      <c r="C1322">
        <v>4</v>
      </c>
      <c r="D1322">
        <v>7</v>
      </c>
      <c r="E1322">
        <v>3</v>
      </c>
      <c r="F1322">
        <v>16.822728829999999</v>
      </c>
      <c r="G1322">
        <v>56</v>
      </c>
      <c r="H1322">
        <v>27</v>
      </c>
      <c r="I1322">
        <v>77</v>
      </c>
      <c r="J1322">
        <v>1</v>
      </c>
      <c r="K1322">
        <v>1</v>
      </c>
    </row>
    <row r="1323" spans="1:11" x14ac:dyDescent="0.25">
      <c r="A1323">
        <v>21</v>
      </c>
      <c r="B1323">
        <v>1</v>
      </c>
      <c r="C1323">
        <v>2</v>
      </c>
      <c r="D1323">
        <v>5</v>
      </c>
      <c r="E1323">
        <v>3</v>
      </c>
      <c r="F1323">
        <v>18.109320289999999</v>
      </c>
      <c r="G1323">
        <v>49</v>
      </c>
      <c r="H1323">
        <v>93</v>
      </c>
      <c r="I1323">
        <v>2</v>
      </c>
      <c r="J1323">
        <v>2</v>
      </c>
      <c r="K1323">
        <v>0</v>
      </c>
    </row>
    <row r="1324" spans="1:11" x14ac:dyDescent="0.25">
      <c r="A1324">
        <v>34</v>
      </c>
      <c r="B1324">
        <v>1</v>
      </c>
      <c r="C1324">
        <v>2</v>
      </c>
      <c r="D1324">
        <v>5</v>
      </c>
      <c r="E1324">
        <v>5</v>
      </c>
      <c r="F1324">
        <v>10.723175960000001</v>
      </c>
      <c r="G1324">
        <v>67</v>
      </c>
      <c r="H1324">
        <v>17</v>
      </c>
      <c r="I1324">
        <v>66</v>
      </c>
      <c r="J1324">
        <v>2</v>
      </c>
      <c r="K1324">
        <v>0</v>
      </c>
    </row>
    <row r="1325" spans="1:11" x14ac:dyDescent="0.25">
      <c r="A1325">
        <v>30</v>
      </c>
      <c r="B1325">
        <v>1</v>
      </c>
      <c r="C1325">
        <v>2</v>
      </c>
      <c r="D1325">
        <v>1</v>
      </c>
      <c r="E1325">
        <v>2</v>
      </c>
      <c r="F1325">
        <v>29.097405500000001</v>
      </c>
      <c r="G1325">
        <v>80</v>
      </c>
      <c r="H1325">
        <v>35</v>
      </c>
      <c r="I1325">
        <v>85</v>
      </c>
      <c r="J1325">
        <v>1</v>
      </c>
      <c r="K1325">
        <v>1</v>
      </c>
    </row>
    <row r="1326" spans="1:11" x14ac:dyDescent="0.25">
      <c r="A1326">
        <v>27</v>
      </c>
      <c r="B1326">
        <v>1</v>
      </c>
      <c r="C1326">
        <v>3</v>
      </c>
      <c r="D1326">
        <v>5</v>
      </c>
      <c r="E1326">
        <v>1</v>
      </c>
      <c r="F1326">
        <v>16.72820755</v>
      </c>
      <c r="G1326">
        <v>49</v>
      </c>
      <c r="H1326">
        <v>32</v>
      </c>
      <c r="I1326">
        <v>18</v>
      </c>
      <c r="J1326">
        <v>2</v>
      </c>
      <c r="K1326">
        <v>0</v>
      </c>
    </row>
    <row r="1327" spans="1:11" x14ac:dyDescent="0.25">
      <c r="A1327">
        <v>45</v>
      </c>
      <c r="B1327">
        <v>0</v>
      </c>
      <c r="C1327">
        <v>4</v>
      </c>
      <c r="D1327">
        <v>4</v>
      </c>
      <c r="E1327">
        <v>1</v>
      </c>
      <c r="F1327">
        <v>5.2185448220000001</v>
      </c>
      <c r="G1327">
        <v>36</v>
      </c>
      <c r="H1327">
        <v>63</v>
      </c>
      <c r="I1327">
        <v>98</v>
      </c>
      <c r="J1327">
        <v>1</v>
      </c>
      <c r="K1327">
        <v>1</v>
      </c>
    </row>
    <row r="1328" spans="1:11" x14ac:dyDescent="0.25">
      <c r="A1328">
        <v>38</v>
      </c>
      <c r="B1328">
        <v>1</v>
      </c>
      <c r="C1328">
        <v>3</v>
      </c>
      <c r="D1328">
        <v>12</v>
      </c>
      <c r="E1328">
        <v>1</v>
      </c>
      <c r="F1328">
        <v>35.250304329999999</v>
      </c>
      <c r="G1328">
        <v>45</v>
      </c>
      <c r="H1328">
        <v>25</v>
      </c>
      <c r="I1328">
        <v>75</v>
      </c>
      <c r="J1328">
        <v>2</v>
      </c>
      <c r="K1328">
        <v>0</v>
      </c>
    </row>
    <row r="1329" spans="1:11" x14ac:dyDescent="0.25">
      <c r="A1329">
        <v>32</v>
      </c>
      <c r="B1329">
        <v>1</v>
      </c>
      <c r="C1329">
        <v>4</v>
      </c>
      <c r="D1329">
        <v>15</v>
      </c>
      <c r="E1329">
        <v>3</v>
      </c>
      <c r="F1329">
        <v>36.38766038</v>
      </c>
      <c r="G1329">
        <v>41</v>
      </c>
      <c r="H1329">
        <v>47</v>
      </c>
      <c r="I1329">
        <v>53</v>
      </c>
      <c r="J1329">
        <v>2</v>
      </c>
      <c r="K1329">
        <v>0</v>
      </c>
    </row>
    <row r="1330" spans="1:11" x14ac:dyDescent="0.25">
      <c r="A1330">
        <v>31</v>
      </c>
      <c r="B1330">
        <v>0</v>
      </c>
      <c r="C1330">
        <v>1</v>
      </c>
      <c r="D1330">
        <v>2</v>
      </c>
      <c r="E1330">
        <v>2</v>
      </c>
      <c r="F1330">
        <v>18.99962094</v>
      </c>
      <c r="G1330">
        <v>14</v>
      </c>
      <c r="H1330">
        <v>39</v>
      </c>
      <c r="I1330">
        <v>68</v>
      </c>
      <c r="J1330">
        <v>2</v>
      </c>
      <c r="K1330">
        <v>0</v>
      </c>
    </row>
    <row r="1331" spans="1:11" x14ac:dyDescent="0.25">
      <c r="A1331">
        <v>24</v>
      </c>
      <c r="B1331">
        <v>0</v>
      </c>
      <c r="C1331">
        <v>3</v>
      </c>
      <c r="D1331">
        <v>5</v>
      </c>
      <c r="E1331">
        <v>2</v>
      </c>
      <c r="F1331">
        <v>4.8361699729999996</v>
      </c>
      <c r="G1331">
        <v>32</v>
      </c>
      <c r="H1331">
        <v>16</v>
      </c>
      <c r="I1331">
        <v>9</v>
      </c>
      <c r="J1331">
        <v>3</v>
      </c>
      <c r="K1331">
        <v>0</v>
      </c>
    </row>
    <row r="1332" spans="1:11" x14ac:dyDescent="0.25">
      <c r="A1332">
        <v>25</v>
      </c>
      <c r="B1332">
        <v>0</v>
      </c>
      <c r="C1332">
        <v>3</v>
      </c>
      <c r="D1332">
        <v>7</v>
      </c>
      <c r="E1332">
        <v>3</v>
      </c>
      <c r="F1332">
        <v>22.314885870000001</v>
      </c>
      <c r="G1332">
        <v>79</v>
      </c>
      <c r="H1332">
        <v>39</v>
      </c>
      <c r="I1332">
        <v>32</v>
      </c>
      <c r="J1332">
        <v>2</v>
      </c>
      <c r="K1332">
        <v>0</v>
      </c>
    </row>
    <row r="1333" spans="1:11" x14ac:dyDescent="0.25">
      <c r="A1333">
        <v>45</v>
      </c>
      <c r="B1333">
        <v>1</v>
      </c>
      <c r="C1333">
        <v>2</v>
      </c>
      <c r="D1333">
        <v>8</v>
      </c>
      <c r="E1333">
        <v>1</v>
      </c>
      <c r="F1333">
        <v>23.116772900000001</v>
      </c>
      <c r="G1333">
        <v>10</v>
      </c>
      <c r="H1333">
        <v>6</v>
      </c>
      <c r="I1333">
        <v>12</v>
      </c>
      <c r="J1333">
        <v>2</v>
      </c>
      <c r="K1333">
        <v>0</v>
      </c>
    </row>
    <row r="1334" spans="1:11" x14ac:dyDescent="0.25">
      <c r="A1334">
        <v>41</v>
      </c>
      <c r="B1334">
        <v>0</v>
      </c>
      <c r="C1334">
        <v>4</v>
      </c>
      <c r="D1334">
        <v>0</v>
      </c>
      <c r="E1334">
        <v>1</v>
      </c>
      <c r="F1334">
        <v>34.433544240000003</v>
      </c>
      <c r="G1334">
        <v>19</v>
      </c>
      <c r="H1334">
        <v>56</v>
      </c>
      <c r="I1334">
        <v>98</v>
      </c>
      <c r="J1334">
        <v>2</v>
      </c>
      <c r="K1334">
        <v>0</v>
      </c>
    </row>
    <row r="1335" spans="1:11" x14ac:dyDescent="0.25">
      <c r="A1335">
        <v>23</v>
      </c>
      <c r="B1335">
        <v>1</v>
      </c>
      <c r="C1335">
        <v>1</v>
      </c>
      <c r="D1335">
        <v>2</v>
      </c>
      <c r="E1335">
        <v>5</v>
      </c>
      <c r="F1335">
        <v>16.77081956</v>
      </c>
      <c r="G1335">
        <v>23</v>
      </c>
      <c r="H1335">
        <v>7</v>
      </c>
      <c r="I1335">
        <v>50</v>
      </c>
      <c r="J1335">
        <v>3</v>
      </c>
      <c r="K1335">
        <v>0</v>
      </c>
    </row>
    <row r="1336" spans="1:11" x14ac:dyDescent="0.25">
      <c r="A1336">
        <v>38</v>
      </c>
      <c r="B1336">
        <v>1</v>
      </c>
      <c r="C1336">
        <v>2</v>
      </c>
      <c r="D1336">
        <v>2</v>
      </c>
      <c r="E1336">
        <v>4</v>
      </c>
      <c r="F1336">
        <v>35.12996399</v>
      </c>
      <c r="G1336">
        <v>63</v>
      </c>
      <c r="H1336">
        <v>55</v>
      </c>
      <c r="I1336">
        <v>31</v>
      </c>
      <c r="J1336">
        <v>2</v>
      </c>
      <c r="K1336">
        <v>0</v>
      </c>
    </row>
    <row r="1337" spans="1:11" x14ac:dyDescent="0.25">
      <c r="A1337">
        <v>39</v>
      </c>
      <c r="B1337">
        <v>0</v>
      </c>
      <c r="C1337">
        <v>2</v>
      </c>
      <c r="D1337">
        <v>10</v>
      </c>
      <c r="E1337">
        <v>2</v>
      </c>
      <c r="F1337">
        <v>44.57442709</v>
      </c>
      <c r="G1337">
        <v>79</v>
      </c>
      <c r="H1337">
        <v>30</v>
      </c>
      <c r="I1337">
        <v>74</v>
      </c>
      <c r="J1337">
        <v>2</v>
      </c>
      <c r="K1337">
        <v>0</v>
      </c>
    </row>
    <row r="1338" spans="1:11" x14ac:dyDescent="0.25">
      <c r="A1338">
        <v>20</v>
      </c>
      <c r="B1338">
        <v>0</v>
      </c>
      <c r="C1338">
        <v>2</v>
      </c>
      <c r="D1338">
        <v>7</v>
      </c>
      <c r="E1338">
        <v>2</v>
      </c>
      <c r="F1338">
        <v>12.874302119999999</v>
      </c>
      <c r="G1338">
        <v>93</v>
      </c>
      <c r="H1338">
        <v>58</v>
      </c>
      <c r="I1338">
        <v>23</v>
      </c>
      <c r="J1338">
        <v>1</v>
      </c>
      <c r="K1338">
        <v>1</v>
      </c>
    </row>
    <row r="1339" spans="1:11" x14ac:dyDescent="0.25">
      <c r="A1339">
        <v>39</v>
      </c>
      <c r="B1339">
        <v>1</v>
      </c>
      <c r="C1339">
        <v>3</v>
      </c>
      <c r="D1339">
        <v>0</v>
      </c>
      <c r="E1339">
        <v>2</v>
      </c>
      <c r="F1339">
        <v>49.945977810000002</v>
      </c>
      <c r="G1339">
        <v>97</v>
      </c>
      <c r="H1339">
        <v>57</v>
      </c>
      <c r="I1339">
        <v>34</v>
      </c>
      <c r="J1339">
        <v>2</v>
      </c>
      <c r="K1339">
        <v>0</v>
      </c>
    </row>
    <row r="1340" spans="1:11" x14ac:dyDescent="0.25">
      <c r="A1340">
        <v>36</v>
      </c>
      <c r="B1340">
        <v>0</v>
      </c>
      <c r="C1340">
        <v>2</v>
      </c>
      <c r="D1340">
        <v>4</v>
      </c>
      <c r="E1340">
        <v>4</v>
      </c>
      <c r="F1340">
        <v>20.31840686</v>
      </c>
      <c r="G1340">
        <v>64</v>
      </c>
      <c r="H1340">
        <v>11</v>
      </c>
      <c r="I1340">
        <v>82</v>
      </c>
      <c r="J1340">
        <v>1</v>
      </c>
      <c r="K1340">
        <v>0</v>
      </c>
    </row>
    <row r="1341" spans="1:11" x14ac:dyDescent="0.25">
      <c r="A1341">
        <v>31</v>
      </c>
      <c r="B1341">
        <v>1</v>
      </c>
      <c r="C1341">
        <v>2</v>
      </c>
      <c r="D1341">
        <v>2</v>
      </c>
      <c r="E1341">
        <v>5</v>
      </c>
      <c r="F1341">
        <v>14.362934259999999</v>
      </c>
      <c r="G1341">
        <v>87</v>
      </c>
      <c r="H1341">
        <v>47</v>
      </c>
      <c r="I1341">
        <v>69</v>
      </c>
      <c r="J1341">
        <v>2</v>
      </c>
      <c r="K1341">
        <v>0</v>
      </c>
    </row>
    <row r="1342" spans="1:11" x14ac:dyDescent="0.25">
      <c r="A1342">
        <v>34</v>
      </c>
      <c r="B1342">
        <v>0</v>
      </c>
      <c r="C1342">
        <v>2</v>
      </c>
      <c r="D1342">
        <v>1</v>
      </c>
      <c r="E1342">
        <v>4</v>
      </c>
      <c r="F1342">
        <v>22.075559129999998</v>
      </c>
      <c r="G1342">
        <v>87</v>
      </c>
      <c r="H1342">
        <v>30</v>
      </c>
      <c r="I1342">
        <v>39</v>
      </c>
      <c r="J1342">
        <v>3</v>
      </c>
      <c r="K1342">
        <v>0</v>
      </c>
    </row>
    <row r="1343" spans="1:11" x14ac:dyDescent="0.25">
      <c r="A1343">
        <v>20</v>
      </c>
      <c r="B1343">
        <v>0</v>
      </c>
      <c r="C1343">
        <v>3</v>
      </c>
      <c r="D1343">
        <v>14</v>
      </c>
      <c r="E1343">
        <v>1</v>
      </c>
      <c r="F1343">
        <v>5.7198737949999998</v>
      </c>
      <c r="G1343">
        <v>72</v>
      </c>
      <c r="H1343">
        <v>82</v>
      </c>
      <c r="I1343">
        <v>53</v>
      </c>
      <c r="J1343">
        <v>2</v>
      </c>
      <c r="K1343">
        <v>1</v>
      </c>
    </row>
    <row r="1344" spans="1:11" x14ac:dyDescent="0.25">
      <c r="A1344">
        <v>45</v>
      </c>
      <c r="B1344">
        <v>0</v>
      </c>
      <c r="C1344">
        <v>1</v>
      </c>
      <c r="D1344">
        <v>7</v>
      </c>
      <c r="E1344">
        <v>1</v>
      </c>
      <c r="F1344">
        <v>7.285295326</v>
      </c>
      <c r="G1344">
        <v>85</v>
      </c>
      <c r="H1344">
        <v>62</v>
      </c>
      <c r="I1344">
        <v>43</v>
      </c>
      <c r="J1344">
        <v>2</v>
      </c>
      <c r="K1344">
        <v>0</v>
      </c>
    </row>
    <row r="1345" spans="1:11" x14ac:dyDescent="0.25">
      <c r="A1345">
        <v>33</v>
      </c>
      <c r="B1345">
        <v>1</v>
      </c>
      <c r="C1345">
        <v>2</v>
      </c>
      <c r="D1345">
        <v>2</v>
      </c>
      <c r="E1345">
        <v>2</v>
      </c>
      <c r="F1345">
        <v>21.721702350000001</v>
      </c>
      <c r="G1345">
        <v>75</v>
      </c>
      <c r="H1345">
        <v>73</v>
      </c>
      <c r="I1345">
        <v>61</v>
      </c>
      <c r="J1345">
        <v>2</v>
      </c>
      <c r="K1345">
        <v>0</v>
      </c>
    </row>
    <row r="1346" spans="1:11" x14ac:dyDescent="0.25">
      <c r="A1346">
        <v>25</v>
      </c>
      <c r="B1346">
        <v>0</v>
      </c>
      <c r="C1346">
        <v>4</v>
      </c>
      <c r="D1346">
        <v>6</v>
      </c>
      <c r="E1346">
        <v>3</v>
      </c>
      <c r="F1346">
        <v>39.122226099999999</v>
      </c>
      <c r="G1346">
        <v>16</v>
      </c>
      <c r="H1346">
        <v>38</v>
      </c>
      <c r="I1346">
        <v>98</v>
      </c>
      <c r="J1346">
        <v>2</v>
      </c>
      <c r="K1346">
        <v>0</v>
      </c>
    </row>
    <row r="1347" spans="1:11" x14ac:dyDescent="0.25">
      <c r="A1347">
        <v>24</v>
      </c>
      <c r="B1347">
        <v>1</v>
      </c>
      <c r="C1347">
        <v>3</v>
      </c>
      <c r="D1347">
        <v>11</v>
      </c>
      <c r="E1347">
        <v>2</v>
      </c>
      <c r="F1347">
        <v>46.015611980000003</v>
      </c>
      <c r="G1347">
        <v>88</v>
      </c>
      <c r="H1347">
        <v>75</v>
      </c>
      <c r="I1347">
        <v>67</v>
      </c>
      <c r="J1347">
        <v>2</v>
      </c>
      <c r="K1347">
        <v>1</v>
      </c>
    </row>
    <row r="1348" spans="1:11" x14ac:dyDescent="0.25">
      <c r="A1348">
        <v>49</v>
      </c>
      <c r="B1348">
        <v>1</v>
      </c>
      <c r="C1348">
        <v>2</v>
      </c>
      <c r="D1348">
        <v>10</v>
      </c>
      <c r="E1348">
        <v>3</v>
      </c>
      <c r="F1348">
        <v>34.240899540000001</v>
      </c>
      <c r="G1348">
        <v>91</v>
      </c>
      <c r="H1348">
        <v>19</v>
      </c>
      <c r="I1348">
        <v>32</v>
      </c>
      <c r="J1348">
        <v>2</v>
      </c>
      <c r="K1348">
        <v>0</v>
      </c>
    </row>
    <row r="1349" spans="1:11" x14ac:dyDescent="0.25">
      <c r="A1349">
        <v>30</v>
      </c>
      <c r="B1349">
        <v>1</v>
      </c>
      <c r="C1349">
        <v>3</v>
      </c>
      <c r="D1349">
        <v>0</v>
      </c>
      <c r="E1349">
        <v>4</v>
      </c>
      <c r="F1349">
        <v>6.2609777619999996</v>
      </c>
      <c r="G1349">
        <v>60</v>
      </c>
      <c r="H1349">
        <v>100</v>
      </c>
      <c r="I1349">
        <v>76</v>
      </c>
      <c r="J1349">
        <v>1</v>
      </c>
      <c r="K1349">
        <v>1</v>
      </c>
    </row>
    <row r="1350" spans="1:11" x14ac:dyDescent="0.25">
      <c r="A1350">
        <v>50</v>
      </c>
      <c r="B1350">
        <v>1</v>
      </c>
      <c r="C1350">
        <v>3</v>
      </c>
      <c r="D1350">
        <v>5</v>
      </c>
      <c r="E1350">
        <v>1</v>
      </c>
      <c r="F1350">
        <v>34.600988110000003</v>
      </c>
      <c r="G1350">
        <v>14</v>
      </c>
      <c r="H1350">
        <v>47</v>
      </c>
      <c r="I1350">
        <v>55</v>
      </c>
      <c r="J1350">
        <v>1</v>
      </c>
      <c r="K1350">
        <v>0</v>
      </c>
    </row>
    <row r="1351" spans="1:11" x14ac:dyDescent="0.25">
      <c r="A1351">
        <v>23</v>
      </c>
      <c r="B1351">
        <v>0</v>
      </c>
      <c r="C1351">
        <v>3</v>
      </c>
      <c r="D1351">
        <v>2</v>
      </c>
      <c r="E1351">
        <v>3</v>
      </c>
      <c r="F1351">
        <v>32.771396039999999</v>
      </c>
      <c r="G1351">
        <v>93</v>
      </c>
      <c r="H1351">
        <v>70</v>
      </c>
      <c r="I1351">
        <v>35</v>
      </c>
      <c r="J1351">
        <v>2</v>
      </c>
      <c r="K1351">
        <v>0</v>
      </c>
    </row>
    <row r="1352" spans="1:11" x14ac:dyDescent="0.25">
      <c r="A1352">
        <v>32</v>
      </c>
      <c r="B1352">
        <v>1</v>
      </c>
      <c r="C1352">
        <v>2</v>
      </c>
      <c r="D1352">
        <v>7</v>
      </c>
      <c r="E1352">
        <v>4</v>
      </c>
      <c r="F1352">
        <v>41.288195909999999</v>
      </c>
      <c r="G1352">
        <v>50</v>
      </c>
      <c r="H1352">
        <v>53</v>
      </c>
      <c r="I1352">
        <v>53</v>
      </c>
      <c r="J1352">
        <v>2</v>
      </c>
      <c r="K1352">
        <v>0</v>
      </c>
    </row>
    <row r="1353" spans="1:11" x14ac:dyDescent="0.25">
      <c r="A1353">
        <v>30</v>
      </c>
      <c r="B1353">
        <v>1</v>
      </c>
      <c r="C1353">
        <v>2</v>
      </c>
      <c r="D1353">
        <v>5</v>
      </c>
      <c r="E1353">
        <v>1</v>
      </c>
      <c r="F1353">
        <v>42.26243333</v>
      </c>
      <c r="G1353">
        <v>26</v>
      </c>
      <c r="H1353">
        <v>77</v>
      </c>
      <c r="I1353">
        <v>18</v>
      </c>
      <c r="J1353">
        <v>1</v>
      </c>
      <c r="K1353">
        <v>0</v>
      </c>
    </row>
    <row r="1354" spans="1:11" x14ac:dyDescent="0.25">
      <c r="A1354">
        <v>22</v>
      </c>
      <c r="B1354">
        <v>0</v>
      </c>
      <c r="C1354">
        <v>2</v>
      </c>
      <c r="D1354">
        <v>11</v>
      </c>
      <c r="E1354">
        <v>3</v>
      </c>
      <c r="F1354">
        <v>44.410153790000003</v>
      </c>
      <c r="G1354">
        <v>85</v>
      </c>
      <c r="H1354">
        <v>74</v>
      </c>
      <c r="I1354">
        <v>42</v>
      </c>
      <c r="J1354">
        <v>2</v>
      </c>
      <c r="K1354">
        <v>0</v>
      </c>
    </row>
    <row r="1355" spans="1:11" x14ac:dyDescent="0.25">
      <c r="A1355">
        <v>20</v>
      </c>
      <c r="B1355">
        <v>1</v>
      </c>
      <c r="C1355">
        <v>2</v>
      </c>
      <c r="D1355">
        <v>1</v>
      </c>
      <c r="E1355">
        <v>2</v>
      </c>
      <c r="F1355">
        <v>21.706575730000001</v>
      </c>
      <c r="G1355">
        <v>73</v>
      </c>
      <c r="H1355">
        <v>70</v>
      </c>
      <c r="I1355">
        <v>11</v>
      </c>
      <c r="J1355">
        <v>1</v>
      </c>
      <c r="K1355">
        <v>1</v>
      </c>
    </row>
    <row r="1356" spans="1:11" x14ac:dyDescent="0.25">
      <c r="A1356">
        <v>25</v>
      </c>
      <c r="B1356">
        <v>0</v>
      </c>
      <c r="C1356">
        <v>2</v>
      </c>
      <c r="D1356">
        <v>5</v>
      </c>
      <c r="E1356">
        <v>2</v>
      </c>
      <c r="F1356">
        <v>35.893219770000002</v>
      </c>
      <c r="G1356">
        <v>60</v>
      </c>
      <c r="H1356">
        <v>28</v>
      </c>
      <c r="I1356">
        <v>10</v>
      </c>
      <c r="J1356">
        <v>1</v>
      </c>
      <c r="K1356">
        <v>0</v>
      </c>
    </row>
    <row r="1357" spans="1:11" x14ac:dyDescent="0.25">
      <c r="A1357">
        <v>37</v>
      </c>
      <c r="B1357">
        <v>1</v>
      </c>
      <c r="C1357">
        <v>1</v>
      </c>
      <c r="D1357">
        <v>6</v>
      </c>
      <c r="E1357">
        <v>2</v>
      </c>
      <c r="F1357">
        <v>14.41251795</v>
      </c>
      <c r="G1357">
        <v>57</v>
      </c>
      <c r="H1357">
        <v>73</v>
      </c>
      <c r="I1357">
        <v>69</v>
      </c>
      <c r="J1357">
        <v>2</v>
      </c>
      <c r="K1357">
        <v>0</v>
      </c>
    </row>
    <row r="1358" spans="1:11" x14ac:dyDescent="0.25">
      <c r="A1358">
        <v>43</v>
      </c>
      <c r="B1358">
        <v>0</v>
      </c>
      <c r="C1358">
        <v>2</v>
      </c>
      <c r="D1358">
        <v>4</v>
      </c>
      <c r="E1358">
        <v>4</v>
      </c>
      <c r="F1358">
        <v>50.966813999999999</v>
      </c>
      <c r="G1358">
        <v>30</v>
      </c>
      <c r="H1358">
        <v>92</v>
      </c>
      <c r="I1358">
        <v>11</v>
      </c>
      <c r="J1358">
        <v>2</v>
      </c>
      <c r="K1358">
        <v>0</v>
      </c>
    </row>
    <row r="1359" spans="1:11" x14ac:dyDescent="0.25">
      <c r="A1359">
        <v>29</v>
      </c>
      <c r="B1359">
        <v>1</v>
      </c>
      <c r="C1359">
        <v>2</v>
      </c>
      <c r="D1359">
        <v>2</v>
      </c>
      <c r="E1359">
        <v>2</v>
      </c>
      <c r="F1359">
        <v>9.7667120690000004</v>
      </c>
      <c r="G1359">
        <v>90</v>
      </c>
      <c r="H1359">
        <v>72</v>
      </c>
      <c r="I1359">
        <v>90</v>
      </c>
      <c r="J1359">
        <v>2</v>
      </c>
      <c r="K1359">
        <v>0</v>
      </c>
    </row>
    <row r="1360" spans="1:11" x14ac:dyDescent="0.25">
      <c r="A1360">
        <v>24</v>
      </c>
      <c r="B1360">
        <v>0</v>
      </c>
      <c r="C1360">
        <v>2</v>
      </c>
      <c r="D1360">
        <v>3</v>
      </c>
      <c r="E1360">
        <v>5</v>
      </c>
      <c r="F1360">
        <v>1.5057215829999999</v>
      </c>
      <c r="G1360">
        <v>11</v>
      </c>
      <c r="H1360">
        <v>99</v>
      </c>
      <c r="I1360">
        <v>40</v>
      </c>
      <c r="J1360">
        <v>2</v>
      </c>
      <c r="K1360">
        <v>0</v>
      </c>
    </row>
    <row r="1361" spans="1:11" x14ac:dyDescent="0.25">
      <c r="A1361">
        <v>42</v>
      </c>
      <c r="B1361">
        <v>1</v>
      </c>
      <c r="C1361">
        <v>3</v>
      </c>
      <c r="D1361">
        <v>3</v>
      </c>
      <c r="E1361">
        <v>1</v>
      </c>
      <c r="F1361">
        <v>8.4404357260000005</v>
      </c>
      <c r="G1361">
        <v>45</v>
      </c>
      <c r="H1361">
        <v>47</v>
      </c>
      <c r="I1361">
        <v>24</v>
      </c>
      <c r="J1361">
        <v>3</v>
      </c>
      <c r="K1361">
        <v>0</v>
      </c>
    </row>
    <row r="1362" spans="1:11" x14ac:dyDescent="0.25">
      <c r="A1362">
        <v>29</v>
      </c>
      <c r="B1362">
        <v>1</v>
      </c>
      <c r="C1362">
        <v>2</v>
      </c>
      <c r="D1362">
        <v>5</v>
      </c>
      <c r="E1362">
        <v>4</v>
      </c>
      <c r="F1362">
        <v>39.793614480000002</v>
      </c>
      <c r="G1362">
        <v>30</v>
      </c>
      <c r="H1362">
        <v>73</v>
      </c>
      <c r="I1362">
        <v>2</v>
      </c>
      <c r="J1362">
        <v>2</v>
      </c>
      <c r="K1362">
        <v>0</v>
      </c>
    </row>
    <row r="1363" spans="1:11" x14ac:dyDescent="0.25">
      <c r="A1363">
        <v>31</v>
      </c>
      <c r="B1363">
        <v>0</v>
      </c>
      <c r="C1363">
        <v>1</v>
      </c>
      <c r="D1363">
        <v>9</v>
      </c>
      <c r="E1363">
        <v>2</v>
      </c>
      <c r="F1363">
        <v>23.33918383</v>
      </c>
      <c r="G1363">
        <v>31</v>
      </c>
      <c r="H1363">
        <v>82</v>
      </c>
      <c r="I1363">
        <v>2</v>
      </c>
      <c r="J1363">
        <v>1</v>
      </c>
      <c r="K1363">
        <v>1</v>
      </c>
    </row>
    <row r="1364" spans="1:11" x14ac:dyDescent="0.25">
      <c r="A1364">
        <v>21</v>
      </c>
      <c r="B1364">
        <v>0</v>
      </c>
      <c r="C1364">
        <v>3</v>
      </c>
      <c r="D1364">
        <v>0</v>
      </c>
      <c r="E1364">
        <v>1</v>
      </c>
      <c r="F1364">
        <v>23.375012389999998</v>
      </c>
      <c r="G1364">
        <v>31</v>
      </c>
      <c r="H1364">
        <v>55</v>
      </c>
      <c r="I1364">
        <v>83</v>
      </c>
      <c r="J1364">
        <v>2</v>
      </c>
      <c r="K1364">
        <v>0</v>
      </c>
    </row>
    <row r="1365" spans="1:11" x14ac:dyDescent="0.25">
      <c r="A1365">
        <v>32</v>
      </c>
      <c r="B1365">
        <v>0</v>
      </c>
      <c r="C1365">
        <v>1</v>
      </c>
      <c r="D1365">
        <v>10</v>
      </c>
      <c r="E1365">
        <v>3</v>
      </c>
      <c r="F1365">
        <v>48.751145979999997</v>
      </c>
      <c r="G1365">
        <v>98</v>
      </c>
      <c r="H1365">
        <v>94</v>
      </c>
      <c r="I1365">
        <v>27</v>
      </c>
      <c r="J1365">
        <v>1</v>
      </c>
      <c r="K1365">
        <v>1</v>
      </c>
    </row>
    <row r="1366" spans="1:11" x14ac:dyDescent="0.25">
      <c r="A1366">
        <v>27</v>
      </c>
      <c r="B1366">
        <v>0</v>
      </c>
      <c r="C1366">
        <v>3</v>
      </c>
      <c r="D1366">
        <v>3</v>
      </c>
      <c r="E1366">
        <v>2</v>
      </c>
      <c r="F1366">
        <v>46.981745400000001</v>
      </c>
      <c r="G1366">
        <v>52</v>
      </c>
      <c r="H1366">
        <v>16</v>
      </c>
      <c r="I1366">
        <v>22</v>
      </c>
      <c r="J1366">
        <v>3</v>
      </c>
      <c r="K1366">
        <v>0</v>
      </c>
    </row>
    <row r="1367" spans="1:11" x14ac:dyDescent="0.25">
      <c r="A1367">
        <v>21</v>
      </c>
      <c r="B1367">
        <v>1</v>
      </c>
      <c r="C1367">
        <v>3</v>
      </c>
      <c r="D1367">
        <v>9</v>
      </c>
      <c r="E1367">
        <v>1</v>
      </c>
      <c r="F1367">
        <v>16.55973689</v>
      </c>
      <c r="G1367">
        <v>60</v>
      </c>
      <c r="H1367">
        <v>8</v>
      </c>
      <c r="I1367">
        <v>47</v>
      </c>
      <c r="J1367">
        <v>1</v>
      </c>
      <c r="K1367">
        <v>1</v>
      </c>
    </row>
    <row r="1368" spans="1:11" x14ac:dyDescent="0.25">
      <c r="A1368">
        <v>39</v>
      </c>
      <c r="B1368">
        <v>1</v>
      </c>
      <c r="C1368">
        <v>2</v>
      </c>
      <c r="D1368">
        <v>12</v>
      </c>
      <c r="E1368">
        <v>5</v>
      </c>
      <c r="F1368">
        <v>11.45290644</v>
      </c>
      <c r="G1368">
        <v>45</v>
      </c>
      <c r="H1368">
        <v>96</v>
      </c>
      <c r="I1368">
        <v>66</v>
      </c>
      <c r="J1368">
        <v>2</v>
      </c>
      <c r="K1368">
        <v>0</v>
      </c>
    </row>
    <row r="1369" spans="1:11" x14ac:dyDescent="0.25">
      <c r="A1369">
        <v>20</v>
      </c>
      <c r="B1369">
        <v>0</v>
      </c>
      <c r="C1369">
        <v>3</v>
      </c>
      <c r="D1369">
        <v>3</v>
      </c>
      <c r="E1369">
        <v>3</v>
      </c>
      <c r="F1369">
        <v>43.424110499999998</v>
      </c>
      <c r="G1369">
        <v>84</v>
      </c>
      <c r="H1369">
        <v>33</v>
      </c>
      <c r="I1369">
        <v>41</v>
      </c>
      <c r="J1369">
        <v>1</v>
      </c>
      <c r="K1369">
        <v>1</v>
      </c>
    </row>
    <row r="1370" spans="1:11" x14ac:dyDescent="0.25">
      <c r="A1370">
        <v>50</v>
      </c>
      <c r="B1370">
        <v>1</v>
      </c>
      <c r="C1370">
        <v>2</v>
      </c>
      <c r="D1370">
        <v>9</v>
      </c>
      <c r="E1370">
        <v>5</v>
      </c>
      <c r="F1370">
        <v>46.300953550000003</v>
      </c>
      <c r="G1370">
        <v>73</v>
      </c>
      <c r="H1370">
        <v>44</v>
      </c>
      <c r="I1370">
        <v>87</v>
      </c>
      <c r="J1370">
        <v>3</v>
      </c>
      <c r="K1370">
        <v>0</v>
      </c>
    </row>
    <row r="1371" spans="1:11" x14ac:dyDescent="0.25">
      <c r="A1371">
        <v>24</v>
      </c>
      <c r="B1371">
        <v>0</v>
      </c>
      <c r="C1371">
        <v>2</v>
      </c>
      <c r="D1371">
        <v>15</v>
      </c>
      <c r="E1371">
        <v>1</v>
      </c>
      <c r="F1371">
        <v>28.079846140000001</v>
      </c>
      <c r="G1371">
        <v>79</v>
      </c>
      <c r="H1371">
        <v>87</v>
      </c>
      <c r="I1371">
        <v>39</v>
      </c>
      <c r="J1371">
        <v>2</v>
      </c>
      <c r="K1371">
        <v>0</v>
      </c>
    </row>
    <row r="1372" spans="1:11" x14ac:dyDescent="0.25">
      <c r="A1372">
        <v>28</v>
      </c>
      <c r="B1372">
        <v>0</v>
      </c>
      <c r="C1372">
        <v>1</v>
      </c>
      <c r="D1372">
        <v>0</v>
      </c>
      <c r="E1372">
        <v>5</v>
      </c>
      <c r="F1372">
        <v>32.471185560000002</v>
      </c>
      <c r="G1372">
        <v>6</v>
      </c>
      <c r="H1372">
        <v>8</v>
      </c>
      <c r="I1372">
        <v>5</v>
      </c>
      <c r="J1372">
        <v>3</v>
      </c>
      <c r="K1372">
        <v>0</v>
      </c>
    </row>
    <row r="1373" spans="1:11" x14ac:dyDescent="0.25">
      <c r="A1373">
        <v>36</v>
      </c>
      <c r="B1373">
        <v>1</v>
      </c>
      <c r="C1373">
        <v>2</v>
      </c>
      <c r="D1373">
        <v>8</v>
      </c>
      <c r="E1373">
        <v>1</v>
      </c>
      <c r="F1373">
        <v>13.84571423</v>
      </c>
      <c r="G1373">
        <v>3</v>
      </c>
      <c r="H1373">
        <v>6</v>
      </c>
      <c r="I1373">
        <v>19</v>
      </c>
      <c r="J1373">
        <v>1</v>
      </c>
      <c r="K1373">
        <v>0</v>
      </c>
    </row>
    <row r="1374" spans="1:11" x14ac:dyDescent="0.25">
      <c r="A1374">
        <v>28</v>
      </c>
      <c r="B1374">
        <v>1</v>
      </c>
      <c r="C1374">
        <v>4</v>
      </c>
      <c r="D1374">
        <v>3</v>
      </c>
      <c r="E1374">
        <v>1</v>
      </c>
      <c r="F1374">
        <v>41.040134399999999</v>
      </c>
      <c r="G1374">
        <v>90</v>
      </c>
      <c r="H1374">
        <v>15</v>
      </c>
      <c r="I1374">
        <v>10</v>
      </c>
      <c r="J1374">
        <v>1</v>
      </c>
      <c r="K1374">
        <v>1</v>
      </c>
    </row>
    <row r="1375" spans="1:11" x14ac:dyDescent="0.25">
      <c r="A1375">
        <v>30</v>
      </c>
      <c r="B1375">
        <v>1</v>
      </c>
      <c r="C1375">
        <v>2</v>
      </c>
      <c r="D1375">
        <v>6</v>
      </c>
      <c r="E1375">
        <v>5</v>
      </c>
      <c r="F1375">
        <v>32.606121420000001</v>
      </c>
      <c r="G1375">
        <v>51</v>
      </c>
      <c r="H1375">
        <v>18</v>
      </c>
      <c r="I1375">
        <v>95</v>
      </c>
      <c r="J1375">
        <v>1</v>
      </c>
      <c r="K1375">
        <v>1</v>
      </c>
    </row>
    <row r="1376" spans="1:11" x14ac:dyDescent="0.25">
      <c r="A1376">
        <v>34</v>
      </c>
      <c r="B1376">
        <v>1</v>
      </c>
      <c r="C1376">
        <v>2</v>
      </c>
      <c r="D1376">
        <v>11</v>
      </c>
      <c r="E1376">
        <v>1</v>
      </c>
      <c r="F1376">
        <v>26.175675559999998</v>
      </c>
      <c r="G1376">
        <v>88</v>
      </c>
      <c r="H1376">
        <v>5</v>
      </c>
      <c r="I1376">
        <v>26</v>
      </c>
      <c r="J1376">
        <v>3</v>
      </c>
      <c r="K1376">
        <v>0</v>
      </c>
    </row>
    <row r="1377" spans="1:11" x14ac:dyDescent="0.25">
      <c r="A1377">
        <v>43</v>
      </c>
      <c r="B1377">
        <v>1</v>
      </c>
      <c r="C1377">
        <v>2</v>
      </c>
      <c r="D1377">
        <v>13</v>
      </c>
      <c r="E1377">
        <v>2</v>
      </c>
      <c r="F1377">
        <v>4.005427804</v>
      </c>
      <c r="G1377">
        <v>30</v>
      </c>
      <c r="H1377">
        <v>10</v>
      </c>
      <c r="I1377">
        <v>20</v>
      </c>
      <c r="J1377">
        <v>3</v>
      </c>
      <c r="K1377">
        <v>0</v>
      </c>
    </row>
    <row r="1378" spans="1:11" x14ac:dyDescent="0.25">
      <c r="A1378">
        <v>25</v>
      </c>
      <c r="B1378">
        <v>1</v>
      </c>
      <c r="C1378">
        <v>2</v>
      </c>
      <c r="D1378">
        <v>2</v>
      </c>
      <c r="E1378">
        <v>1</v>
      </c>
      <c r="F1378">
        <v>46.796748129999997</v>
      </c>
      <c r="G1378">
        <v>74</v>
      </c>
      <c r="H1378">
        <v>75</v>
      </c>
      <c r="I1378">
        <v>12</v>
      </c>
      <c r="J1378">
        <v>1</v>
      </c>
      <c r="K1378">
        <v>1</v>
      </c>
    </row>
    <row r="1379" spans="1:11" x14ac:dyDescent="0.25">
      <c r="A1379">
        <v>42</v>
      </c>
      <c r="B1379">
        <v>1</v>
      </c>
      <c r="C1379">
        <v>1</v>
      </c>
      <c r="D1379">
        <v>9</v>
      </c>
      <c r="E1379">
        <v>4</v>
      </c>
      <c r="F1379">
        <v>31.772571020000001</v>
      </c>
      <c r="G1379">
        <v>83</v>
      </c>
      <c r="H1379">
        <v>60</v>
      </c>
      <c r="I1379">
        <v>85</v>
      </c>
      <c r="J1379">
        <v>1</v>
      </c>
      <c r="K1379">
        <v>1</v>
      </c>
    </row>
    <row r="1380" spans="1:11" x14ac:dyDescent="0.25">
      <c r="A1380">
        <v>22</v>
      </c>
      <c r="B1380">
        <v>0</v>
      </c>
      <c r="C1380">
        <v>2</v>
      </c>
      <c r="D1380">
        <v>11</v>
      </c>
      <c r="E1380">
        <v>1</v>
      </c>
      <c r="F1380">
        <v>10.63455473</v>
      </c>
      <c r="G1380">
        <v>35</v>
      </c>
      <c r="H1380">
        <v>41</v>
      </c>
      <c r="I1380">
        <v>34</v>
      </c>
      <c r="J1380">
        <v>2</v>
      </c>
      <c r="K1380">
        <v>0</v>
      </c>
    </row>
    <row r="1381" spans="1:11" x14ac:dyDescent="0.25">
      <c r="A1381">
        <v>49</v>
      </c>
      <c r="B1381">
        <v>0</v>
      </c>
      <c r="C1381">
        <v>3</v>
      </c>
      <c r="D1381">
        <v>2</v>
      </c>
      <c r="E1381">
        <v>4</v>
      </c>
      <c r="F1381">
        <v>31.319305849999999</v>
      </c>
      <c r="G1381">
        <v>53</v>
      </c>
      <c r="H1381">
        <v>12</v>
      </c>
      <c r="I1381">
        <v>46</v>
      </c>
      <c r="J1381">
        <v>1</v>
      </c>
      <c r="K1381">
        <v>0</v>
      </c>
    </row>
    <row r="1382" spans="1:11" x14ac:dyDescent="0.25">
      <c r="A1382">
        <v>50</v>
      </c>
      <c r="B1382">
        <v>0</v>
      </c>
      <c r="C1382">
        <v>2</v>
      </c>
      <c r="D1382">
        <v>13</v>
      </c>
      <c r="E1382">
        <v>1</v>
      </c>
      <c r="F1382">
        <v>34.873167709999997</v>
      </c>
      <c r="G1382">
        <v>53</v>
      </c>
      <c r="H1382">
        <v>11</v>
      </c>
      <c r="I1382">
        <v>85</v>
      </c>
      <c r="J1382">
        <v>1</v>
      </c>
      <c r="K1382">
        <v>1</v>
      </c>
    </row>
    <row r="1383" spans="1:11" x14ac:dyDescent="0.25">
      <c r="A1383">
        <v>36</v>
      </c>
      <c r="B1383">
        <v>0</v>
      </c>
      <c r="C1383">
        <v>2</v>
      </c>
      <c r="D1383">
        <v>7</v>
      </c>
      <c r="E1383">
        <v>1</v>
      </c>
      <c r="F1383">
        <v>27.288516829999999</v>
      </c>
      <c r="G1383">
        <v>16</v>
      </c>
      <c r="H1383">
        <v>84</v>
      </c>
      <c r="I1383">
        <v>27</v>
      </c>
      <c r="J1383">
        <v>1</v>
      </c>
      <c r="K1383">
        <v>1</v>
      </c>
    </row>
    <row r="1384" spans="1:11" x14ac:dyDescent="0.25">
      <c r="A1384">
        <v>24</v>
      </c>
      <c r="B1384">
        <v>0</v>
      </c>
      <c r="C1384">
        <v>1</v>
      </c>
      <c r="D1384">
        <v>7</v>
      </c>
      <c r="E1384">
        <v>5</v>
      </c>
      <c r="F1384">
        <v>36.905086900000001</v>
      </c>
      <c r="G1384">
        <v>74</v>
      </c>
      <c r="H1384">
        <v>73</v>
      </c>
      <c r="I1384">
        <v>20</v>
      </c>
      <c r="J1384">
        <v>1</v>
      </c>
      <c r="K1384">
        <v>1</v>
      </c>
    </row>
    <row r="1385" spans="1:11" x14ac:dyDescent="0.25">
      <c r="A1385">
        <v>49</v>
      </c>
      <c r="B1385">
        <v>1</v>
      </c>
      <c r="C1385">
        <v>2</v>
      </c>
      <c r="D1385">
        <v>10</v>
      </c>
      <c r="E1385">
        <v>2</v>
      </c>
      <c r="F1385">
        <v>30.072697399999999</v>
      </c>
      <c r="G1385">
        <v>29</v>
      </c>
      <c r="H1385">
        <v>19</v>
      </c>
      <c r="I1385">
        <v>17</v>
      </c>
      <c r="J1385">
        <v>1</v>
      </c>
      <c r="K1385">
        <v>1</v>
      </c>
    </row>
    <row r="1386" spans="1:11" x14ac:dyDescent="0.25">
      <c r="A1386">
        <v>47</v>
      </c>
      <c r="B1386">
        <v>0</v>
      </c>
      <c r="C1386">
        <v>3</v>
      </c>
      <c r="D1386">
        <v>11</v>
      </c>
      <c r="E1386">
        <v>2</v>
      </c>
      <c r="F1386">
        <v>48.388479099999998</v>
      </c>
      <c r="G1386">
        <v>98</v>
      </c>
      <c r="H1386">
        <v>49</v>
      </c>
      <c r="I1386">
        <v>30</v>
      </c>
      <c r="J1386">
        <v>1</v>
      </c>
      <c r="K1386">
        <v>0</v>
      </c>
    </row>
    <row r="1387" spans="1:11" x14ac:dyDescent="0.25">
      <c r="A1387">
        <v>31</v>
      </c>
      <c r="B1387">
        <v>0</v>
      </c>
      <c r="C1387">
        <v>1</v>
      </c>
      <c r="D1387">
        <v>0</v>
      </c>
      <c r="E1387">
        <v>3</v>
      </c>
      <c r="F1387">
        <v>3.6848539300000001</v>
      </c>
      <c r="G1387">
        <v>21</v>
      </c>
      <c r="H1387">
        <v>35</v>
      </c>
      <c r="I1387">
        <v>59</v>
      </c>
      <c r="J1387">
        <v>2</v>
      </c>
      <c r="K1387">
        <v>1</v>
      </c>
    </row>
    <row r="1388" spans="1:11" x14ac:dyDescent="0.25">
      <c r="A1388">
        <v>37</v>
      </c>
      <c r="B1388">
        <v>0</v>
      </c>
      <c r="C1388">
        <v>1</v>
      </c>
      <c r="D1388">
        <v>9</v>
      </c>
      <c r="E1388">
        <v>5</v>
      </c>
      <c r="F1388">
        <v>6.3122854229999996</v>
      </c>
      <c r="G1388">
        <v>42</v>
      </c>
      <c r="H1388">
        <v>91</v>
      </c>
      <c r="I1388">
        <v>36</v>
      </c>
      <c r="J1388">
        <v>3</v>
      </c>
      <c r="K1388">
        <v>1</v>
      </c>
    </row>
    <row r="1389" spans="1:11" x14ac:dyDescent="0.25">
      <c r="A1389">
        <v>33</v>
      </c>
      <c r="B1389">
        <v>0</v>
      </c>
      <c r="C1389">
        <v>2</v>
      </c>
      <c r="D1389">
        <v>1</v>
      </c>
      <c r="E1389">
        <v>5</v>
      </c>
      <c r="F1389">
        <v>9.6835818479999993</v>
      </c>
      <c r="G1389">
        <v>26</v>
      </c>
      <c r="H1389">
        <v>87</v>
      </c>
      <c r="I1389">
        <v>20</v>
      </c>
      <c r="J1389">
        <v>2</v>
      </c>
      <c r="K1389">
        <v>1</v>
      </c>
    </row>
    <row r="1390" spans="1:11" x14ac:dyDescent="0.25">
      <c r="A1390">
        <v>40</v>
      </c>
      <c r="B1390">
        <v>0</v>
      </c>
      <c r="C1390">
        <v>3</v>
      </c>
      <c r="D1390">
        <v>15</v>
      </c>
      <c r="E1390">
        <v>2</v>
      </c>
      <c r="F1390">
        <v>35.50855353</v>
      </c>
      <c r="G1390">
        <v>36</v>
      </c>
      <c r="H1390">
        <v>68</v>
      </c>
      <c r="I1390">
        <v>13</v>
      </c>
      <c r="J1390">
        <v>2</v>
      </c>
      <c r="K1390">
        <v>0</v>
      </c>
    </row>
    <row r="1391" spans="1:11" x14ac:dyDescent="0.25">
      <c r="A1391">
        <v>43</v>
      </c>
      <c r="B1391">
        <v>0</v>
      </c>
      <c r="C1391">
        <v>2</v>
      </c>
      <c r="D1391">
        <v>7</v>
      </c>
      <c r="E1391">
        <v>5</v>
      </c>
      <c r="F1391">
        <v>33.279793640000001</v>
      </c>
      <c r="G1391">
        <v>45</v>
      </c>
      <c r="H1391">
        <v>36</v>
      </c>
      <c r="I1391">
        <v>88</v>
      </c>
      <c r="J1391">
        <v>1</v>
      </c>
      <c r="K1391">
        <v>1</v>
      </c>
    </row>
    <row r="1392" spans="1:11" x14ac:dyDescent="0.25">
      <c r="A1392">
        <v>30</v>
      </c>
      <c r="B1392">
        <v>0</v>
      </c>
      <c r="C1392">
        <v>2</v>
      </c>
      <c r="D1392">
        <v>0</v>
      </c>
      <c r="E1392">
        <v>2</v>
      </c>
      <c r="F1392">
        <v>45.602943009999997</v>
      </c>
      <c r="G1392">
        <v>34</v>
      </c>
      <c r="H1392">
        <v>11</v>
      </c>
      <c r="I1392">
        <v>90</v>
      </c>
      <c r="J1392">
        <v>2</v>
      </c>
      <c r="K1392">
        <v>1</v>
      </c>
    </row>
    <row r="1393" spans="1:11" x14ac:dyDescent="0.25">
      <c r="A1393">
        <v>28</v>
      </c>
      <c r="B1393">
        <v>1</v>
      </c>
      <c r="C1393">
        <v>3</v>
      </c>
      <c r="D1393">
        <v>14</v>
      </c>
      <c r="E1393">
        <v>5</v>
      </c>
      <c r="F1393">
        <v>37.643872639999998</v>
      </c>
      <c r="G1393">
        <v>3</v>
      </c>
      <c r="H1393">
        <v>98</v>
      </c>
      <c r="I1393">
        <v>59</v>
      </c>
      <c r="J1393">
        <v>2</v>
      </c>
      <c r="K1393">
        <v>1</v>
      </c>
    </row>
    <row r="1394" spans="1:11" x14ac:dyDescent="0.25">
      <c r="A1394">
        <v>21</v>
      </c>
      <c r="B1394">
        <v>1</v>
      </c>
      <c r="C1394">
        <v>2</v>
      </c>
      <c r="D1394">
        <v>11</v>
      </c>
      <c r="E1394">
        <v>1</v>
      </c>
      <c r="F1394">
        <v>26.417774380000001</v>
      </c>
      <c r="G1394">
        <v>79</v>
      </c>
      <c r="H1394">
        <v>39</v>
      </c>
      <c r="I1394">
        <v>22</v>
      </c>
      <c r="J1394">
        <v>2</v>
      </c>
      <c r="K1394">
        <v>0</v>
      </c>
    </row>
    <row r="1395" spans="1:11" x14ac:dyDescent="0.25">
      <c r="A1395">
        <v>31</v>
      </c>
      <c r="B1395">
        <v>0</v>
      </c>
      <c r="C1395">
        <v>3</v>
      </c>
      <c r="D1395">
        <v>7</v>
      </c>
      <c r="E1395">
        <v>2</v>
      </c>
      <c r="F1395">
        <v>50.591589620000001</v>
      </c>
      <c r="G1395">
        <v>79</v>
      </c>
      <c r="H1395">
        <v>53</v>
      </c>
      <c r="I1395">
        <v>94</v>
      </c>
      <c r="J1395">
        <v>1</v>
      </c>
      <c r="K1395">
        <v>1</v>
      </c>
    </row>
    <row r="1396" spans="1:11" x14ac:dyDescent="0.25">
      <c r="A1396">
        <v>22</v>
      </c>
      <c r="B1396">
        <v>1</v>
      </c>
      <c r="C1396">
        <v>3</v>
      </c>
      <c r="D1396">
        <v>7</v>
      </c>
      <c r="E1396">
        <v>2</v>
      </c>
      <c r="F1396">
        <v>14.305397810000001</v>
      </c>
      <c r="G1396">
        <v>84</v>
      </c>
      <c r="H1396">
        <v>1</v>
      </c>
      <c r="I1396">
        <v>28</v>
      </c>
      <c r="J1396">
        <v>3</v>
      </c>
      <c r="K1396">
        <v>0</v>
      </c>
    </row>
    <row r="1397" spans="1:11" x14ac:dyDescent="0.25">
      <c r="A1397">
        <v>22</v>
      </c>
      <c r="B1397">
        <v>1</v>
      </c>
      <c r="C1397">
        <v>2</v>
      </c>
      <c r="D1397">
        <v>15</v>
      </c>
      <c r="E1397">
        <v>4</v>
      </c>
      <c r="F1397">
        <v>42.659582989999997</v>
      </c>
      <c r="G1397">
        <v>25</v>
      </c>
      <c r="H1397">
        <v>49</v>
      </c>
      <c r="I1397">
        <v>46</v>
      </c>
      <c r="J1397">
        <v>1</v>
      </c>
      <c r="K1397">
        <v>0</v>
      </c>
    </row>
    <row r="1398" spans="1:11" x14ac:dyDescent="0.25">
      <c r="A1398">
        <v>20</v>
      </c>
      <c r="B1398">
        <v>1</v>
      </c>
      <c r="C1398">
        <v>2</v>
      </c>
      <c r="D1398">
        <v>1</v>
      </c>
      <c r="E1398">
        <v>5</v>
      </c>
      <c r="F1398">
        <v>22.339518609999999</v>
      </c>
      <c r="G1398">
        <v>99</v>
      </c>
      <c r="H1398">
        <v>40</v>
      </c>
      <c r="I1398">
        <v>29</v>
      </c>
      <c r="J1398">
        <v>2</v>
      </c>
      <c r="K1398">
        <v>0</v>
      </c>
    </row>
    <row r="1399" spans="1:11" x14ac:dyDescent="0.25">
      <c r="A1399">
        <v>27</v>
      </c>
      <c r="B1399">
        <v>1</v>
      </c>
      <c r="C1399">
        <v>1</v>
      </c>
      <c r="D1399">
        <v>3</v>
      </c>
      <c r="E1399">
        <v>5</v>
      </c>
      <c r="F1399">
        <v>33.436756940000002</v>
      </c>
      <c r="G1399">
        <v>18</v>
      </c>
      <c r="H1399">
        <v>44</v>
      </c>
      <c r="I1399">
        <v>89</v>
      </c>
      <c r="J1399">
        <v>3</v>
      </c>
      <c r="K1399">
        <v>0</v>
      </c>
    </row>
    <row r="1400" spans="1:11" x14ac:dyDescent="0.25">
      <c r="A1400">
        <v>41</v>
      </c>
      <c r="B1400">
        <v>0</v>
      </c>
      <c r="C1400">
        <v>2</v>
      </c>
      <c r="D1400">
        <v>5</v>
      </c>
      <c r="E1400">
        <v>2</v>
      </c>
      <c r="F1400">
        <v>37.363423519999998</v>
      </c>
      <c r="G1400">
        <v>80</v>
      </c>
      <c r="H1400">
        <v>8</v>
      </c>
      <c r="I1400">
        <v>83</v>
      </c>
      <c r="J1400">
        <v>2</v>
      </c>
      <c r="K1400">
        <v>1</v>
      </c>
    </row>
    <row r="1401" spans="1:11" x14ac:dyDescent="0.25">
      <c r="A1401">
        <v>47</v>
      </c>
      <c r="B1401">
        <v>1</v>
      </c>
      <c r="C1401">
        <v>4</v>
      </c>
      <c r="D1401">
        <v>11</v>
      </c>
      <c r="E1401">
        <v>1</v>
      </c>
      <c r="F1401">
        <v>32.687704359999998</v>
      </c>
      <c r="G1401">
        <v>44</v>
      </c>
      <c r="H1401">
        <v>61</v>
      </c>
      <c r="I1401">
        <v>37</v>
      </c>
      <c r="J1401">
        <v>2</v>
      </c>
      <c r="K1401">
        <v>0</v>
      </c>
    </row>
    <row r="1402" spans="1:11" x14ac:dyDescent="0.25">
      <c r="A1402">
        <v>48</v>
      </c>
      <c r="B1402">
        <v>1</v>
      </c>
      <c r="C1402">
        <v>2</v>
      </c>
      <c r="D1402">
        <v>10</v>
      </c>
      <c r="E1402">
        <v>1</v>
      </c>
      <c r="F1402">
        <v>8.0253651549999994</v>
      </c>
      <c r="G1402">
        <v>25</v>
      </c>
      <c r="H1402">
        <v>85</v>
      </c>
      <c r="I1402">
        <v>82</v>
      </c>
      <c r="J1402">
        <v>3</v>
      </c>
      <c r="K1402">
        <v>0</v>
      </c>
    </row>
    <row r="1403" spans="1:11" x14ac:dyDescent="0.25">
      <c r="A1403">
        <v>27</v>
      </c>
      <c r="B1403">
        <v>1</v>
      </c>
      <c r="C1403">
        <v>2</v>
      </c>
      <c r="D1403">
        <v>8</v>
      </c>
      <c r="E1403">
        <v>1</v>
      </c>
      <c r="F1403">
        <v>23.147550540000001</v>
      </c>
      <c r="G1403">
        <v>21</v>
      </c>
      <c r="H1403">
        <v>46</v>
      </c>
      <c r="I1403">
        <v>26</v>
      </c>
      <c r="J1403">
        <v>2</v>
      </c>
      <c r="K1403">
        <v>1</v>
      </c>
    </row>
    <row r="1404" spans="1:11" x14ac:dyDescent="0.25">
      <c r="A1404">
        <v>30</v>
      </c>
      <c r="B1404">
        <v>0</v>
      </c>
      <c r="C1404">
        <v>3</v>
      </c>
      <c r="D1404">
        <v>14</v>
      </c>
      <c r="E1404">
        <v>5</v>
      </c>
      <c r="F1404">
        <v>29.0719189</v>
      </c>
      <c r="G1404">
        <v>57</v>
      </c>
      <c r="H1404">
        <v>4</v>
      </c>
      <c r="I1404">
        <v>88</v>
      </c>
      <c r="J1404">
        <v>1</v>
      </c>
      <c r="K1404">
        <v>0</v>
      </c>
    </row>
    <row r="1405" spans="1:11" x14ac:dyDescent="0.25">
      <c r="A1405">
        <v>28</v>
      </c>
      <c r="B1405">
        <v>0</v>
      </c>
      <c r="C1405">
        <v>2</v>
      </c>
      <c r="D1405">
        <v>15</v>
      </c>
      <c r="E1405">
        <v>4</v>
      </c>
      <c r="F1405">
        <v>43.452187960000003</v>
      </c>
      <c r="G1405">
        <v>62</v>
      </c>
      <c r="H1405">
        <v>75</v>
      </c>
      <c r="I1405">
        <v>86</v>
      </c>
      <c r="J1405">
        <v>3</v>
      </c>
      <c r="K1405">
        <v>0</v>
      </c>
    </row>
    <row r="1406" spans="1:11" x14ac:dyDescent="0.25">
      <c r="A1406">
        <v>24</v>
      </c>
      <c r="B1406">
        <v>0</v>
      </c>
      <c r="C1406">
        <v>1</v>
      </c>
      <c r="D1406">
        <v>7</v>
      </c>
      <c r="E1406">
        <v>2</v>
      </c>
      <c r="F1406">
        <v>23.18228744</v>
      </c>
      <c r="G1406">
        <v>27</v>
      </c>
      <c r="H1406">
        <v>0</v>
      </c>
      <c r="I1406">
        <v>92</v>
      </c>
      <c r="J1406">
        <v>1</v>
      </c>
      <c r="K1406">
        <v>0</v>
      </c>
    </row>
    <row r="1407" spans="1:11" x14ac:dyDescent="0.25">
      <c r="A1407">
        <v>33</v>
      </c>
      <c r="B1407">
        <v>0</v>
      </c>
      <c r="C1407">
        <v>2</v>
      </c>
      <c r="D1407">
        <v>11</v>
      </c>
      <c r="E1407">
        <v>3</v>
      </c>
      <c r="F1407">
        <v>46.937365239999998</v>
      </c>
      <c r="G1407">
        <v>64</v>
      </c>
      <c r="H1407">
        <v>43</v>
      </c>
      <c r="I1407">
        <v>14</v>
      </c>
      <c r="J1407">
        <v>3</v>
      </c>
      <c r="K1407">
        <v>0</v>
      </c>
    </row>
    <row r="1408" spans="1:11" x14ac:dyDescent="0.25">
      <c r="A1408">
        <v>47</v>
      </c>
      <c r="B1408">
        <v>0</v>
      </c>
      <c r="C1408">
        <v>2</v>
      </c>
      <c r="D1408">
        <v>14</v>
      </c>
      <c r="E1408">
        <v>4</v>
      </c>
      <c r="F1408">
        <v>23.018711150000001</v>
      </c>
      <c r="G1408">
        <v>43</v>
      </c>
      <c r="H1408">
        <v>21</v>
      </c>
      <c r="I1408">
        <v>58</v>
      </c>
      <c r="J1408">
        <v>1</v>
      </c>
      <c r="K1408">
        <v>0</v>
      </c>
    </row>
    <row r="1409" spans="1:11" x14ac:dyDescent="0.25">
      <c r="A1409">
        <v>49</v>
      </c>
      <c r="B1409">
        <v>0</v>
      </c>
      <c r="C1409">
        <v>3</v>
      </c>
      <c r="D1409">
        <v>7</v>
      </c>
      <c r="E1409">
        <v>3</v>
      </c>
      <c r="F1409">
        <v>28.43899296</v>
      </c>
      <c r="G1409">
        <v>99</v>
      </c>
      <c r="H1409">
        <v>37</v>
      </c>
      <c r="I1409">
        <v>2</v>
      </c>
      <c r="J1409">
        <v>2</v>
      </c>
      <c r="K1409">
        <v>0</v>
      </c>
    </row>
    <row r="1410" spans="1:11" x14ac:dyDescent="0.25">
      <c r="A1410">
        <v>22</v>
      </c>
      <c r="B1410">
        <v>0</v>
      </c>
      <c r="C1410">
        <v>1</v>
      </c>
      <c r="D1410">
        <v>6</v>
      </c>
      <c r="E1410">
        <v>4</v>
      </c>
      <c r="F1410">
        <v>40.814284149999999</v>
      </c>
      <c r="G1410">
        <v>42</v>
      </c>
      <c r="H1410">
        <v>18</v>
      </c>
      <c r="I1410">
        <v>9</v>
      </c>
      <c r="J1410">
        <v>2</v>
      </c>
      <c r="K1410">
        <v>1</v>
      </c>
    </row>
    <row r="1411" spans="1:11" x14ac:dyDescent="0.25">
      <c r="A1411">
        <v>40</v>
      </c>
      <c r="B1411">
        <v>1</v>
      </c>
      <c r="C1411">
        <v>2</v>
      </c>
      <c r="D1411">
        <v>13</v>
      </c>
      <c r="E1411">
        <v>1</v>
      </c>
      <c r="F1411">
        <v>30.15338422</v>
      </c>
      <c r="G1411">
        <v>36</v>
      </c>
      <c r="H1411">
        <v>79</v>
      </c>
      <c r="I1411">
        <v>78</v>
      </c>
      <c r="J1411">
        <v>3</v>
      </c>
      <c r="K1411">
        <v>1</v>
      </c>
    </row>
    <row r="1412" spans="1:11" x14ac:dyDescent="0.25">
      <c r="A1412">
        <v>24</v>
      </c>
      <c r="B1412">
        <v>1</v>
      </c>
      <c r="C1412">
        <v>2</v>
      </c>
      <c r="D1412">
        <v>12</v>
      </c>
      <c r="E1412">
        <v>5</v>
      </c>
      <c r="F1412">
        <v>49.010903620000001</v>
      </c>
      <c r="G1412">
        <v>65</v>
      </c>
      <c r="H1412">
        <v>30</v>
      </c>
      <c r="I1412">
        <v>79</v>
      </c>
      <c r="J1412">
        <v>2</v>
      </c>
      <c r="K1412">
        <v>1</v>
      </c>
    </row>
    <row r="1413" spans="1:11" x14ac:dyDescent="0.25">
      <c r="A1413">
        <v>24</v>
      </c>
      <c r="B1413">
        <v>1</v>
      </c>
      <c r="C1413">
        <v>2</v>
      </c>
      <c r="D1413">
        <v>8</v>
      </c>
      <c r="E1413">
        <v>3</v>
      </c>
      <c r="F1413">
        <v>34.016791529999999</v>
      </c>
      <c r="G1413">
        <v>16</v>
      </c>
      <c r="H1413">
        <v>66</v>
      </c>
      <c r="I1413">
        <v>16</v>
      </c>
      <c r="J1413">
        <v>1</v>
      </c>
      <c r="K1413">
        <v>1</v>
      </c>
    </row>
    <row r="1414" spans="1:11" x14ac:dyDescent="0.25">
      <c r="A1414">
        <v>38</v>
      </c>
      <c r="B1414">
        <v>0</v>
      </c>
      <c r="C1414">
        <v>2</v>
      </c>
      <c r="D1414">
        <v>14</v>
      </c>
      <c r="E1414">
        <v>4</v>
      </c>
      <c r="F1414">
        <v>27.135472700000001</v>
      </c>
      <c r="G1414">
        <v>39</v>
      </c>
      <c r="H1414">
        <v>86</v>
      </c>
      <c r="I1414">
        <v>82</v>
      </c>
      <c r="J1414">
        <v>2</v>
      </c>
      <c r="K1414">
        <v>0</v>
      </c>
    </row>
    <row r="1415" spans="1:11" x14ac:dyDescent="0.25">
      <c r="A1415">
        <v>46</v>
      </c>
      <c r="B1415">
        <v>0</v>
      </c>
      <c r="C1415">
        <v>2</v>
      </c>
      <c r="D1415">
        <v>1</v>
      </c>
      <c r="E1415">
        <v>5</v>
      </c>
      <c r="F1415">
        <v>2.1795983890000001</v>
      </c>
      <c r="G1415">
        <v>37</v>
      </c>
      <c r="H1415">
        <v>41</v>
      </c>
      <c r="I1415">
        <v>10</v>
      </c>
      <c r="J1415">
        <v>1</v>
      </c>
      <c r="K1415">
        <v>0</v>
      </c>
    </row>
    <row r="1416" spans="1:11" x14ac:dyDescent="0.25">
      <c r="A1416">
        <v>33</v>
      </c>
      <c r="B1416">
        <v>0</v>
      </c>
      <c r="C1416">
        <v>2</v>
      </c>
      <c r="D1416">
        <v>2</v>
      </c>
      <c r="E1416">
        <v>3</v>
      </c>
      <c r="F1416">
        <v>21.686644879999999</v>
      </c>
      <c r="G1416">
        <v>84</v>
      </c>
      <c r="H1416">
        <v>81</v>
      </c>
      <c r="I1416">
        <v>47</v>
      </c>
      <c r="J1416">
        <v>2</v>
      </c>
      <c r="K1416">
        <v>0</v>
      </c>
    </row>
    <row r="1417" spans="1:11" x14ac:dyDescent="0.25">
      <c r="A1417">
        <v>45</v>
      </c>
      <c r="B1417">
        <v>0</v>
      </c>
      <c r="C1417">
        <v>4</v>
      </c>
      <c r="D1417">
        <v>9</v>
      </c>
      <c r="E1417">
        <v>2</v>
      </c>
      <c r="F1417">
        <v>15.962420959999999</v>
      </c>
      <c r="G1417">
        <v>60</v>
      </c>
      <c r="H1417">
        <v>25</v>
      </c>
      <c r="I1417">
        <v>4</v>
      </c>
      <c r="J1417">
        <v>3</v>
      </c>
      <c r="K1417">
        <v>1</v>
      </c>
    </row>
    <row r="1418" spans="1:11" x14ac:dyDescent="0.25">
      <c r="A1418">
        <v>49</v>
      </c>
      <c r="B1418">
        <v>0</v>
      </c>
      <c r="C1418">
        <v>2</v>
      </c>
      <c r="D1418">
        <v>7</v>
      </c>
      <c r="E1418">
        <v>4</v>
      </c>
      <c r="F1418">
        <v>38.405283390000001</v>
      </c>
      <c r="G1418">
        <v>8</v>
      </c>
      <c r="H1418">
        <v>12</v>
      </c>
      <c r="I1418">
        <v>68</v>
      </c>
      <c r="J1418">
        <v>2</v>
      </c>
      <c r="K1418">
        <v>1</v>
      </c>
    </row>
    <row r="1419" spans="1:11" x14ac:dyDescent="0.25">
      <c r="A1419">
        <v>23</v>
      </c>
      <c r="B1419">
        <v>1</v>
      </c>
      <c r="C1419">
        <v>1</v>
      </c>
      <c r="D1419">
        <v>13</v>
      </c>
      <c r="E1419">
        <v>2</v>
      </c>
      <c r="F1419">
        <v>11.413883759999999</v>
      </c>
      <c r="G1419">
        <v>76</v>
      </c>
      <c r="H1419">
        <v>57</v>
      </c>
      <c r="I1419">
        <v>63</v>
      </c>
      <c r="J1419">
        <v>2</v>
      </c>
      <c r="K1419">
        <v>0</v>
      </c>
    </row>
    <row r="1420" spans="1:11" x14ac:dyDescent="0.25">
      <c r="A1420">
        <v>44</v>
      </c>
      <c r="B1420">
        <v>1</v>
      </c>
      <c r="C1420">
        <v>2</v>
      </c>
      <c r="D1420">
        <v>5</v>
      </c>
      <c r="E1420">
        <v>1</v>
      </c>
      <c r="F1420">
        <v>11.261004359999999</v>
      </c>
      <c r="G1420">
        <v>74</v>
      </c>
      <c r="H1420">
        <v>17</v>
      </c>
      <c r="I1420">
        <v>13</v>
      </c>
      <c r="J1420">
        <v>1</v>
      </c>
      <c r="K1420">
        <v>0</v>
      </c>
    </row>
    <row r="1421" spans="1:11" x14ac:dyDescent="0.25">
      <c r="A1421">
        <v>32</v>
      </c>
      <c r="B1421">
        <v>0</v>
      </c>
      <c r="C1421">
        <v>3</v>
      </c>
      <c r="D1421">
        <v>9</v>
      </c>
      <c r="E1421">
        <v>2</v>
      </c>
      <c r="F1421">
        <v>10.47595216</v>
      </c>
      <c r="G1421">
        <v>60</v>
      </c>
      <c r="H1421">
        <v>66</v>
      </c>
      <c r="I1421">
        <v>49</v>
      </c>
      <c r="J1421">
        <v>2</v>
      </c>
      <c r="K1421">
        <v>1</v>
      </c>
    </row>
    <row r="1422" spans="1:11" x14ac:dyDescent="0.25">
      <c r="A1422">
        <v>29</v>
      </c>
      <c r="B1422">
        <v>0</v>
      </c>
      <c r="C1422">
        <v>3</v>
      </c>
      <c r="D1422">
        <v>8</v>
      </c>
      <c r="E1422">
        <v>2</v>
      </c>
      <c r="F1422">
        <v>7.2807806580000003</v>
      </c>
      <c r="G1422">
        <v>79</v>
      </c>
      <c r="H1422">
        <v>86</v>
      </c>
      <c r="I1422">
        <v>25</v>
      </c>
      <c r="J1422">
        <v>2</v>
      </c>
      <c r="K1422">
        <v>1</v>
      </c>
    </row>
    <row r="1423" spans="1:11" x14ac:dyDescent="0.25">
      <c r="A1423">
        <v>44</v>
      </c>
      <c r="B1423">
        <v>0</v>
      </c>
      <c r="C1423">
        <v>1</v>
      </c>
      <c r="D1423">
        <v>9</v>
      </c>
      <c r="E1423">
        <v>4</v>
      </c>
      <c r="F1423">
        <v>16.550350179999999</v>
      </c>
      <c r="G1423">
        <v>15</v>
      </c>
      <c r="H1423">
        <v>2</v>
      </c>
      <c r="I1423">
        <v>71</v>
      </c>
      <c r="J1423">
        <v>2</v>
      </c>
      <c r="K1423">
        <v>1</v>
      </c>
    </row>
    <row r="1424" spans="1:11" x14ac:dyDescent="0.25">
      <c r="A1424">
        <v>37</v>
      </c>
      <c r="B1424">
        <v>0</v>
      </c>
      <c r="C1424">
        <v>4</v>
      </c>
      <c r="D1424">
        <v>3</v>
      </c>
      <c r="E1424">
        <v>1</v>
      </c>
      <c r="F1424">
        <v>45.29610572</v>
      </c>
      <c r="G1424">
        <v>1</v>
      </c>
      <c r="H1424">
        <v>54</v>
      </c>
      <c r="I1424">
        <v>68</v>
      </c>
      <c r="J1424">
        <v>1</v>
      </c>
      <c r="K1424">
        <v>1</v>
      </c>
    </row>
    <row r="1425" spans="1:11" x14ac:dyDescent="0.25">
      <c r="A1425">
        <v>27</v>
      </c>
      <c r="B1425">
        <v>1</v>
      </c>
      <c r="C1425">
        <v>2</v>
      </c>
      <c r="D1425">
        <v>15</v>
      </c>
      <c r="E1425">
        <v>2</v>
      </c>
      <c r="F1425">
        <v>39.746423620000002</v>
      </c>
      <c r="G1425">
        <v>71</v>
      </c>
      <c r="H1425">
        <v>88</v>
      </c>
      <c r="I1425">
        <v>6</v>
      </c>
      <c r="J1425">
        <v>2</v>
      </c>
      <c r="K1425">
        <v>0</v>
      </c>
    </row>
    <row r="1426" spans="1:11" x14ac:dyDescent="0.25">
      <c r="A1426">
        <v>27</v>
      </c>
      <c r="B1426">
        <v>0</v>
      </c>
      <c r="C1426">
        <v>1</v>
      </c>
      <c r="D1426">
        <v>7</v>
      </c>
      <c r="E1426">
        <v>5</v>
      </c>
      <c r="F1426">
        <v>37.762560819999997</v>
      </c>
      <c r="G1426">
        <v>42</v>
      </c>
      <c r="H1426">
        <v>90</v>
      </c>
      <c r="I1426">
        <v>15</v>
      </c>
      <c r="J1426">
        <v>1</v>
      </c>
      <c r="K1426">
        <v>1</v>
      </c>
    </row>
    <row r="1427" spans="1:11" x14ac:dyDescent="0.25">
      <c r="A1427">
        <v>26</v>
      </c>
      <c r="B1427">
        <v>0</v>
      </c>
      <c r="C1427">
        <v>1</v>
      </c>
      <c r="D1427">
        <v>9</v>
      </c>
      <c r="E1427">
        <v>3</v>
      </c>
      <c r="F1427">
        <v>40.866840279999998</v>
      </c>
      <c r="G1427">
        <v>41</v>
      </c>
      <c r="H1427">
        <v>57</v>
      </c>
      <c r="I1427">
        <v>54</v>
      </c>
      <c r="J1427">
        <v>2</v>
      </c>
      <c r="K1427">
        <v>1</v>
      </c>
    </row>
    <row r="1428" spans="1:11" x14ac:dyDescent="0.25">
      <c r="A1428">
        <v>27</v>
      </c>
      <c r="B1428">
        <v>0</v>
      </c>
      <c r="C1428">
        <v>1</v>
      </c>
      <c r="D1428">
        <v>2</v>
      </c>
      <c r="E1428">
        <v>2</v>
      </c>
      <c r="F1428">
        <v>14.470894469999999</v>
      </c>
      <c r="G1428">
        <v>76</v>
      </c>
      <c r="H1428">
        <v>62</v>
      </c>
      <c r="I1428">
        <v>77</v>
      </c>
      <c r="J1428">
        <v>1</v>
      </c>
      <c r="K1428">
        <v>0</v>
      </c>
    </row>
    <row r="1429" spans="1:11" x14ac:dyDescent="0.25">
      <c r="A1429">
        <v>33</v>
      </c>
      <c r="B1429">
        <v>0</v>
      </c>
      <c r="C1429">
        <v>3</v>
      </c>
      <c r="D1429">
        <v>2</v>
      </c>
      <c r="E1429">
        <v>1</v>
      </c>
      <c r="F1429">
        <v>45.372084540000003</v>
      </c>
      <c r="G1429">
        <v>56</v>
      </c>
      <c r="H1429">
        <v>90</v>
      </c>
      <c r="I1429">
        <v>100</v>
      </c>
      <c r="J1429">
        <v>3</v>
      </c>
      <c r="K1429">
        <v>0</v>
      </c>
    </row>
    <row r="1430" spans="1:11" x14ac:dyDescent="0.25">
      <c r="A1430">
        <v>38</v>
      </c>
      <c r="B1430">
        <v>1</v>
      </c>
      <c r="C1430">
        <v>1</v>
      </c>
      <c r="D1430">
        <v>7</v>
      </c>
      <c r="E1430">
        <v>2</v>
      </c>
      <c r="F1430">
        <v>7.8651687570000002</v>
      </c>
      <c r="G1430">
        <v>80</v>
      </c>
      <c r="H1430">
        <v>51</v>
      </c>
      <c r="I1430">
        <v>55</v>
      </c>
      <c r="J1430">
        <v>1</v>
      </c>
      <c r="K1430">
        <v>0</v>
      </c>
    </row>
    <row r="1431" spans="1:11" x14ac:dyDescent="0.25">
      <c r="A1431">
        <v>48</v>
      </c>
      <c r="B1431">
        <v>0</v>
      </c>
      <c r="C1431">
        <v>1</v>
      </c>
      <c r="D1431">
        <v>4</v>
      </c>
      <c r="E1431">
        <v>3</v>
      </c>
      <c r="F1431">
        <v>17.817286339999999</v>
      </c>
      <c r="G1431">
        <v>87</v>
      </c>
      <c r="H1431">
        <v>88</v>
      </c>
      <c r="I1431">
        <v>3</v>
      </c>
      <c r="J1431">
        <v>2</v>
      </c>
      <c r="K1431">
        <v>1</v>
      </c>
    </row>
    <row r="1432" spans="1:11" x14ac:dyDescent="0.25">
      <c r="A1432">
        <v>25</v>
      </c>
      <c r="B1432">
        <v>0</v>
      </c>
      <c r="C1432">
        <v>3</v>
      </c>
      <c r="D1432">
        <v>2</v>
      </c>
      <c r="E1432">
        <v>1</v>
      </c>
      <c r="F1432">
        <v>30.337405950000001</v>
      </c>
      <c r="G1432">
        <v>66</v>
      </c>
      <c r="H1432">
        <v>23</v>
      </c>
      <c r="I1432">
        <v>99</v>
      </c>
      <c r="J1432">
        <v>1</v>
      </c>
      <c r="K1432">
        <v>1</v>
      </c>
    </row>
    <row r="1433" spans="1:11" x14ac:dyDescent="0.25">
      <c r="A1433">
        <v>20</v>
      </c>
      <c r="B1433">
        <v>1</v>
      </c>
      <c r="C1433">
        <v>2</v>
      </c>
      <c r="D1433">
        <v>9</v>
      </c>
      <c r="E1433">
        <v>4</v>
      </c>
      <c r="F1433">
        <v>6.1452544170000003</v>
      </c>
      <c r="G1433">
        <v>29</v>
      </c>
      <c r="H1433">
        <v>71</v>
      </c>
      <c r="I1433">
        <v>47</v>
      </c>
      <c r="J1433">
        <v>2</v>
      </c>
      <c r="K1433">
        <v>1</v>
      </c>
    </row>
    <row r="1434" spans="1:11" x14ac:dyDescent="0.25">
      <c r="A1434">
        <v>42</v>
      </c>
      <c r="B1434">
        <v>1</v>
      </c>
      <c r="C1434">
        <v>1</v>
      </c>
      <c r="D1434">
        <v>10</v>
      </c>
      <c r="E1434">
        <v>1</v>
      </c>
      <c r="F1434">
        <v>37.506509389999998</v>
      </c>
      <c r="G1434">
        <v>12</v>
      </c>
      <c r="H1434">
        <v>8</v>
      </c>
      <c r="I1434">
        <v>16</v>
      </c>
      <c r="J1434">
        <v>2</v>
      </c>
      <c r="K1434">
        <v>1</v>
      </c>
    </row>
    <row r="1435" spans="1:11" x14ac:dyDescent="0.25">
      <c r="A1435">
        <v>50</v>
      </c>
      <c r="B1435">
        <v>1</v>
      </c>
      <c r="C1435">
        <v>1</v>
      </c>
      <c r="D1435">
        <v>15</v>
      </c>
      <c r="E1435">
        <v>4</v>
      </c>
      <c r="F1435">
        <v>20.362302410000002</v>
      </c>
      <c r="G1435">
        <v>18</v>
      </c>
      <c r="H1435">
        <v>36</v>
      </c>
      <c r="I1435">
        <v>35</v>
      </c>
      <c r="J1435">
        <v>2</v>
      </c>
      <c r="K1435">
        <v>0</v>
      </c>
    </row>
    <row r="1436" spans="1:11" x14ac:dyDescent="0.25">
      <c r="A1436">
        <v>34</v>
      </c>
      <c r="B1436">
        <v>0</v>
      </c>
      <c r="C1436">
        <v>1</v>
      </c>
      <c r="D1436">
        <v>0</v>
      </c>
      <c r="E1436">
        <v>1</v>
      </c>
      <c r="F1436">
        <v>40.220283279999997</v>
      </c>
      <c r="G1436">
        <v>6</v>
      </c>
      <c r="H1436">
        <v>93</v>
      </c>
      <c r="I1436">
        <v>69</v>
      </c>
      <c r="J1436">
        <v>1</v>
      </c>
      <c r="K1436">
        <v>0</v>
      </c>
    </row>
    <row r="1437" spans="1:11" x14ac:dyDescent="0.25">
      <c r="A1437">
        <v>20</v>
      </c>
      <c r="B1437">
        <v>0</v>
      </c>
      <c r="C1437">
        <v>2</v>
      </c>
      <c r="D1437">
        <v>14</v>
      </c>
      <c r="E1437">
        <v>3</v>
      </c>
      <c r="F1437">
        <v>25.644814279999999</v>
      </c>
      <c r="G1437">
        <v>8</v>
      </c>
      <c r="H1437">
        <v>82</v>
      </c>
      <c r="I1437">
        <v>79</v>
      </c>
      <c r="J1437">
        <v>2</v>
      </c>
      <c r="K1437">
        <v>1</v>
      </c>
    </row>
    <row r="1438" spans="1:11" x14ac:dyDescent="0.25">
      <c r="A1438">
        <v>44</v>
      </c>
      <c r="B1438">
        <v>1</v>
      </c>
      <c r="C1438">
        <v>2</v>
      </c>
      <c r="D1438">
        <v>2</v>
      </c>
      <c r="E1438">
        <v>3</v>
      </c>
      <c r="F1438">
        <v>10.04372622</v>
      </c>
      <c r="G1438">
        <v>82</v>
      </c>
      <c r="H1438">
        <v>52</v>
      </c>
      <c r="I1438">
        <v>92</v>
      </c>
      <c r="J1438">
        <v>1</v>
      </c>
      <c r="K1438">
        <v>1</v>
      </c>
    </row>
    <row r="1439" spans="1:11" x14ac:dyDescent="0.25">
      <c r="A1439">
        <v>36</v>
      </c>
      <c r="B1439">
        <v>1</v>
      </c>
      <c r="C1439">
        <v>1</v>
      </c>
      <c r="D1439">
        <v>11</v>
      </c>
      <c r="E1439">
        <v>1</v>
      </c>
      <c r="F1439">
        <v>37.738090569999997</v>
      </c>
      <c r="G1439">
        <v>53</v>
      </c>
      <c r="H1439">
        <v>79</v>
      </c>
      <c r="I1439">
        <v>99</v>
      </c>
      <c r="J1439">
        <v>1</v>
      </c>
      <c r="K1439">
        <v>1</v>
      </c>
    </row>
    <row r="1440" spans="1:11" x14ac:dyDescent="0.25">
      <c r="A1440">
        <v>20</v>
      </c>
      <c r="B1440">
        <v>1</v>
      </c>
      <c r="C1440">
        <v>1</v>
      </c>
      <c r="D1440">
        <v>8</v>
      </c>
      <c r="E1440">
        <v>2</v>
      </c>
      <c r="F1440">
        <v>13.607197790000001</v>
      </c>
      <c r="G1440">
        <v>85</v>
      </c>
      <c r="H1440">
        <v>23</v>
      </c>
      <c r="I1440">
        <v>37</v>
      </c>
      <c r="J1440">
        <v>2</v>
      </c>
      <c r="K1440">
        <v>0</v>
      </c>
    </row>
    <row r="1441" spans="1:11" x14ac:dyDescent="0.25">
      <c r="A1441">
        <v>34</v>
      </c>
      <c r="B1441">
        <v>1</v>
      </c>
      <c r="C1441">
        <v>3</v>
      </c>
      <c r="D1441">
        <v>4</v>
      </c>
      <c r="E1441">
        <v>3</v>
      </c>
      <c r="F1441">
        <v>25.540515060000001</v>
      </c>
      <c r="G1441">
        <v>81</v>
      </c>
      <c r="H1441">
        <v>20</v>
      </c>
      <c r="I1441">
        <v>100</v>
      </c>
      <c r="J1441">
        <v>1</v>
      </c>
      <c r="K1441">
        <v>1</v>
      </c>
    </row>
    <row r="1442" spans="1:11" x14ac:dyDescent="0.25">
      <c r="A1442">
        <v>42</v>
      </c>
      <c r="B1442">
        <v>1</v>
      </c>
      <c r="C1442">
        <v>2</v>
      </c>
      <c r="D1442">
        <v>11</v>
      </c>
      <c r="E1442">
        <v>4</v>
      </c>
      <c r="F1442">
        <v>4.7766634579999998</v>
      </c>
      <c r="G1442">
        <v>60</v>
      </c>
      <c r="H1442">
        <v>99</v>
      </c>
      <c r="I1442">
        <v>61</v>
      </c>
      <c r="J1442">
        <v>1</v>
      </c>
      <c r="K1442">
        <v>0</v>
      </c>
    </row>
    <row r="1443" spans="1:11" x14ac:dyDescent="0.25">
      <c r="A1443">
        <v>21</v>
      </c>
      <c r="B1443">
        <v>1</v>
      </c>
      <c r="C1443">
        <v>2</v>
      </c>
      <c r="D1443">
        <v>9</v>
      </c>
      <c r="E1443">
        <v>4</v>
      </c>
      <c r="F1443">
        <v>31.89333272</v>
      </c>
      <c r="G1443">
        <v>86</v>
      </c>
      <c r="H1443">
        <v>39</v>
      </c>
      <c r="I1443">
        <v>47</v>
      </c>
      <c r="J1443">
        <v>3</v>
      </c>
      <c r="K1443">
        <v>1</v>
      </c>
    </row>
    <row r="1444" spans="1:11" x14ac:dyDescent="0.25">
      <c r="A1444">
        <v>33</v>
      </c>
      <c r="B1444">
        <v>0</v>
      </c>
      <c r="C1444">
        <v>2</v>
      </c>
      <c r="D1444">
        <v>14</v>
      </c>
      <c r="E1444">
        <v>5</v>
      </c>
      <c r="F1444">
        <v>34.292888310000002</v>
      </c>
      <c r="G1444">
        <v>1</v>
      </c>
      <c r="H1444">
        <v>61</v>
      </c>
      <c r="I1444">
        <v>9</v>
      </c>
      <c r="J1444">
        <v>3</v>
      </c>
      <c r="K1444">
        <v>0</v>
      </c>
    </row>
    <row r="1445" spans="1:11" x14ac:dyDescent="0.25">
      <c r="A1445">
        <v>40</v>
      </c>
      <c r="B1445">
        <v>0</v>
      </c>
      <c r="C1445">
        <v>2</v>
      </c>
      <c r="D1445">
        <v>1</v>
      </c>
      <c r="E1445">
        <v>4</v>
      </c>
      <c r="F1445">
        <v>19.9337105</v>
      </c>
      <c r="G1445">
        <v>49</v>
      </c>
      <c r="H1445">
        <v>69</v>
      </c>
      <c r="I1445">
        <v>35</v>
      </c>
      <c r="J1445">
        <v>2</v>
      </c>
      <c r="K1445">
        <v>0</v>
      </c>
    </row>
    <row r="1446" spans="1:11" x14ac:dyDescent="0.25">
      <c r="A1446">
        <v>27</v>
      </c>
      <c r="B1446">
        <v>0</v>
      </c>
      <c r="C1446">
        <v>2</v>
      </c>
      <c r="D1446">
        <v>6</v>
      </c>
      <c r="E1446">
        <v>5</v>
      </c>
      <c r="F1446">
        <v>48.721139020000003</v>
      </c>
      <c r="G1446">
        <v>74</v>
      </c>
      <c r="H1446">
        <v>68</v>
      </c>
      <c r="I1446">
        <v>28</v>
      </c>
      <c r="J1446">
        <v>1</v>
      </c>
      <c r="K1446">
        <v>1</v>
      </c>
    </row>
    <row r="1447" spans="1:11" x14ac:dyDescent="0.25">
      <c r="A1447">
        <v>27</v>
      </c>
      <c r="B1447">
        <v>1</v>
      </c>
      <c r="C1447">
        <v>2</v>
      </c>
      <c r="D1447">
        <v>14</v>
      </c>
      <c r="E1447">
        <v>1</v>
      </c>
      <c r="F1447">
        <v>44.708446070000001</v>
      </c>
      <c r="G1447">
        <v>30</v>
      </c>
      <c r="H1447">
        <v>13</v>
      </c>
      <c r="I1447">
        <v>77</v>
      </c>
      <c r="J1447">
        <v>1</v>
      </c>
      <c r="K1447">
        <v>0</v>
      </c>
    </row>
    <row r="1448" spans="1:11" x14ac:dyDescent="0.25">
      <c r="A1448">
        <v>38</v>
      </c>
      <c r="B1448">
        <v>1</v>
      </c>
      <c r="C1448">
        <v>2</v>
      </c>
      <c r="D1448">
        <v>1</v>
      </c>
      <c r="E1448">
        <v>1</v>
      </c>
      <c r="F1448">
        <v>36.39704579</v>
      </c>
      <c r="G1448">
        <v>32</v>
      </c>
      <c r="H1448">
        <v>41</v>
      </c>
      <c r="I1448">
        <v>3</v>
      </c>
      <c r="J1448">
        <v>2</v>
      </c>
      <c r="K1448">
        <v>0</v>
      </c>
    </row>
    <row r="1449" spans="1:11" x14ac:dyDescent="0.25">
      <c r="A1449">
        <v>26</v>
      </c>
      <c r="B1449">
        <v>1</v>
      </c>
      <c r="C1449">
        <v>4</v>
      </c>
      <c r="D1449">
        <v>3</v>
      </c>
      <c r="E1449">
        <v>1</v>
      </c>
      <c r="F1449">
        <v>36.682603720000003</v>
      </c>
      <c r="G1449">
        <v>77</v>
      </c>
      <c r="H1449">
        <v>49</v>
      </c>
      <c r="I1449">
        <v>43</v>
      </c>
      <c r="J1449">
        <v>1</v>
      </c>
      <c r="K1449">
        <v>1</v>
      </c>
    </row>
    <row r="1450" spans="1:11" x14ac:dyDescent="0.25">
      <c r="A1450">
        <v>38</v>
      </c>
      <c r="B1450">
        <v>1</v>
      </c>
      <c r="C1450">
        <v>1</v>
      </c>
      <c r="D1450">
        <v>11</v>
      </c>
      <c r="E1450">
        <v>2</v>
      </c>
      <c r="F1450">
        <v>13.620085749999999</v>
      </c>
      <c r="G1450">
        <v>79</v>
      </c>
      <c r="H1450">
        <v>60</v>
      </c>
      <c r="I1450">
        <v>55</v>
      </c>
      <c r="J1450">
        <v>3</v>
      </c>
      <c r="K1450">
        <v>0</v>
      </c>
    </row>
    <row r="1451" spans="1:11" x14ac:dyDescent="0.25">
      <c r="A1451">
        <v>25</v>
      </c>
      <c r="B1451">
        <v>1</v>
      </c>
      <c r="C1451">
        <v>3</v>
      </c>
      <c r="D1451">
        <v>6</v>
      </c>
      <c r="E1451">
        <v>2</v>
      </c>
      <c r="F1451">
        <v>33.840761550000003</v>
      </c>
      <c r="G1451">
        <v>10</v>
      </c>
      <c r="H1451">
        <v>3</v>
      </c>
      <c r="I1451">
        <v>41</v>
      </c>
      <c r="J1451">
        <v>1</v>
      </c>
      <c r="K1451">
        <v>1</v>
      </c>
    </row>
    <row r="1452" spans="1:11" x14ac:dyDescent="0.25">
      <c r="A1452">
        <v>25</v>
      </c>
      <c r="B1452">
        <v>1</v>
      </c>
      <c r="C1452">
        <v>1</v>
      </c>
      <c r="D1452">
        <v>3</v>
      </c>
      <c r="E1452">
        <v>5</v>
      </c>
      <c r="F1452">
        <v>10.910313260000001</v>
      </c>
      <c r="G1452">
        <v>32</v>
      </c>
      <c r="H1452">
        <v>71</v>
      </c>
      <c r="I1452">
        <v>99</v>
      </c>
      <c r="J1452">
        <v>3</v>
      </c>
      <c r="K1452">
        <v>0</v>
      </c>
    </row>
    <row r="1453" spans="1:11" x14ac:dyDescent="0.25">
      <c r="A1453">
        <v>22</v>
      </c>
      <c r="B1453">
        <v>0</v>
      </c>
      <c r="C1453">
        <v>3</v>
      </c>
      <c r="D1453">
        <v>6</v>
      </c>
      <c r="E1453">
        <v>4</v>
      </c>
      <c r="F1453">
        <v>8.2001611959999998</v>
      </c>
      <c r="G1453">
        <v>6</v>
      </c>
      <c r="H1453">
        <v>87</v>
      </c>
      <c r="I1453">
        <v>12</v>
      </c>
      <c r="J1453">
        <v>2</v>
      </c>
      <c r="K1453">
        <v>0</v>
      </c>
    </row>
    <row r="1454" spans="1:11" x14ac:dyDescent="0.25">
      <c r="A1454">
        <v>26</v>
      </c>
      <c r="B1454">
        <v>0</v>
      </c>
      <c r="C1454">
        <v>2</v>
      </c>
      <c r="D1454">
        <v>15</v>
      </c>
      <c r="E1454">
        <v>4</v>
      </c>
      <c r="F1454">
        <v>50.973394710000001</v>
      </c>
      <c r="G1454">
        <v>30</v>
      </c>
      <c r="H1454">
        <v>74</v>
      </c>
      <c r="I1454">
        <v>45</v>
      </c>
      <c r="J1454">
        <v>2</v>
      </c>
      <c r="K1454">
        <v>0</v>
      </c>
    </row>
    <row r="1455" spans="1:11" x14ac:dyDescent="0.25">
      <c r="A1455">
        <v>38</v>
      </c>
      <c r="B1455">
        <v>1</v>
      </c>
      <c r="C1455">
        <v>3</v>
      </c>
      <c r="D1455">
        <v>6</v>
      </c>
      <c r="E1455">
        <v>1</v>
      </c>
      <c r="F1455">
        <v>32.118796570000001</v>
      </c>
      <c r="G1455">
        <v>47</v>
      </c>
      <c r="H1455">
        <v>16</v>
      </c>
      <c r="I1455">
        <v>81</v>
      </c>
      <c r="J1455">
        <v>1</v>
      </c>
      <c r="K1455">
        <v>0</v>
      </c>
    </row>
    <row r="1456" spans="1:11" x14ac:dyDescent="0.25">
      <c r="A1456">
        <v>27</v>
      </c>
      <c r="B1456">
        <v>0</v>
      </c>
      <c r="C1456">
        <v>1</v>
      </c>
      <c r="D1456">
        <v>15</v>
      </c>
      <c r="E1456">
        <v>3</v>
      </c>
      <c r="F1456">
        <v>22.549393630000001</v>
      </c>
      <c r="G1456">
        <v>46</v>
      </c>
      <c r="H1456">
        <v>84</v>
      </c>
      <c r="I1456">
        <v>32</v>
      </c>
      <c r="J1456">
        <v>3</v>
      </c>
      <c r="K1456">
        <v>1</v>
      </c>
    </row>
    <row r="1457" spans="1:11" x14ac:dyDescent="0.25">
      <c r="A1457">
        <v>29</v>
      </c>
      <c r="B1457">
        <v>1</v>
      </c>
      <c r="C1457">
        <v>2</v>
      </c>
      <c r="D1457">
        <v>0</v>
      </c>
      <c r="E1457">
        <v>2</v>
      </c>
      <c r="F1457">
        <v>15.40822614</v>
      </c>
      <c r="G1457">
        <v>77</v>
      </c>
      <c r="H1457">
        <v>56</v>
      </c>
      <c r="I1457">
        <v>20</v>
      </c>
      <c r="J1457">
        <v>1</v>
      </c>
      <c r="K1457">
        <v>1</v>
      </c>
    </row>
    <row r="1458" spans="1:11" x14ac:dyDescent="0.25">
      <c r="A1458">
        <v>39</v>
      </c>
      <c r="B1458">
        <v>0</v>
      </c>
      <c r="C1458">
        <v>2</v>
      </c>
      <c r="D1458">
        <v>5</v>
      </c>
      <c r="E1458">
        <v>2</v>
      </c>
      <c r="F1458">
        <v>31.19602218</v>
      </c>
      <c r="G1458">
        <v>91</v>
      </c>
      <c r="H1458">
        <v>89</v>
      </c>
      <c r="I1458">
        <v>79</v>
      </c>
      <c r="J1458">
        <v>2</v>
      </c>
      <c r="K1458">
        <v>1</v>
      </c>
    </row>
    <row r="1459" spans="1:11" x14ac:dyDescent="0.25">
      <c r="A1459">
        <v>34</v>
      </c>
      <c r="B1459">
        <v>1</v>
      </c>
      <c r="C1459">
        <v>3</v>
      </c>
      <c r="D1459">
        <v>8</v>
      </c>
      <c r="E1459">
        <v>1</v>
      </c>
      <c r="F1459">
        <v>3.4796754110000001</v>
      </c>
      <c r="G1459">
        <v>52</v>
      </c>
      <c r="H1459">
        <v>47</v>
      </c>
      <c r="I1459">
        <v>78</v>
      </c>
      <c r="J1459">
        <v>3</v>
      </c>
      <c r="K1459">
        <v>0</v>
      </c>
    </row>
    <row r="1460" spans="1:11" x14ac:dyDescent="0.25">
      <c r="A1460">
        <v>34</v>
      </c>
      <c r="B1460">
        <v>1</v>
      </c>
      <c r="C1460">
        <v>2</v>
      </c>
      <c r="D1460">
        <v>1</v>
      </c>
      <c r="E1460">
        <v>2</v>
      </c>
      <c r="F1460">
        <v>5.7340495249999996</v>
      </c>
      <c r="G1460">
        <v>79</v>
      </c>
      <c r="H1460">
        <v>43</v>
      </c>
      <c r="I1460">
        <v>56</v>
      </c>
      <c r="J1460">
        <v>1</v>
      </c>
      <c r="K1460">
        <v>0</v>
      </c>
    </row>
    <row r="1461" spans="1:11" x14ac:dyDescent="0.25">
      <c r="A1461">
        <v>48</v>
      </c>
      <c r="B1461">
        <v>0</v>
      </c>
      <c r="C1461">
        <v>2</v>
      </c>
      <c r="D1461">
        <v>13</v>
      </c>
      <c r="E1461">
        <v>1</v>
      </c>
      <c r="F1461">
        <v>2.6428348869999998</v>
      </c>
      <c r="G1461">
        <v>18</v>
      </c>
      <c r="H1461">
        <v>44</v>
      </c>
      <c r="I1461">
        <v>68</v>
      </c>
      <c r="J1461">
        <v>2</v>
      </c>
      <c r="K1461">
        <v>1</v>
      </c>
    </row>
    <row r="1462" spans="1:11" x14ac:dyDescent="0.25">
      <c r="A1462">
        <v>20</v>
      </c>
      <c r="B1462">
        <v>0</v>
      </c>
      <c r="C1462">
        <v>2</v>
      </c>
      <c r="D1462">
        <v>2</v>
      </c>
      <c r="E1462">
        <v>5</v>
      </c>
      <c r="F1462">
        <v>25.95849166</v>
      </c>
      <c r="G1462">
        <v>80</v>
      </c>
      <c r="H1462">
        <v>90</v>
      </c>
      <c r="I1462">
        <v>69</v>
      </c>
      <c r="J1462">
        <v>2</v>
      </c>
      <c r="K1462">
        <v>1</v>
      </c>
    </row>
    <row r="1463" spans="1:11" x14ac:dyDescent="0.25">
      <c r="A1463">
        <v>39</v>
      </c>
      <c r="B1463">
        <v>1</v>
      </c>
      <c r="C1463">
        <v>2</v>
      </c>
      <c r="D1463">
        <v>9</v>
      </c>
      <c r="E1463">
        <v>4</v>
      </c>
      <c r="F1463">
        <v>31.030331459999999</v>
      </c>
      <c r="G1463">
        <v>89</v>
      </c>
      <c r="H1463">
        <v>79</v>
      </c>
      <c r="I1463">
        <v>66</v>
      </c>
      <c r="J1463">
        <v>2</v>
      </c>
      <c r="K1463">
        <v>1</v>
      </c>
    </row>
    <row r="1464" spans="1:11" x14ac:dyDescent="0.25">
      <c r="A1464">
        <v>49</v>
      </c>
      <c r="B1464">
        <v>1</v>
      </c>
      <c r="C1464">
        <v>2</v>
      </c>
      <c r="D1464">
        <v>4</v>
      </c>
      <c r="E1464">
        <v>3</v>
      </c>
      <c r="F1464">
        <v>4.1239880680000001</v>
      </c>
      <c r="G1464">
        <v>5</v>
      </c>
      <c r="H1464">
        <v>89</v>
      </c>
      <c r="I1464">
        <v>47</v>
      </c>
      <c r="J1464">
        <v>2</v>
      </c>
      <c r="K1464">
        <v>1</v>
      </c>
    </row>
    <row r="1465" spans="1:11" x14ac:dyDescent="0.25">
      <c r="A1465">
        <v>26</v>
      </c>
      <c r="B1465">
        <v>0</v>
      </c>
      <c r="C1465">
        <v>1</v>
      </c>
      <c r="D1465">
        <v>8</v>
      </c>
      <c r="E1465">
        <v>4</v>
      </c>
      <c r="F1465">
        <v>37.06122337</v>
      </c>
      <c r="G1465">
        <v>48</v>
      </c>
      <c r="H1465">
        <v>32</v>
      </c>
      <c r="I1465">
        <v>75</v>
      </c>
      <c r="J1465">
        <v>2</v>
      </c>
      <c r="K1465">
        <v>0</v>
      </c>
    </row>
    <row r="1466" spans="1:11" x14ac:dyDescent="0.25">
      <c r="A1466">
        <v>46</v>
      </c>
      <c r="B1466">
        <v>0</v>
      </c>
      <c r="C1466">
        <v>4</v>
      </c>
      <c r="D1466">
        <v>3</v>
      </c>
      <c r="E1466">
        <v>4</v>
      </c>
      <c r="F1466">
        <v>12.51975358</v>
      </c>
      <c r="G1466">
        <v>72</v>
      </c>
      <c r="H1466">
        <v>30</v>
      </c>
      <c r="I1466">
        <v>99</v>
      </c>
      <c r="J1466">
        <v>2</v>
      </c>
      <c r="K1466">
        <v>1</v>
      </c>
    </row>
    <row r="1467" spans="1:11" x14ac:dyDescent="0.25">
      <c r="A1467">
        <v>23</v>
      </c>
      <c r="B1467">
        <v>1</v>
      </c>
      <c r="C1467">
        <v>3</v>
      </c>
      <c r="D1467">
        <v>0</v>
      </c>
      <c r="E1467">
        <v>5</v>
      </c>
      <c r="F1467">
        <v>35.260072690000001</v>
      </c>
      <c r="G1467">
        <v>49</v>
      </c>
      <c r="H1467">
        <v>46</v>
      </c>
      <c r="I1467">
        <v>32</v>
      </c>
      <c r="J1467">
        <v>2</v>
      </c>
      <c r="K1467">
        <v>0</v>
      </c>
    </row>
    <row r="1468" spans="1:11" x14ac:dyDescent="0.25">
      <c r="A1468">
        <v>48</v>
      </c>
      <c r="B1468">
        <v>0</v>
      </c>
      <c r="C1468">
        <v>4</v>
      </c>
      <c r="D1468">
        <v>3</v>
      </c>
      <c r="E1468">
        <v>2</v>
      </c>
      <c r="F1468">
        <v>50.094856999999998</v>
      </c>
      <c r="G1468">
        <v>80</v>
      </c>
      <c r="H1468">
        <v>5</v>
      </c>
      <c r="I1468">
        <v>35</v>
      </c>
      <c r="J1468">
        <v>2</v>
      </c>
      <c r="K1468">
        <v>1</v>
      </c>
    </row>
    <row r="1469" spans="1:11" x14ac:dyDescent="0.25">
      <c r="A1469">
        <v>25</v>
      </c>
      <c r="B1469">
        <v>1</v>
      </c>
      <c r="C1469">
        <v>2</v>
      </c>
      <c r="D1469">
        <v>5</v>
      </c>
      <c r="E1469">
        <v>3</v>
      </c>
      <c r="F1469">
        <v>35.555293499999998</v>
      </c>
      <c r="G1469">
        <v>94</v>
      </c>
      <c r="H1469">
        <v>71</v>
      </c>
      <c r="I1469">
        <v>32</v>
      </c>
      <c r="J1469">
        <v>1</v>
      </c>
      <c r="K1469">
        <v>0</v>
      </c>
    </row>
    <row r="1470" spans="1:11" x14ac:dyDescent="0.25">
      <c r="A1470">
        <v>44</v>
      </c>
      <c r="B1470">
        <v>1</v>
      </c>
      <c r="C1470">
        <v>3</v>
      </c>
      <c r="D1470">
        <v>4</v>
      </c>
      <c r="E1470">
        <v>2</v>
      </c>
      <c r="F1470">
        <v>45.159652649999998</v>
      </c>
      <c r="G1470">
        <v>11</v>
      </c>
      <c r="H1470">
        <v>70</v>
      </c>
      <c r="I1470">
        <v>30</v>
      </c>
      <c r="J1470">
        <v>3</v>
      </c>
      <c r="K1470">
        <v>1</v>
      </c>
    </row>
    <row r="1471" spans="1:11" x14ac:dyDescent="0.25">
      <c r="A1471">
        <v>20</v>
      </c>
      <c r="B1471">
        <v>1</v>
      </c>
      <c r="C1471">
        <v>3</v>
      </c>
      <c r="D1471">
        <v>13</v>
      </c>
      <c r="E1471">
        <v>4</v>
      </c>
      <c r="F1471">
        <v>48.409925340000001</v>
      </c>
      <c r="G1471">
        <v>22</v>
      </c>
      <c r="H1471">
        <v>33</v>
      </c>
      <c r="I1471">
        <v>20</v>
      </c>
      <c r="J1471">
        <v>3</v>
      </c>
      <c r="K1471">
        <v>1</v>
      </c>
    </row>
    <row r="1472" spans="1:11" x14ac:dyDescent="0.25">
      <c r="A1472">
        <v>48</v>
      </c>
      <c r="B1472">
        <v>1</v>
      </c>
      <c r="C1472">
        <v>2</v>
      </c>
      <c r="D1472">
        <v>12</v>
      </c>
      <c r="E1472">
        <v>1</v>
      </c>
      <c r="F1472">
        <v>25.337552420000002</v>
      </c>
      <c r="G1472">
        <v>53</v>
      </c>
      <c r="H1472">
        <v>52</v>
      </c>
      <c r="I1472">
        <v>26</v>
      </c>
      <c r="J1472">
        <v>2</v>
      </c>
      <c r="K1472">
        <v>0</v>
      </c>
    </row>
    <row r="1473" spans="1:11" x14ac:dyDescent="0.25">
      <c r="A1473">
        <v>24</v>
      </c>
      <c r="B1473">
        <v>0</v>
      </c>
      <c r="C1473">
        <v>2</v>
      </c>
      <c r="D1473">
        <v>0</v>
      </c>
      <c r="E1473">
        <v>4</v>
      </c>
      <c r="F1473">
        <v>36.116248970000001</v>
      </c>
      <c r="G1473">
        <v>68</v>
      </c>
      <c r="H1473">
        <v>13</v>
      </c>
      <c r="I1473">
        <v>90</v>
      </c>
      <c r="J1473">
        <v>2</v>
      </c>
      <c r="K1473">
        <v>0</v>
      </c>
    </row>
    <row r="1474" spans="1:11" x14ac:dyDescent="0.25">
      <c r="A1474">
        <v>46</v>
      </c>
      <c r="B1474">
        <v>0</v>
      </c>
      <c r="C1474">
        <v>2</v>
      </c>
      <c r="D1474">
        <v>3</v>
      </c>
      <c r="E1474">
        <v>2</v>
      </c>
      <c r="F1474">
        <v>43.598462679999997</v>
      </c>
      <c r="G1474">
        <v>99</v>
      </c>
      <c r="H1474">
        <v>15</v>
      </c>
      <c r="I1474">
        <v>71</v>
      </c>
      <c r="J1474">
        <v>2</v>
      </c>
      <c r="K1474">
        <v>1</v>
      </c>
    </row>
    <row r="1475" spans="1:11" x14ac:dyDescent="0.25">
      <c r="A1475">
        <v>42</v>
      </c>
      <c r="B1475">
        <v>0</v>
      </c>
      <c r="C1475">
        <v>3</v>
      </c>
      <c r="D1475">
        <v>5</v>
      </c>
      <c r="E1475">
        <v>4</v>
      </c>
      <c r="F1475">
        <v>18.830445640000001</v>
      </c>
      <c r="G1475">
        <v>58</v>
      </c>
      <c r="H1475">
        <v>42</v>
      </c>
      <c r="I1475">
        <v>100</v>
      </c>
      <c r="J1475">
        <v>2</v>
      </c>
      <c r="K1475">
        <v>0</v>
      </c>
    </row>
    <row r="1476" spans="1:11" x14ac:dyDescent="0.25">
      <c r="A1476">
        <v>20</v>
      </c>
      <c r="B1476">
        <v>0</v>
      </c>
      <c r="C1476">
        <v>2</v>
      </c>
      <c r="D1476">
        <v>12</v>
      </c>
      <c r="E1476">
        <v>1</v>
      </c>
      <c r="F1476">
        <v>14.069865829999999</v>
      </c>
      <c r="G1476">
        <v>35</v>
      </c>
      <c r="H1476">
        <v>72</v>
      </c>
      <c r="I1476">
        <v>61</v>
      </c>
      <c r="J1476">
        <v>2</v>
      </c>
      <c r="K1476">
        <v>1</v>
      </c>
    </row>
    <row r="1477" spans="1:11" x14ac:dyDescent="0.25">
      <c r="A1477">
        <v>49</v>
      </c>
      <c r="B1477">
        <v>0</v>
      </c>
      <c r="C1477">
        <v>1</v>
      </c>
      <c r="D1477">
        <v>14</v>
      </c>
      <c r="E1477">
        <v>5</v>
      </c>
      <c r="F1477">
        <v>48.329928639999999</v>
      </c>
      <c r="G1477">
        <v>2</v>
      </c>
      <c r="H1477">
        <v>73</v>
      </c>
      <c r="I1477">
        <v>95</v>
      </c>
      <c r="J1477">
        <v>1</v>
      </c>
      <c r="K1477">
        <v>0</v>
      </c>
    </row>
    <row r="1478" spans="1:11" x14ac:dyDescent="0.25">
      <c r="A1478">
        <v>23</v>
      </c>
      <c r="B1478">
        <v>0</v>
      </c>
      <c r="C1478">
        <v>2</v>
      </c>
      <c r="D1478">
        <v>9</v>
      </c>
      <c r="E1478">
        <v>2</v>
      </c>
      <c r="F1478">
        <v>37.315175019999998</v>
      </c>
      <c r="G1478">
        <v>57</v>
      </c>
      <c r="H1478">
        <v>80</v>
      </c>
      <c r="I1478">
        <v>25</v>
      </c>
      <c r="J1478">
        <v>2</v>
      </c>
      <c r="K1478">
        <v>1</v>
      </c>
    </row>
    <row r="1479" spans="1:11" x14ac:dyDescent="0.25">
      <c r="A1479">
        <v>41</v>
      </c>
      <c r="B1479">
        <v>0</v>
      </c>
      <c r="C1479">
        <v>4</v>
      </c>
      <c r="D1479">
        <v>9</v>
      </c>
      <c r="E1479">
        <v>4</v>
      </c>
      <c r="F1479">
        <v>11.984106669999999</v>
      </c>
      <c r="G1479">
        <v>87</v>
      </c>
      <c r="H1479">
        <v>11</v>
      </c>
      <c r="I1479">
        <v>65</v>
      </c>
      <c r="J1479">
        <v>1</v>
      </c>
      <c r="K1479">
        <v>1</v>
      </c>
    </row>
    <row r="1480" spans="1:11" x14ac:dyDescent="0.25">
      <c r="A1480">
        <v>21</v>
      </c>
      <c r="B1480">
        <v>1</v>
      </c>
      <c r="C1480">
        <v>3</v>
      </c>
      <c r="D1480">
        <v>13</v>
      </c>
      <c r="E1480">
        <v>2</v>
      </c>
      <c r="F1480">
        <v>23.454169629999999</v>
      </c>
      <c r="G1480">
        <v>54</v>
      </c>
      <c r="H1480">
        <v>69</v>
      </c>
      <c r="I1480">
        <v>11</v>
      </c>
      <c r="J1480">
        <v>1</v>
      </c>
      <c r="K1480">
        <v>1</v>
      </c>
    </row>
    <row r="1481" spans="1:11" x14ac:dyDescent="0.25">
      <c r="A1481">
        <v>29</v>
      </c>
      <c r="B1481">
        <v>0</v>
      </c>
      <c r="C1481">
        <v>4</v>
      </c>
      <c r="D1481">
        <v>3</v>
      </c>
      <c r="E1481">
        <v>5</v>
      </c>
      <c r="F1481">
        <v>40.82258848</v>
      </c>
      <c r="G1481">
        <v>56</v>
      </c>
      <c r="H1481">
        <v>18</v>
      </c>
      <c r="I1481">
        <v>21</v>
      </c>
      <c r="J1481">
        <v>2</v>
      </c>
      <c r="K1481">
        <v>1</v>
      </c>
    </row>
    <row r="1482" spans="1:11" x14ac:dyDescent="0.25">
      <c r="A1482">
        <v>24</v>
      </c>
      <c r="B1482">
        <v>0</v>
      </c>
      <c r="C1482">
        <v>2</v>
      </c>
      <c r="D1482">
        <v>14</v>
      </c>
      <c r="E1482">
        <v>4</v>
      </c>
      <c r="F1482">
        <v>28.353149550000001</v>
      </c>
      <c r="G1482">
        <v>16</v>
      </c>
      <c r="H1482">
        <v>40</v>
      </c>
      <c r="I1482">
        <v>16</v>
      </c>
      <c r="J1482">
        <v>2</v>
      </c>
      <c r="K1482">
        <v>1</v>
      </c>
    </row>
    <row r="1483" spans="1:11" x14ac:dyDescent="0.25">
      <c r="A1483">
        <v>46</v>
      </c>
      <c r="B1483">
        <v>1</v>
      </c>
      <c r="C1483">
        <v>2</v>
      </c>
      <c r="D1483">
        <v>13</v>
      </c>
      <c r="E1483">
        <v>4</v>
      </c>
      <c r="F1483">
        <v>33.49760491</v>
      </c>
      <c r="G1483">
        <v>38</v>
      </c>
      <c r="H1483">
        <v>52</v>
      </c>
      <c r="I1483">
        <v>6</v>
      </c>
      <c r="J1483">
        <v>2</v>
      </c>
      <c r="K1483">
        <v>1</v>
      </c>
    </row>
    <row r="1484" spans="1:11" x14ac:dyDescent="0.25">
      <c r="A1484">
        <v>29</v>
      </c>
      <c r="B1484">
        <v>0</v>
      </c>
      <c r="C1484">
        <v>1</v>
      </c>
      <c r="D1484">
        <v>8</v>
      </c>
      <c r="E1484">
        <v>2</v>
      </c>
      <c r="F1484">
        <v>38.688410099999999</v>
      </c>
      <c r="G1484">
        <v>89</v>
      </c>
      <c r="H1484">
        <v>28</v>
      </c>
      <c r="I1484">
        <v>67</v>
      </c>
      <c r="J1484">
        <v>2</v>
      </c>
      <c r="K1484">
        <v>1</v>
      </c>
    </row>
    <row r="1485" spans="1:11" x14ac:dyDescent="0.25">
      <c r="A1485">
        <v>20</v>
      </c>
      <c r="B1485">
        <v>0</v>
      </c>
      <c r="C1485">
        <v>1</v>
      </c>
      <c r="D1485">
        <v>4</v>
      </c>
      <c r="E1485">
        <v>2</v>
      </c>
      <c r="F1485">
        <v>32.100459440000002</v>
      </c>
      <c r="G1485">
        <v>67</v>
      </c>
      <c r="H1485">
        <v>69</v>
      </c>
      <c r="I1485">
        <v>36</v>
      </c>
      <c r="J1485">
        <v>3</v>
      </c>
      <c r="K1485">
        <v>1</v>
      </c>
    </row>
    <row r="1486" spans="1:11" x14ac:dyDescent="0.25">
      <c r="A1486">
        <v>41</v>
      </c>
      <c r="B1486">
        <v>1</v>
      </c>
      <c r="C1486">
        <v>1</v>
      </c>
      <c r="D1486">
        <v>7</v>
      </c>
      <c r="E1486">
        <v>1</v>
      </c>
      <c r="F1486">
        <v>28.0039661</v>
      </c>
      <c r="G1486">
        <v>54</v>
      </c>
      <c r="H1486">
        <v>58</v>
      </c>
      <c r="I1486">
        <v>37</v>
      </c>
      <c r="J1486">
        <v>2</v>
      </c>
      <c r="K1486">
        <v>0</v>
      </c>
    </row>
    <row r="1487" spans="1:11" x14ac:dyDescent="0.25">
      <c r="A1487">
        <v>25</v>
      </c>
      <c r="B1487">
        <v>0</v>
      </c>
      <c r="C1487">
        <v>2</v>
      </c>
      <c r="D1487">
        <v>8</v>
      </c>
      <c r="E1487">
        <v>5</v>
      </c>
      <c r="F1487">
        <v>38.480714220000003</v>
      </c>
      <c r="G1487">
        <v>44</v>
      </c>
      <c r="H1487">
        <v>88</v>
      </c>
      <c r="I1487">
        <v>95</v>
      </c>
      <c r="J1487">
        <v>2</v>
      </c>
      <c r="K1487">
        <v>0</v>
      </c>
    </row>
    <row r="1488" spans="1:11" x14ac:dyDescent="0.25">
      <c r="A1488">
        <v>32</v>
      </c>
      <c r="B1488">
        <v>0</v>
      </c>
      <c r="C1488">
        <v>1</v>
      </c>
      <c r="D1488">
        <v>9</v>
      </c>
      <c r="E1488">
        <v>1</v>
      </c>
      <c r="F1488">
        <v>37.378151770000002</v>
      </c>
      <c r="G1488">
        <v>75</v>
      </c>
      <c r="H1488">
        <v>63</v>
      </c>
      <c r="I1488">
        <v>10</v>
      </c>
      <c r="J1488">
        <v>1</v>
      </c>
      <c r="K1488">
        <v>0</v>
      </c>
    </row>
    <row r="1489" spans="1:11" x14ac:dyDescent="0.25">
      <c r="A1489">
        <v>50</v>
      </c>
      <c r="B1489">
        <v>0</v>
      </c>
      <c r="C1489">
        <v>2</v>
      </c>
      <c r="D1489">
        <v>4</v>
      </c>
      <c r="E1489">
        <v>4</v>
      </c>
      <c r="F1489">
        <v>32.493620010000001</v>
      </c>
      <c r="G1489">
        <v>0</v>
      </c>
      <c r="H1489">
        <v>23</v>
      </c>
      <c r="I1489">
        <v>0</v>
      </c>
      <c r="J1489">
        <v>1</v>
      </c>
      <c r="K1489">
        <v>1</v>
      </c>
    </row>
    <row r="1490" spans="1:11" x14ac:dyDescent="0.25">
      <c r="A1490">
        <v>34</v>
      </c>
      <c r="B1490">
        <v>1</v>
      </c>
      <c r="C1490">
        <v>4</v>
      </c>
      <c r="D1490">
        <v>5</v>
      </c>
      <c r="E1490">
        <v>2</v>
      </c>
      <c r="F1490">
        <v>18.989470669999999</v>
      </c>
      <c r="G1490">
        <v>20</v>
      </c>
      <c r="H1490">
        <v>88</v>
      </c>
      <c r="I1490">
        <v>24</v>
      </c>
      <c r="J1490">
        <v>2</v>
      </c>
      <c r="K1490">
        <v>1</v>
      </c>
    </row>
    <row r="1491" spans="1:11" x14ac:dyDescent="0.25">
      <c r="A1491">
        <v>23</v>
      </c>
      <c r="B1491">
        <v>0</v>
      </c>
      <c r="C1491">
        <v>2</v>
      </c>
      <c r="D1491">
        <v>0</v>
      </c>
      <c r="E1491">
        <v>4</v>
      </c>
      <c r="F1491">
        <v>21.290604609999999</v>
      </c>
      <c r="G1491">
        <v>82</v>
      </c>
      <c r="H1491">
        <v>15</v>
      </c>
      <c r="I1491">
        <v>41</v>
      </c>
      <c r="J1491">
        <v>2</v>
      </c>
      <c r="K1491">
        <v>1</v>
      </c>
    </row>
    <row r="1492" spans="1:11" x14ac:dyDescent="0.25">
      <c r="A1492">
        <v>32</v>
      </c>
      <c r="B1492">
        <v>0</v>
      </c>
      <c r="C1492">
        <v>3</v>
      </c>
      <c r="D1492">
        <v>10</v>
      </c>
      <c r="E1492">
        <v>4</v>
      </c>
      <c r="F1492">
        <v>49.521927439999999</v>
      </c>
      <c r="G1492">
        <v>20</v>
      </c>
      <c r="H1492">
        <v>51</v>
      </c>
      <c r="I1492">
        <v>51</v>
      </c>
      <c r="J1492">
        <v>2</v>
      </c>
      <c r="K1492">
        <v>0</v>
      </c>
    </row>
    <row r="1493" spans="1:11" x14ac:dyDescent="0.25">
      <c r="A1493">
        <v>43</v>
      </c>
      <c r="B1493">
        <v>1</v>
      </c>
      <c r="C1493">
        <v>2</v>
      </c>
      <c r="D1493">
        <v>15</v>
      </c>
      <c r="E1493">
        <v>3</v>
      </c>
      <c r="F1493">
        <v>6.6192966149999997</v>
      </c>
      <c r="G1493">
        <v>51</v>
      </c>
      <c r="H1493">
        <v>79</v>
      </c>
      <c r="I1493">
        <v>23</v>
      </c>
      <c r="J1493">
        <v>2</v>
      </c>
      <c r="K1493">
        <v>0</v>
      </c>
    </row>
    <row r="1494" spans="1:11" x14ac:dyDescent="0.25">
      <c r="A1494">
        <v>39</v>
      </c>
      <c r="B1494">
        <v>0</v>
      </c>
      <c r="C1494">
        <v>2</v>
      </c>
      <c r="D1494">
        <v>11</v>
      </c>
      <c r="E1494">
        <v>3</v>
      </c>
      <c r="F1494">
        <v>14.42524586</v>
      </c>
      <c r="G1494">
        <v>81</v>
      </c>
      <c r="H1494">
        <v>5</v>
      </c>
      <c r="I1494">
        <v>52</v>
      </c>
      <c r="J1494">
        <v>2</v>
      </c>
      <c r="K1494">
        <v>0</v>
      </c>
    </row>
    <row r="1495" spans="1:11" x14ac:dyDescent="0.25">
      <c r="A1495">
        <v>43</v>
      </c>
      <c r="B1495">
        <v>1</v>
      </c>
      <c r="C1495">
        <v>2</v>
      </c>
      <c r="D1495">
        <v>14</v>
      </c>
      <c r="E1495">
        <v>4</v>
      </c>
      <c r="F1495">
        <v>25.620087959999999</v>
      </c>
      <c r="G1495">
        <v>42</v>
      </c>
      <c r="H1495">
        <v>36</v>
      </c>
      <c r="I1495">
        <v>55</v>
      </c>
      <c r="J1495">
        <v>1</v>
      </c>
      <c r="K1495">
        <v>0</v>
      </c>
    </row>
    <row r="1496" spans="1:11" x14ac:dyDescent="0.25">
      <c r="A1496">
        <v>34</v>
      </c>
      <c r="B1496">
        <v>1</v>
      </c>
      <c r="C1496">
        <v>1</v>
      </c>
      <c r="D1496">
        <v>6</v>
      </c>
      <c r="E1496">
        <v>2</v>
      </c>
      <c r="F1496">
        <v>42.836484310000003</v>
      </c>
      <c r="G1496">
        <v>51</v>
      </c>
      <c r="H1496">
        <v>84</v>
      </c>
      <c r="I1496">
        <v>62</v>
      </c>
      <c r="J1496">
        <v>1</v>
      </c>
      <c r="K1496">
        <v>0</v>
      </c>
    </row>
    <row r="1497" spans="1:11" x14ac:dyDescent="0.25">
      <c r="A1497">
        <v>48</v>
      </c>
      <c r="B1497">
        <v>0</v>
      </c>
      <c r="C1497">
        <v>2</v>
      </c>
      <c r="D1497">
        <v>3</v>
      </c>
      <c r="E1497">
        <v>4</v>
      </c>
      <c r="F1497">
        <v>9.1837831859999994</v>
      </c>
      <c r="G1497">
        <v>66</v>
      </c>
      <c r="H1497">
        <v>3</v>
      </c>
      <c r="I1497">
        <v>80</v>
      </c>
      <c r="J1497">
        <v>3</v>
      </c>
      <c r="K1497">
        <v>1</v>
      </c>
    </row>
    <row r="1498" spans="1:11" x14ac:dyDescent="0.25">
      <c r="A1498">
        <v>27</v>
      </c>
      <c r="B1498">
        <v>1</v>
      </c>
      <c r="C1498">
        <v>2</v>
      </c>
      <c r="D1498">
        <v>10</v>
      </c>
      <c r="E1498">
        <v>3</v>
      </c>
      <c r="F1498">
        <v>14.847730909999999</v>
      </c>
      <c r="G1498">
        <v>43</v>
      </c>
      <c r="H1498">
        <v>97</v>
      </c>
      <c r="I1498">
        <v>7</v>
      </c>
      <c r="J1498">
        <v>2</v>
      </c>
      <c r="K1498">
        <v>0</v>
      </c>
    </row>
    <row r="1499" spans="1:11" x14ac:dyDescent="0.25">
      <c r="A1499">
        <v>24</v>
      </c>
      <c r="B1499">
        <v>1</v>
      </c>
      <c r="C1499">
        <v>1</v>
      </c>
      <c r="D1499">
        <v>1</v>
      </c>
      <c r="E1499">
        <v>2</v>
      </c>
      <c r="F1499">
        <v>4.2899108899999998</v>
      </c>
      <c r="G1499">
        <v>31</v>
      </c>
      <c r="H1499">
        <v>91</v>
      </c>
      <c r="I1499">
        <v>58</v>
      </c>
      <c r="J1499">
        <v>1</v>
      </c>
      <c r="K1499">
        <v>1</v>
      </c>
    </row>
    <row r="1500" spans="1:11" x14ac:dyDescent="0.25">
      <c r="A1500">
        <v>48</v>
      </c>
      <c r="B1500">
        <v>0</v>
      </c>
      <c r="C1500">
        <v>2</v>
      </c>
      <c r="D1500">
        <v>4</v>
      </c>
      <c r="E1500">
        <v>4</v>
      </c>
      <c r="F1500">
        <v>36.2992633</v>
      </c>
      <c r="G1500">
        <v>9</v>
      </c>
      <c r="H1500">
        <v>37</v>
      </c>
      <c r="I1500">
        <v>44</v>
      </c>
      <c r="J1500">
        <v>2</v>
      </c>
      <c r="K1500">
        <v>1</v>
      </c>
    </row>
    <row r="1501" spans="1:11" x14ac:dyDescent="0.25">
      <c r="A1501">
        <v>34</v>
      </c>
      <c r="B1501">
        <v>1</v>
      </c>
      <c r="C1501">
        <v>2</v>
      </c>
      <c r="D1501">
        <v>11</v>
      </c>
      <c r="E1501">
        <v>5</v>
      </c>
      <c r="F1501">
        <v>12.910471769999999</v>
      </c>
      <c r="G1501">
        <v>63</v>
      </c>
      <c r="H1501">
        <v>40</v>
      </c>
      <c r="I1501">
        <v>26</v>
      </c>
      <c r="J1501">
        <v>2</v>
      </c>
      <c r="K15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A4E6-7023-4DA7-AB8B-E2D8CB1E6710}">
  <dimension ref="A1:P1501"/>
  <sheetViews>
    <sheetView topLeftCell="A2" workbookViewId="0"/>
  </sheetViews>
  <sheetFormatPr defaultRowHeight="15" x14ac:dyDescent="0.25"/>
  <cols>
    <col min="1" max="1" width="10.42578125" customWidth="1"/>
    <col min="2" max="2" width="10.7109375" style="2" customWidth="1"/>
    <col min="3" max="3" width="17.7109375" style="2" customWidth="1"/>
    <col min="4" max="4" width="18.42578125" style="2" bestFit="1" customWidth="1"/>
    <col min="5" max="5" width="21.5703125" style="2" bestFit="1" customWidth="1"/>
    <col min="6" max="6" width="25" style="1" bestFit="1" customWidth="1"/>
    <col min="7" max="7" width="17.28515625" style="2" bestFit="1" customWidth="1"/>
    <col min="8" max="8" width="12.28515625" style="2" bestFit="1" customWidth="1"/>
    <col min="9" max="9" width="18.7109375" style="2" bestFit="1" customWidth="1"/>
    <col min="10" max="10" width="22.28515625" style="2" bestFit="1" customWidth="1"/>
    <col min="11" max="11" width="16.7109375" style="2" bestFit="1" customWidth="1"/>
    <col min="12" max="12" width="12.7109375" bestFit="1" customWidth="1"/>
    <col min="13" max="13" width="18.42578125" bestFit="1" customWidth="1"/>
    <col min="14" max="14" width="25.5703125" style="1" bestFit="1" customWidth="1"/>
    <col min="15" max="15" width="24.42578125" bestFit="1" customWidth="1"/>
    <col min="16" max="16" width="15.85546875" bestFit="1" customWidth="1"/>
    <col min="18" max="18" width="11" customWidth="1"/>
  </cols>
  <sheetData>
    <row r="1" spans="1:16" x14ac:dyDescent="0.25">
      <c r="A1" s="1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1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20</v>
      </c>
      <c r="M1" t="s">
        <v>21</v>
      </c>
      <c r="N1" s="1" t="s">
        <v>22</v>
      </c>
      <c r="O1" s="2" t="s">
        <v>51</v>
      </c>
      <c r="P1" s="2" t="s">
        <v>61</v>
      </c>
    </row>
    <row r="2" spans="1:16" x14ac:dyDescent="0.25">
      <c r="A2">
        <v>26</v>
      </c>
      <c r="B2" s="2">
        <v>1</v>
      </c>
      <c r="C2" s="2">
        <v>2</v>
      </c>
      <c r="D2" s="2">
        <v>0</v>
      </c>
      <c r="E2" s="2">
        <v>3</v>
      </c>
      <c r="F2" s="1">
        <v>26.783827550000002</v>
      </c>
      <c r="G2" s="2">
        <v>48</v>
      </c>
      <c r="H2" s="2">
        <v>78</v>
      </c>
      <c r="I2" s="2">
        <v>91</v>
      </c>
      <c r="J2" s="2">
        <v>1</v>
      </c>
      <c r="K2" s="2">
        <v>1</v>
      </c>
      <c r="L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" t="str">
        <f>IF(Table1[[#This Row],[Experience Years]]&lt;=2,"Entry Level",IF(Table1[[#This Row],[Experience Years]]&lt;=7,"Mid Level",IF(Table1[[#This Row],[Experience Years]]&lt;=15,"Senior Level")))</f>
        <v>Entry Level</v>
      </c>
      <c r="N2" s="1">
        <f>AVERAGE(Table1[[#This Row],[Interview Score]:[Personality Score]])</f>
        <v>72.333333333333329</v>
      </c>
      <c r="O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2" s="2" t="str">
        <f t="shared" ref="P2:P65" si="0">IF(F2&lt;10,"0-10",IF(F2&lt;20,"10-20",IF(F2&lt;30,"20-30",IF(F2&lt;40,"30-40",IF(F2&lt;50,"40-50","50+")))))</f>
        <v>20-30</v>
      </c>
    </row>
    <row r="3" spans="1:16" x14ac:dyDescent="0.25">
      <c r="A3">
        <v>39</v>
      </c>
      <c r="B3" s="2">
        <v>1</v>
      </c>
      <c r="C3" s="2">
        <v>4</v>
      </c>
      <c r="D3" s="2">
        <v>12</v>
      </c>
      <c r="E3" s="2">
        <v>3</v>
      </c>
      <c r="F3" s="1">
        <v>25.86269433</v>
      </c>
      <c r="G3" s="2">
        <v>35</v>
      </c>
      <c r="H3" s="2">
        <v>68</v>
      </c>
      <c r="I3" s="2">
        <v>80</v>
      </c>
      <c r="J3" s="2">
        <v>2</v>
      </c>
      <c r="K3" s="2">
        <v>1</v>
      </c>
      <c r="L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" t="str">
        <f>IF(Table1[[#This Row],[Experience Years]]&lt;=2,"Entry Level",IF(Table1[[#This Row],[Experience Years]]&lt;=7,"Mid Level",IF(Table1[[#This Row],[Experience Years]]&lt;=15,"Senior Level")))</f>
        <v>Senior Level</v>
      </c>
      <c r="N3" s="1">
        <f>AVERAGE(Table1[[#This Row],[Interview Score]:[Personality Score]])</f>
        <v>61</v>
      </c>
      <c r="O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" s="2" t="str">
        <f t="shared" si="0"/>
        <v>20-30</v>
      </c>
    </row>
    <row r="4" spans="1:16" x14ac:dyDescent="0.25">
      <c r="A4">
        <v>48</v>
      </c>
      <c r="B4" s="2">
        <v>0</v>
      </c>
      <c r="C4" s="2">
        <v>2</v>
      </c>
      <c r="D4" s="2">
        <v>3</v>
      </c>
      <c r="E4" s="2">
        <v>2</v>
      </c>
      <c r="F4" s="1">
        <v>9.9208048279999996</v>
      </c>
      <c r="G4" s="2">
        <v>20</v>
      </c>
      <c r="H4" s="2">
        <v>67</v>
      </c>
      <c r="I4" s="2">
        <v>13</v>
      </c>
      <c r="J4" s="2">
        <v>2</v>
      </c>
      <c r="K4" s="2">
        <v>0</v>
      </c>
      <c r="L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" s="2" t="str">
        <f>IF(Table1[[#This Row],[Experience Years]]&lt;=2,"Entry Level",IF(Table1[[#This Row],[Experience Years]]&lt;=7,"Mid Level",IF(Table1[[#This Row],[Experience Years]]&lt;=15,"Senior Level")))</f>
        <v>Mid Level</v>
      </c>
      <c r="N4" s="1">
        <f>AVERAGE(Table1[[#This Row],[Interview Score]:[Personality Score]])</f>
        <v>33.333333333333336</v>
      </c>
      <c r="O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" s="2" t="str">
        <f t="shared" si="0"/>
        <v>0-10</v>
      </c>
    </row>
    <row r="5" spans="1:16" x14ac:dyDescent="0.25">
      <c r="A5">
        <v>34</v>
      </c>
      <c r="B5" s="2">
        <v>1</v>
      </c>
      <c r="C5" s="2">
        <v>2</v>
      </c>
      <c r="D5" s="2">
        <v>5</v>
      </c>
      <c r="E5" s="2">
        <v>2</v>
      </c>
      <c r="F5" s="1">
        <v>6.407750729</v>
      </c>
      <c r="G5" s="2">
        <v>36</v>
      </c>
      <c r="H5" s="2">
        <v>27</v>
      </c>
      <c r="I5" s="2">
        <v>70</v>
      </c>
      <c r="J5" s="2">
        <v>3</v>
      </c>
      <c r="K5" s="2">
        <v>0</v>
      </c>
      <c r="L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" t="str">
        <f>IF(Table1[[#This Row],[Experience Years]]&lt;=2,"Entry Level",IF(Table1[[#This Row],[Experience Years]]&lt;=7,"Mid Level",IF(Table1[[#This Row],[Experience Years]]&lt;=15,"Senior Level")))</f>
        <v>Mid Level</v>
      </c>
      <c r="N5" s="1">
        <f>AVERAGE(Table1[[#This Row],[Interview Score]:[Personality Score]])</f>
        <v>44.333333333333336</v>
      </c>
      <c r="O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" s="2" t="str">
        <f t="shared" si="0"/>
        <v>0-10</v>
      </c>
    </row>
    <row r="6" spans="1:16" x14ac:dyDescent="0.25">
      <c r="A6">
        <v>30</v>
      </c>
      <c r="B6" s="2">
        <v>0</v>
      </c>
      <c r="C6" s="2">
        <v>1</v>
      </c>
      <c r="D6" s="2">
        <v>6</v>
      </c>
      <c r="E6" s="2">
        <v>1</v>
      </c>
      <c r="F6" s="1">
        <v>43.105343120000001</v>
      </c>
      <c r="G6" s="2">
        <v>23</v>
      </c>
      <c r="H6" s="2">
        <v>52</v>
      </c>
      <c r="I6" s="2">
        <v>85</v>
      </c>
      <c r="J6" s="2">
        <v>2</v>
      </c>
      <c r="K6" s="2">
        <v>0</v>
      </c>
      <c r="L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" s="2" t="str">
        <f>IF(Table1[[#This Row],[Experience Years]]&lt;=2,"Entry Level",IF(Table1[[#This Row],[Experience Years]]&lt;=7,"Mid Level",IF(Table1[[#This Row],[Experience Years]]&lt;=15,"Senior Level")))</f>
        <v>Mid Level</v>
      </c>
      <c r="N6" s="1">
        <f>AVERAGE(Table1[[#This Row],[Interview Score]:[Personality Score]])</f>
        <v>53.333333333333336</v>
      </c>
      <c r="O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" s="2" t="str">
        <f t="shared" si="0"/>
        <v>40-50</v>
      </c>
    </row>
    <row r="7" spans="1:16" x14ac:dyDescent="0.25">
      <c r="A7">
        <v>27</v>
      </c>
      <c r="B7" s="2">
        <v>0</v>
      </c>
      <c r="C7" s="2">
        <v>3</v>
      </c>
      <c r="D7" s="2">
        <v>14</v>
      </c>
      <c r="E7" s="2">
        <v>4</v>
      </c>
      <c r="F7" s="1">
        <v>31.70665881</v>
      </c>
      <c r="G7" s="2">
        <v>54</v>
      </c>
      <c r="H7" s="2">
        <v>50</v>
      </c>
      <c r="I7" s="2">
        <v>50</v>
      </c>
      <c r="J7" s="2">
        <v>1</v>
      </c>
      <c r="K7" s="2">
        <v>1</v>
      </c>
      <c r="L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" s="2" t="str">
        <f>IF(Table1[[#This Row],[Experience Years]]&lt;=2,"Entry Level",IF(Table1[[#This Row],[Experience Years]]&lt;=7,"Mid Level",IF(Table1[[#This Row],[Experience Years]]&lt;=15,"Senior Level")))</f>
        <v>Senior Level</v>
      </c>
      <c r="N7" s="1">
        <f>AVERAGE(Table1[[#This Row],[Interview Score]:[Personality Score]])</f>
        <v>51.333333333333336</v>
      </c>
      <c r="O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" s="2" t="str">
        <f t="shared" si="0"/>
        <v>30-40</v>
      </c>
    </row>
    <row r="8" spans="1:16" x14ac:dyDescent="0.25">
      <c r="A8">
        <v>48</v>
      </c>
      <c r="B8" s="2">
        <v>0</v>
      </c>
      <c r="C8" s="2">
        <v>2</v>
      </c>
      <c r="D8" s="2">
        <v>6</v>
      </c>
      <c r="E8" s="2">
        <v>1</v>
      </c>
      <c r="F8" s="1">
        <v>17.2912292</v>
      </c>
      <c r="G8" s="2">
        <v>24</v>
      </c>
      <c r="H8" s="2">
        <v>52</v>
      </c>
      <c r="I8" s="2">
        <v>64</v>
      </c>
      <c r="J8" s="2">
        <v>3</v>
      </c>
      <c r="K8" s="2">
        <v>0</v>
      </c>
      <c r="L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" s="2" t="str">
        <f>IF(Table1[[#This Row],[Experience Years]]&lt;=2,"Entry Level",IF(Table1[[#This Row],[Experience Years]]&lt;=7,"Mid Level",IF(Table1[[#This Row],[Experience Years]]&lt;=15,"Senior Level")))</f>
        <v>Mid Level</v>
      </c>
      <c r="N8" s="1">
        <f>AVERAGE(Table1[[#This Row],[Interview Score]:[Personality Score]])</f>
        <v>46.666666666666664</v>
      </c>
      <c r="O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" s="2" t="str">
        <f t="shared" si="0"/>
        <v>10-20</v>
      </c>
    </row>
    <row r="9" spans="1:16" x14ac:dyDescent="0.25">
      <c r="A9">
        <v>40</v>
      </c>
      <c r="B9" s="2">
        <v>0</v>
      </c>
      <c r="C9" s="2">
        <v>4</v>
      </c>
      <c r="D9" s="2">
        <v>13</v>
      </c>
      <c r="E9" s="2">
        <v>3</v>
      </c>
      <c r="F9" s="1">
        <v>10.586810870000001</v>
      </c>
      <c r="G9" s="2">
        <v>6</v>
      </c>
      <c r="H9" s="2">
        <v>3</v>
      </c>
      <c r="I9" s="2">
        <v>92</v>
      </c>
      <c r="J9" s="2">
        <v>3</v>
      </c>
      <c r="K9" s="2">
        <v>0</v>
      </c>
      <c r="L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" s="2" t="str">
        <f>IF(Table1[[#This Row],[Experience Years]]&lt;=2,"Entry Level",IF(Table1[[#This Row],[Experience Years]]&lt;=7,"Mid Level",IF(Table1[[#This Row],[Experience Years]]&lt;=15,"Senior Level")))</f>
        <v>Senior Level</v>
      </c>
      <c r="N9" s="1">
        <f>AVERAGE(Table1[[#This Row],[Interview Score]:[Personality Score]])</f>
        <v>33.666666666666664</v>
      </c>
      <c r="O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" s="2" t="str">
        <f t="shared" si="0"/>
        <v>10-20</v>
      </c>
    </row>
    <row r="10" spans="1:16" x14ac:dyDescent="0.25">
      <c r="A10">
        <v>26</v>
      </c>
      <c r="B10" s="2">
        <v>1</v>
      </c>
      <c r="C10" s="2">
        <v>3</v>
      </c>
      <c r="D10" s="2">
        <v>6</v>
      </c>
      <c r="E10" s="2">
        <v>5</v>
      </c>
      <c r="F10" s="1">
        <v>28.774864010000002</v>
      </c>
      <c r="G10" s="2">
        <v>80</v>
      </c>
      <c r="H10" s="2">
        <v>78</v>
      </c>
      <c r="I10" s="2">
        <v>51</v>
      </c>
      <c r="J10" s="2">
        <v>1</v>
      </c>
      <c r="K10" s="2">
        <v>1</v>
      </c>
      <c r="L1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" t="str">
        <f>IF(Table1[[#This Row],[Experience Years]]&lt;=2,"Entry Level",IF(Table1[[#This Row],[Experience Years]]&lt;=7,"Mid Level",IF(Table1[[#This Row],[Experience Years]]&lt;=15,"Senior Level")))</f>
        <v>Mid Level</v>
      </c>
      <c r="N10" s="1">
        <f>AVERAGE(Table1[[#This Row],[Interview Score]:[Personality Score]])</f>
        <v>69.666666666666671</v>
      </c>
      <c r="O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" s="2" t="str">
        <f t="shared" si="0"/>
        <v>20-30</v>
      </c>
    </row>
    <row r="11" spans="1:16" x14ac:dyDescent="0.25">
      <c r="A11">
        <v>45</v>
      </c>
      <c r="B11" s="2">
        <v>1</v>
      </c>
      <c r="C11" s="2">
        <v>2</v>
      </c>
      <c r="D11" s="2">
        <v>2</v>
      </c>
      <c r="E11" s="2">
        <v>5</v>
      </c>
      <c r="F11" s="1">
        <v>30.195964459999999</v>
      </c>
      <c r="G11" s="2">
        <v>92</v>
      </c>
      <c r="H11" s="2">
        <v>16</v>
      </c>
      <c r="I11" s="2">
        <v>94</v>
      </c>
      <c r="J11" s="2">
        <v>3</v>
      </c>
      <c r="K11" s="2">
        <v>0</v>
      </c>
      <c r="L1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" t="str">
        <f>IF(Table1[[#This Row],[Experience Years]]&lt;=2,"Entry Level",IF(Table1[[#This Row],[Experience Years]]&lt;=7,"Mid Level",IF(Table1[[#This Row],[Experience Years]]&lt;=15,"Senior Level")))</f>
        <v>Entry Level</v>
      </c>
      <c r="N11" s="1">
        <f>AVERAGE(Table1[[#This Row],[Interview Score]:[Personality Score]])</f>
        <v>67.333333333333329</v>
      </c>
      <c r="O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" s="2" t="str">
        <f t="shared" si="0"/>
        <v>30-40</v>
      </c>
    </row>
    <row r="12" spans="1:16" x14ac:dyDescent="0.25">
      <c r="A12">
        <v>38</v>
      </c>
      <c r="B12" s="2">
        <v>1</v>
      </c>
      <c r="C12" s="2">
        <v>1</v>
      </c>
      <c r="D12" s="2">
        <v>15</v>
      </c>
      <c r="E12" s="2">
        <v>2</v>
      </c>
      <c r="F12" s="1">
        <v>11.349680060000001</v>
      </c>
      <c r="G12" s="2">
        <v>93</v>
      </c>
      <c r="H12" s="2">
        <v>66</v>
      </c>
      <c r="I12" s="2">
        <v>29</v>
      </c>
      <c r="J12" s="2">
        <v>2</v>
      </c>
      <c r="K12" s="2">
        <v>0</v>
      </c>
      <c r="L1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" t="str">
        <f>IF(Table1[[#This Row],[Experience Years]]&lt;=2,"Entry Level",IF(Table1[[#This Row],[Experience Years]]&lt;=7,"Mid Level",IF(Table1[[#This Row],[Experience Years]]&lt;=15,"Senior Level")))</f>
        <v>Senior Level</v>
      </c>
      <c r="N12" s="1">
        <f>AVERAGE(Table1[[#This Row],[Interview Score]:[Personality Score]])</f>
        <v>62.666666666666664</v>
      </c>
      <c r="O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" s="2" t="str">
        <f t="shared" si="0"/>
        <v>10-20</v>
      </c>
    </row>
    <row r="13" spans="1:16" x14ac:dyDescent="0.25">
      <c r="A13">
        <v>42</v>
      </c>
      <c r="B13" s="2">
        <v>0</v>
      </c>
      <c r="C13" s="2">
        <v>3</v>
      </c>
      <c r="D13" s="2">
        <v>5</v>
      </c>
      <c r="E13" s="2">
        <v>5</v>
      </c>
      <c r="F13" s="1">
        <v>43.570287389999997</v>
      </c>
      <c r="G13" s="2">
        <v>70</v>
      </c>
      <c r="H13" s="2">
        <v>73</v>
      </c>
      <c r="I13" s="2">
        <v>56</v>
      </c>
      <c r="J13" s="2">
        <v>2</v>
      </c>
      <c r="K13" s="2">
        <v>0</v>
      </c>
      <c r="L1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" s="2" t="str">
        <f>IF(Table1[[#This Row],[Experience Years]]&lt;=2,"Entry Level",IF(Table1[[#This Row],[Experience Years]]&lt;=7,"Mid Level",IF(Table1[[#This Row],[Experience Years]]&lt;=15,"Senior Level")))</f>
        <v>Mid Level</v>
      </c>
      <c r="N13" s="1">
        <f>AVERAGE(Table1[[#This Row],[Interview Score]:[Personality Score]])</f>
        <v>66.333333333333329</v>
      </c>
      <c r="O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" s="2" t="str">
        <f t="shared" si="0"/>
        <v>40-50</v>
      </c>
    </row>
    <row r="14" spans="1:16" x14ac:dyDescent="0.25">
      <c r="A14">
        <v>30</v>
      </c>
      <c r="B14" s="2">
        <v>0</v>
      </c>
      <c r="C14" s="2">
        <v>3</v>
      </c>
      <c r="D14" s="2">
        <v>12</v>
      </c>
      <c r="E14" s="2">
        <v>5</v>
      </c>
      <c r="F14" s="1">
        <v>5.2132183080000001</v>
      </c>
      <c r="G14" s="2">
        <v>96</v>
      </c>
      <c r="H14" s="2">
        <v>46</v>
      </c>
      <c r="I14" s="2">
        <v>78</v>
      </c>
      <c r="J14" s="2">
        <v>3</v>
      </c>
      <c r="K14" s="2">
        <v>1</v>
      </c>
      <c r="L1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" s="2" t="str">
        <f>IF(Table1[[#This Row],[Experience Years]]&lt;=2,"Entry Level",IF(Table1[[#This Row],[Experience Years]]&lt;=7,"Mid Level",IF(Table1[[#This Row],[Experience Years]]&lt;=15,"Senior Level")))</f>
        <v>Senior Level</v>
      </c>
      <c r="N14" s="1">
        <f>AVERAGE(Table1[[#This Row],[Interview Score]:[Personality Score]])</f>
        <v>73.333333333333329</v>
      </c>
      <c r="O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" s="2" t="str">
        <f t="shared" si="0"/>
        <v>0-10</v>
      </c>
    </row>
    <row r="15" spans="1:16" x14ac:dyDescent="0.25">
      <c r="A15">
        <v>30</v>
      </c>
      <c r="B15" s="2">
        <v>0</v>
      </c>
      <c r="C15" s="2">
        <v>1</v>
      </c>
      <c r="D15" s="2">
        <v>7</v>
      </c>
      <c r="E15" s="2">
        <v>5</v>
      </c>
      <c r="F15" s="1">
        <v>18.80465426</v>
      </c>
      <c r="G15" s="2">
        <v>70</v>
      </c>
      <c r="H15" s="2">
        <v>55</v>
      </c>
      <c r="I15" s="2">
        <v>81</v>
      </c>
      <c r="J15" s="2">
        <v>2</v>
      </c>
      <c r="K15" s="2">
        <v>0</v>
      </c>
      <c r="L1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5" s="2" t="str">
        <f>IF(Table1[[#This Row],[Experience Years]]&lt;=2,"Entry Level",IF(Table1[[#This Row],[Experience Years]]&lt;=7,"Mid Level",IF(Table1[[#This Row],[Experience Years]]&lt;=15,"Senior Level")))</f>
        <v>Mid Level</v>
      </c>
      <c r="N15" s="1">
        <f>AVERAGE(Table1[[#This Row],[Interview Score]:[Personality Score]])</f>
        <v>68.666666666666671</v>
      </c>
      <c r="O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5" s="2" t="str">
        <f t="shared" si="0"/>
        <v>10-20</v>
      </c>
    </row>
    <row r="16" spans="1:16" x14ac:dyDescent="0.25">
      <c r="A16">
        <v>43</v>
      </c>
      <c r="B16" s="2">
        <v>1</v>
      </c>
      <c r="C16" s="2">
        <v>2</v>
      </c>
      <c r="D16" s="2">
        <v>3</v>
      </c>
      <c r="E16" s="2">
        <v>3</v>
      </c>
      <c r="F16" s="1">
        <v>35.019220689999997</v>
      </c>
      <c r="G16" s="2">
        <v>23</v>
      </c>
      <c r="H16" s="2">
        <v>22</v>
      </c>
      <c r="I16" s="2">
        <v>98</v>
      </c>
      <c r="J16" s="2">
        <v>1</v>
      </c>
      <c r="K16" s="2">
        <v>0</v>
      </c>
      <c r="L1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6" t="str">
        <f>IF(Table1[[#This Row],[Experience Years]]&lt;=2,"Entry Level",IF(Table1[[#This Row],[Experience Years]]&lt;=7,"Mid Level",IF(Table1[[#This Row],[Experience Years]]&lt;=15,"Senior Level")))</f>
        <v>Mid Level</v>
      </c>
      <c r="N16" s="1">
        <f>AVERAGE(Table1[[#This Row],[Interview Score]:[Personality Score]])</f>
        <v>47.666666666666664</v>
      </c>
      <c r="O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6" s="2" t="str">
        <f t="shared" si="0"/>
        <v>30-40</v>
      </c>
    </row>
    <row r="17" spans="1:16" x14ac:dyDescent="0.25">
      <c r="A17">
        <v>40</v>
      </c>
      <c r="B17" s="2">
        <v>0</v>
      </c>
      <c r="C17" s="2">
        <v>3</v>
      </c>
      <c r="D17" s="2">
        <v>12</v>
      </c>
      <c r="E17" s="2">
        <v>5</v>
      </c>
      <c r="F17" s="1">
        <v>14.70601819</v>
      </c>
      <c r="G17" s="2">
        <v>10</v>
      </c>
      <c r="H17" s="2">
        <v>17</v>
      </c>
      <c r="I17" s="2">
        <v>29</v>
      </c>
      <c r="J17" s="2">
        <v>2</v>
      </c>
      <c r="K17" s="2">
        <v>0</v>
      </c>
      <c r="L1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7" s="2" t="str">
        <f>IF(Table1[[#This Row],[Experience Years]]&lt;=2,"Entry Level",IF(Table1[[#This Row],[Experience Years]]&lt;=7,"Mid Level",IF(Table1[[#This Row],[Experience Years]]&lt;=15,"Senior Level")))</f>
        <v>Senior Level</v>
      </c>
      <c r="N17" s="1">
        <f>AVERAGE(Table1[[#This Row],[Interview Score]:[Personality Score]])</f>
        <v>18.666666666666668</v>
      </c>
      <c r="O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7" s="2" t="str">
        <f t="shared" si="0"/>
        <v>10-20</v>
      </c>
    </row>
    <row r="18" spans="1:16" x14ac:dyDescent="0.25">
      <c r="A18">
        <v>23</v>
      </c>
      <c r="B18" s="2">
        <v>1</v>
      </c>
      <c r="C18" s="2">
        <v>1</v>
      </c>
      <c r="D18" s="2">
        <v>7</v>
      </c>
      <c r="E18" s="2">
        <v>5</v>
      </c>
      <c r="F18" s="1">
        <v>42.383759740000002</v>
      </c>
      <c r="G18" s="2">
        <v>72</v>
      </c>
      <c r="H18" s="2">
        <v>0</v>
      </c>
      <c r="I18" s="2">
        <v>97</v>
      </c>
      <c r="J18" s="2">
        <v>2</v>
      </c>
      <c r="K18" s="2">
        <v>0</v>
      </c>
      <c r="L1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8" t="str">
        <f>IF(Table1[[#This Row],[Experience Years]]&lt;=2,"Entry Level",IF(Table1[[#This Row],[Experience Years]]&lt;=7,"Mid Level",IF(Table1[[#This Row],[Experience Years]]&lt;=15,"Senior Level")))</f>
        <v>Mid Level</v>
      </c>
      <c r="N18" s="1">
        <f>AVERAGE(Table1[[#This Row],[Interview Score]:[Personality Score]])</f>
        <v>56.333333333333336</v>
      </c>
      <c r="O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8" s="2" t="str">
        <f t="shared" si="0"/>
        <v>40-50</v>
      </c>
    </row>
    <row r="19" spans="1:16" x14ac:dyDescent="0.25">
      <c r="A19">
        <v>27</v>
      </c>
      <c r="B19" s="2">
        <v>1</v>
      </c>
      <c r="C19" s="2">
        <v>4</v>
      </c>
      <c r="D19" s="2">
        <v>1</v>
      </c>
      <c r="E19" s="2">
        <v>5</v>
      </c>
      <c r="F19" s="1">
        <v>37.993391330000001</v>
      </c>
      <c r="G19" s="2">
        <v>11</v>
      </c>
      <c r="H19" s="2">
        <v>34</v>
      </c>
      <c r="I19" s="2">
        <v>41</v>
      </c>
      <c r="J19" s="2">
        <v>1</v>
      </c>
      <c r="K19" s="2">
        <v>0</v>
      </c>
      <c r="L1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9" t="str">
        <f>IF(Table1[[#This Row],[Experience Years]]&lt;=2,"Entry Level",IF(Table1[[#This Row],[Experience Years]]&lt;=7,"Mid Level",IF(Table1[[#This Row],[Experience Years]]&lt;=15,"Senior Level")))</f>
        <v>Entry Level</v>
      </c>
      <c r="N19" s="1">
        <f>AVERAGE(Table1[[#This Row],[Interview Score]:[Personality Score]])</f>
        <v>28.666666666666668</v>
      </c>
      <c r="O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9" s="2" t="str">
        <f t="shared" si="0"/>
        <v>30-40</v>
      </c>
    </row>
    <row r="20" spans="1:16" x14ac:dyDescent="0.25">
      <c r="A20">
        <v>43</v>
      </c>
      <c r="B20" s="2">
        <v>1</v>
      </c>
      <c r="C20" s="2">
        <v>2</v>
      </c>
      <c r="D20" s="2">
        <v>14</v>
      </c>
      <c r="E20" s="2">
        <v>1</v>
      </c>
      <c r="F20" s="1">
        <v>40.451142230000002</v>
      </c>
      <c r="G20" s="2">
        <v>34</v>
      </c>
      <c r="H20" s="2">
        <v>63</v>
      </c>
      <c r="I20" s="2">
        <v>10</v>
      </c>
      <c r="J20" s="2">
        <v>2</v>
      </c>
      <c r="K20" s="2">
        <v>0</v>
      </c>
      <c r="L2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0" t="str">
        <f>IF(Table1[[#This Row],[Experience Years]]&lt;=2,"Entry Level",IF(Table1[[#This Row],[Experience Years]]&lt;=7,"Mid Level",IF(Table1[[#This Row],[Experience Years]]&lt;=15,"Senior Level")))</f>
        <v>Senior Level</v>
      </c>
      <c r="N20" s="1">
        <f>AVERAGE(Table1[[#This Row],[Interview Score]:[Personality Score]])</f>
        <v>35.666666666666664</v>
      </c>
      <c r="O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0" s="2" t="str">
        <f t="shared" si="0"/>
        <v>40-50</v>
      </c>
    </row>
    <row r="21" spans="1:16" x14ac:dyDescent="0.25">
      <c r="A21">
        <v>22</v>
      </c>
      <c r="B21" s="2">
        <v>1</v>
      </c>
      <c r="C21" s="2">
        <v>1</v>
      </c>
      <c r="D21" s="2">
        <v>9</v>
      </c>
      <c r="E21" s="2">
        <v>3</v>
      </c>
      <c r="F21" s="1">
        <v>6.9553267940000003</v>
      </c>
      <c r="G21" s="2">
        <v>62</v>
      </c>
      <c r="H21" s="2">
        <v>57</v>
      </c>
      <c r="I21" s="2">
        <v>26</v>
      </c>
      <c r="J21" s="2">
        <v>2</v>
      </c>
      <c r="K21" s="2">
        <v>0</v>
      </c>
      <c r="L2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1" t="str">
        <f>IF(Table1[[#This Row],[Experience Years]]&lt;=2,"Entry Level",IF(Table1[[#This Row],[Experience Years]]&lt;=7,"Mid Level",IF(Table1[[#This Row],[Experience Years]]&lt;=15,"Senior Level")))</f>
        <v>Senior Level</v>
      </c>
      <c r="N21" s="1">
        <f>AVERAGE(Table1[[#This Row],[Interview Score]:[Personality Score]])</f>
        <v>48.333333333333336</v>
      </c>
      <c r="O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1" s="2" t="str">
        <f t="shared" si="0"/>
        <v>0-10</v>
      </c>
    </row>
    <row r="22" spans="1:16" x14ac:dyDescent="0.25">
      <c r="A22">
        <v>41</v>
      </c>
      <c r="B22" s="2">
        <v>1</v>
      </c>
      <c r="C22" s="2">
        <v>3</v>
      </c>
      <c r="D22" s="2">
        <v>8</v>
      </c>
      <c r="E22" s="2">
        <v>2</v>
      </c>
      <c r="F22" s="1">
        <v>8.0273564000000004</v>
      </c>
      <c r="G22" s="2">
        <v>67</v>
      </c>
      <c r="H22" s="2">
        <v>94</v>
      </c>
      <c r="I22" s="2">
        <v>23</v>
      </c>
      <c r="J22" s="2">
        <v>2</v>
      </c>
      <c r="K22" s="2">
        <v>0</v>
      </c>
      <c r="L2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2" t="str">
        <f>IF(Table1[[#This Row],[Experience Years]]&lt;=2,"Entry Level",IF(Table1[[#This Row],[Experience Years]]&lt;=7,"Mid Level",IF(Table1[[#This Row],[Experience Years]]&lt;=15,"Senior Level")))</f>
        <v>Senior Level</v>
      </c>
      <c r="N22" s="1">
        <f>AVERAGE(Table1[[#This Row],[Interview Score]:[Personality Score]])</f>
        <v>61.333333333333336</v>
      </c>
      <c r="O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2" s="2" t="str">
        <f t="shared" si="0"/>
        <v>0-10</v>
      </c>
    </row>
    <row r="23" spans="1:16" x14ac:dyDescent="0.25">
      <c r="A23">
        <v>40</v>
      </c>
      <c r="B23" s="2">
        <v>1</v>
      </c>
      <c r="C23" s="2">
        <v>2</v>
      </c>
      <c r="D23" s="2">
        <v>8</v>
      </c>
      <c r="E23" s="2">
        <v>1</v>
      </c>
      <c r="F23" s="1">
        <v>15.323686889999999</v>
      </c>
      <c r="G23" s="2">
        <v>99</v>
      </c>
      <c r="H23" s="2">
        <v>58</v>
      </c>
      <c r="I23" s="2">
        <v>98</v>
      </c>
      <c r="J23" s="2">
        <v>2</v>
      </c>
      <c r="K23" s="2">
        <v>1</v>
      </c>
      <c r="L2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3" t="str">
        <f>IF(Table1[[#This Row],[Experience Years]]&lt;=2,"Entry Level",IF(Table1[[#This Row],[Experience Years]]&lt;=7,"Mid Level",IF(Table1[[#This Row],[Experience Years]]&lt;=15,"Senior Level")))</f>
        <v>Senior Level</v>
      </c>
      <c r="N23" s="1">
        <f>AVERAGE(Table1[[#This Row],[Interview Score]:[Personality Score]])</f>
        <v>85</v>
      </c>
      <c r="O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23" s="2" t="str">
        <f t="shared" si="0"/>
        <v>10-20</v>
      </c>
    </row>
    <row r="24" spans="1:16" x14ac:dyDescent="0.25">
      <c r="A24">
        <v>21</v>
      </c>
      <c r="B24" s="2">
        <v>0</v>
      </c>
      <c r="C24" s="2">
        <v>2</v>
      </c>
      <c r="D24" s="2">
        <v>7</v>
      </c>
      <c r="E24" s="2">
        <v>4</v>
      </c>
      <c r="F24" s="1">
        <v>26.90385826</v>
      </c>
      <c r="G24" s="2">
        <v>91</v>
      </c>
      <c r="H24" s="2">
        <v>0</v>
      </c>
      <c r="I24" s="2">
        <v>38</v>
      </c>
      <c r="J24" s="2">
        <v>3</v>
      </c>
      <c r="K24" s="2">
        <v>0</v>
      </c>
      <c r="L2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4" s="2" t="str">
        <f>IF(Table1[[#This Row],[Experience Years]]&lt;=2,"Entry Level",IF(Table1[[#This Row],[Experience Years]]&lt;=7,"Mid Level",IF(Table1[[#This Row],[Experience Years]]&lt;=15,"Senior Level")))</f>
        <v>Mid Level</v>
      </c>
      <c r="N24" s="1">
        <f>AVERAGE(Table1[[#This Row],[Interview Score]:[Personality Score]])</f>
        <v>43</v>
      </c>
      <c r="O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4" s="2" t="str">
        <f t="shared" si="0"/>
        <v>20-30</v>
      </c>
    </row>
    <row r="25" spans="1:16" x14ac:dyDescent="0.25">
      <c r="A25">
        <v>43</v>
      </c>
      <c r="B25" s="2">
        <v>0</v>
      </c>
      <c r="C25" s="2">
        <v>1</v>
      </c>
      <c r="D25" s="2">
        <v>9</v>
      </c>
      <c r="E25" s="2">
        <v>3</v>
      </c>
      <c r="F25" s="1">
        <v>38.400803830000001</v>
      </c>
      <c r="G25" s="2">
        <v>56</v>
      </c>
      <c r="H25" s="2">
        <v>2</v>
      </c>
      <c r="I25" s="2">
        <v>71</v>
      </c>
      <c r="J25" s="2">
        <v>2</v>
      </c>
      <c r="K25" s="2">
        <v>0</v>
      </c>
      <c r="L2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5" s="2" t="str">
        <f>IF(Table1[[#This Row],[Experience Years]]&lt;=2,"Entry Level",IF(Table1[[#This Row],[Experience Years]]&lt;=7,"Mid Level",IF(Table1[[#This Row],[Experience Years]]&lt;=15,"Senior Level")))</f>
        <v>Senior Level</v>
      </c>
      <c r="N25" s="1">
        <f>AVERAGE(Table1[[#This Row],[Interview Score]:[Personality Score]])</f>
        <v>43</v>
      </c>
      <c r="O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5" s="2" t="str">
        <f t="shared" si="0"/>
        <v>30-40</v>
      </c>
    </row>
    <row r="26" spans="1:16" x14ac:dyDescent="0.25">
      <c r="A26">
        <v>31</v>
      </c>
      <c r="B26" s="2">
        <v>1</v>
      </c>
      <c r="C26" s="2">
        <v>1</v>
      </c>
      <c r="D26" s="2">
        <v>13</v>
      </c>
      <c r="E26" s="2">
        <v>3</v>
      </c>
      <c r="F26" s="1">
        <v>42.82654454</v>
      </c>
      <c r="G26" s="2">
        <v>12</v>
      </c>
      <c r="H26" s="2">
        <v>66</v>
      </c>
      <c r="I26" s="2">
        <v>17</v>
      </c>
      <c r="J26" s="2">
        <v>2</v>
      </c>
      <c r="K26" s="2">
        <v>0</v>
      </c>
      <c r="L2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6" t="str">
        <f>IF(Table1[[#This Row],[Experience Years]]&lt;=2,"Entry Level",IF(Table1[[#This Row],[Experience Years]]&lt;=7,"Mid Level",IF(Table1[[#This Row],[Experience Years]]&lt;=15,"Senior Level")))</f>
        <v>Senior Level</v>
      </c>
      <c r="N26" s="1">
        <f>AVERAGE(Table1[[#This Row],[Interview Score]:[Personality Score]])</f>
        <v>31.666666666666668</v>
      </c>
      <c r="O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6" s="2" t="str">
        <f t="shared" si="0"/>
        <v>40-50</v>
      </c>
    </row>
    <row r="27" spans="1:16" x14ac:dyDescent="0.25">
      <c r="A27">
        <v>49</v>
      </c>
      <c r="B27" s="2">
        <v>1</v>
      </c>
      <c r="C27" s="2">
        <v>2</v>
      </c>
      <c r="D27" s="2">
        <v>12</v>
      </c>
      <c r="E27" s="2">
        <v>4</v>
      </c>
      <c r="F27" s="1">
        <v>36.216765799999997</v>
      </c>
      <c r="G27" s="2">
        <v>22</v>
      </c>
      <c r="H27" s="2">
        <v>36</v>
      </c>
      <c r="I27" s="2">
        <v>76</v>
      </c>
      <c r="J27" s="2">
        <v>1</v>
      </c>
      <c r="K27" s="2">
        <v>1</v>
      </c>
      <c r="L2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7" t="str">
        <f>IF(Table1[[#This Row],[Experience Years]]&lt;=2,"Entry Level",IF(Table1[[#This Row],[Experience Years]]&lt;=7,"Mid Level",IF(Table1[[#This Row],[Experience Years]]&lt;=15,"Senior Level")))</f>
        <v>Senior Level</v>
      </c>
      <c r="N27" s="1">
        <f>AVERAGE(Table1[[#This Row],[Interview Score]:[Personality Score]])</f>
        <v>44.666666666666664</v>
      </c>
      <c r="O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7" s="2" t="str">
        <f t="shared" si="0"/>
        <v>30-40</v>
      </c>
    </row>
    <row r="28" spans="1:16" x14ac:dyDescent="0.25">
      <c r="A28">
        <v>25</v>
      </c>
      <c r="B28" s="2">
        <v>0</v>
      </c>
      <c r="C28" s="2">
        <v>2</v>
      </c>
      <c r="D28" s="2">
        <v>9</v>
      </c>
      <c r="E28" s="2">
        <v>4</v>
      </c>
      <c r="F28" s="1">
        <v>47.429844080000002</v>
      </c>
      <c r="G28" s="2">
        <v>82</v>
      </c>
      <c r="H28" s="2">
        <v>82</v>
      </c>
      <c r="I28" s="2">
        <v>44</v>
      </c>
      <c r="J28" s="2">
        <v>2</v>
      </c>
      <c r="K28" s="2">
        <v>0</v>
      </c>
      <c r="L2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8" s="2" t="str">
        <f>IF(Table1[[#This Row],[Experience Years]]&lt;=2,"Entry Level",IF(Table1[[#This Row],[Experience Years]]&lt;=7,"Mid Level",IF(Table1[[#This Row],[Experience Years]]&lt;=15,"Senior Level")))</f>
        <v>Senior Level</v>
      </c>
      <c r="N28" s="1">
        <f>AVERAGE(Table1[[#This Row],[Interview Score]:[Personality Score]])</f>
        <v>69.333333333333329</v>
      </c>
      <c r="O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8" s="2" t="str">
        <f t="shared" si="0"/>
        <v>40-50</v>
      </c>
    </row>
    <row r="29" spans="1:16" x14ac:dyDescent="0.25">
      <c r="A29">
        <v>21</v>
      </c>
      <c r="B29" s="2">
        <v>1</v>
      </c>
      <c r="C29" s="2">
        <v>2</v>
      </c>
      <c r="D29" s="2">
        <v>0</v>
      </c>
      <c r="E29" s="2">
        <v>4</v>
      </c>
      <c r="F29" s="1">
        <v>37.937175480000001</v>
      </c>
      <c r="G29" s="2">
        <v>100</v>
      </c>
      <c r="H29" s="2">
        <v>28</v>
      </c>
      <c r="I29" s="2">
        <v>87</v>
      </c>
      <c r="J29" s="2">
        <v>3</v>
      </c>
      <c r="K29" s="2">
        <v>0</v>
      </c>
      <c r="L2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9" t="str">
        <f>IF(Table1[[#This Row],[Experience Years]]&lt;=2,"Entry Level",IF(Table1[[#This Row],[Experience Years]]&lt;=7,"Mid Level",IF(Table1[[#This Row],[Experience Years]]&lt;=15,"Senior Level")))</f>
        <v>Entry Level</v>
      </c>
      <c r="N29" s="1">
        <f>AVERAGE(Table1[[#This Row],[Interview Score]:[Personality Score]])</f>
        <v>71.666666666666671</v>
      </c>
      <c r="O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29" s="2" t="str">
        <f t="shared" si="0"/>
        <v>30-40</v>
      </c>
    </row>
    <row r="30" spans="1:16" x14ac:dyDescent="0.25">
      <c r="A30">
        <v>47</v>
      </c>
      <c r="B30" s="2">
        <v>1</v>
      </c>
      <c r="C30" s="2">
        <v>3</v>
      </c>
      <c r="D30" s="2">
        <v>1</v>
      </c>
      <c r="E30" s="2">
        <v>2</v>
      </c>
      <c r="F30" s="1">
        <v>16.313394349999999</v>
      </c>
      <c r="G30" s="2">
        <v>38</v>
      </c>
      <c r="H30" s="2">
        <v>88</v>
      </c>
      <c r="I30" s="2">
        <v>86</v>
      </c>
      <c r="J30" s="2">
        <v>2</v>
      </c>
      <c r="K30" s="2">
        <v>0</v>
      </c>
      <c r="L3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0" t="str">
        <f>IF(Table1[[#This Row],[Experience Years]]&lt;=2,"Entry Level",IF(Table1[[#This Row],[Experience Years]]&lt;=7,"Mid Level",IF(Table1[[#This Row],[Experience Years]]&lt;=15,"Senior Level")))</f>
        <v>Entry Level</v>
      </c>
      <c r="N30" s="1">
        <f>AVERAGE(Table1[[#This Row],[Interview Score]:[Personality Score]])</f>
        <v>70.666666666666671</v>
      </c>
      <c r="O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0" s="2" t="str">
        <f t="shared" si="0"/>
        <v>10-20</v>
      </c>
    </row>
    <row r="31" spans="1:16" x14ac:dyDescent="0.25">
      <c r="A31">
        <v>40</v>
      </c>
      <c r="B31" s="2">
        <v>0</v>
      </c>
      <c r="C31" s="2">
        <v>2</v>
      </c>
      <c r="D31" s="2">
        <v>5</v>
      </c>
      <c r="E31" s="2">
        <v>5</v>
      </c>
      <c r="F31" s="1">
        <v>14.25406422</v>
      </c>
      <c r="G31" s="2">
        <v>87</v>
      </c>
      <c r="H31" s="2">
        <v>32</v>
      </c>
      <c r="I31" s="2">
        <v>11</v>
      </c>
      <c r="J31" s="2">
        <v>2</v>
      </c>
      <c r="K31" s="2">
        <v>0</v>
      </c>
      <c r="L3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1" s="2" t="str">
        <f>IF(Table1[[#This Row],[Experience Years]]&lt;=2,"Entry Level",IF(Table1[[#This Row],[Experience Years]]&lt;=7,"Mid Level",IF(Table1[[#This Row],[Experience Years]]&lt;=15,"Senior Level")))</f>
        <v>Mid Level</v>
      </c>
      <c r="N31" s="1">
        <f>AVERAGE(Table1[[#This Row],[Interview Score]:[Personality Score]])</f>
        <v>43.333333333333336</v>
      </c>
      <c r="O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1" s="2" t="str">
        <f t="shared" si="0"/>
        <v>10-20</v>
      </c>
    </row>
    <row r="32" spans="1:16" x14ac:dyDescent="0.25">
      <c r="A32">
        <v>20</v>
      </c>
      <c r="B32" s="2">
        <v>1</v>
      </c>
      <c r="C32" s="2">
        <v>1</v>
      </c>
      <c r="D32" s="2">
        <v>9</v>
      </c>
      <c r="E32" s="2">
        <v>3</v>
      </c>
      <c r="F32" s="1">
        <v>35.809622519999998</v>
      </c>
      <c r="G32" s="2">
        <v>79</v>
      </c>
      <c r="H32" s="2">
        <v>99</v>
      </c>
      <c r="I32" s="2">
        <v>48</v>
      </c>
      <c r="J32" s="2">
        <v>2</v>
      </c>
      <c r="K32" s="2">
        <v>0</v>
      </c>
      <c r="L3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2" t="str">
        <f>IF(Table1[[#This Row],[Experience Years]]&lt;=2,"Entry Level",IF(Table1[[#This Row],[Experience Years]]&lt;=7,"Mid Level",IF(Table1[[#This Row],[Experience Years]]&lt;=15,"Senior Level")))</f>
        <v>Senior Level</v>
      </c>
      <c r="N32" s="1">
        <f>AVERAGE(Table1[[#This Row],[Interview Score]:[Personality Score]])</f>
        <v>75.333333333333329</v>
      </c>
      <c r="O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2" s="2" t="str">
        <f t="shared" si="0"/>
        <v>30-40</v>
      </c>
    </row>
    <row r="33" spans="1:16" x14ac:dyDescent="0.25">
      <c r="A33">
        <v>31</v>
      </c>
      <c r="B33" s="2">
        <v>1</v>
      </c>
      <c r="C33" s="2">
        <v>2</v>
      </c>
      <c r="D33" s="2">
        <v>4</v>
      </c>
      <c r="E33" s="2">
        <v>5</v>
      </c>
      <c r="F33" s="1">
        <v>10.64352843</v>
      </c>
      <c r="G33" s="2">
        <v>96</v>
      </c>
      <c r="H33" s="2">
        <v>60</v>
      </c>
      <c r="I33" s="2">
        <v>93</v>
      </c>
      <c r="J33" s="2">
        <v>2</v>
      </c>
      <c r="K33" s="2">
        <v>0</v>
      </c>
      <c r="L3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3" t="str">
        <f>IF(Table1[[#This Row],[Experience Years]]&lt;=2,"Entry Level",IF(Table1[[#This Row],[Experience Years]]&lt;=7,"Mid Level",IF(Table1[[#This Row],[Experience Years]]&lt;=15,"Senior Level")))</f>
        <v>Mid Level</v>
      </c>
      <c r="N33" s="1">
        <f>AVERAGE(Table1[[#This Row],[Interview Score]:[Personality Score]])</f>
        <v>83</v>
      </c>
      <c r="O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33" s="2" t="str">
        <f t="shared" si="0"/>
        <v>10-20</v>
      </c>
    </row>
    <row r="34" spans="1:16" x14ac:dyDescent="0.25">
      <c r="A34">
        <v>45</v>
      </c>
      <c r="B34" s="2">
        <v>1</v>
      </c>
      <c r="C34" s="2">
        <v>4</v>
      </c>
      <c r="D34" s="2">
        <v>11</v>
      </c>
      <c r="E34" s="2">
        <v>5</v>
      </c>
      <c r="F34" s="1">
        <v>5.6357405409999997</v>
      </c>
      <c r="G34" s="2">
        <v>11</v>
      </c>
      <c r="H34" s="2">
        <v>92</v>
      </c>
      <c r="I34" s="2">
        <v>30</v>
      </c>
      <c r="J34" s="2">
        <v>1</v>
      </c>
      <c r="K34" s="2">
        <v>1</v>
      </c>
      <c r="L3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4" t="str">
        <f>IF(Table1[[#This Row],[Experience Years]]&lt;=2,"Entry Level",IF(Table1[[#This Row],[Experience Years]]&lt;=7,"Mid Level",IF(Table1[[#This Row],[Experience Years]]&lt;=15,"Senior Level")))</f>
        <v>Senior Level</v>
      </c>
      <c r="N34" s="1">
        <f>AVERAGE(Table1[[#This Row],[Interview Score]:[Personality Score]])</f>
        <v>44.333333333333336</v>
      </c>
      <c r="O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4" s="2" t="str">
        <f t="shared" si="0"/>
        <v>0-10</v>
      </c>
    </row>
    <row r="35" spans="1:16" x14ac:dyDescent="0.25">
      <c r="A35">
        <v>41</v>
      </c>
      <c r="B35" s="2">
        <v>0</v>
      </c>
      <c r="C35" s="2">
        <v>3</v>
      </c>
      <c r="D35" s="2">
        <v>13</v>
      </c>
      <c r="E35" s="2">
        <v>4</v>
      </c>
      <c r="F35" s="1">
        <v>27.611143739999999</v>
      </c>
      <c r="G35" s="2">
        <v>33</v>
      </c>
      <c r="H35" s="2">
        <v>89</v>
      </c>
      <c r="I35" s="2">
        <v>91</v>
      </c>
      <c r="J35" s="2">
        <v>3</v>
      </c>
      <c r="K35" s="2">
        <v>1</v>
      </c>
      <c r="L3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5" s="2" t="str">
        <f>IF(Table1[[#This Row],[Experience Years]]&lt;=2,"Entry Level",IF(Table1[[#This Row],[Experience Years]]&lt;=7,"Mid Level",IF(Table1[[#This Row],[Experience Years]]&lt;=15,"Senior Level")))</f>
        <v>Senior Level</v>
      </c>
      <c r="N35" s="1">
        <f>AVERAGE(Table1[[#This Row],[Interview Score]:[Personality Score]])</f>
        <v>71</v>
      </c>
      <c r="O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5" s="2" t="str">
        <f t="shared" si="0"/>
        <v>20-30</v>
      </c>
    </row>
    <row r="36" spans="1:16" x14ac:dyDescent="0.25">
      <c r="A36">
        <v>48</v>
      </c>
      <c r="B36" s="2">
        <v>0</v>
      </c>
      <c r="C36" s="2">
        <v>2</v>
      </c>
      <c r="D36" s="2">
        <v>8</v>
      </c>
      <c r="E36" s="2">
        <v>2</v>
      </c>
      <c r="F36" s="1">
        <v>42.082078490000001</v>
      </c>
      <c r="G36" s="2">
        <v>70</v>
      </c>
      <c r="H36" s="2">
        <v>3</v>
      </c>
      <c r="I36" s="2">
        <v>21</v>
      </c>
      <c r="J36" s="2">
        <v>1</v>
      </c>
      <c r="K36" s="2">
        <v>0</v>
      </c>
      <c r="L3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6" s="2" t="str">
        <f>IF(Table1[[#This Row],[Experience Years]]&lt;=2,"Entry Level",IF(Table1[[#This Row],[Experience Years]]&lt;=7,"Mid Level",IF(Table1[[#This Row],[Experience Years]]&lt;=15,"Senior Level")))</f>
        <v>Senior Level</v>
      </c>
      <c r="N36" s="1">
        <f>AVERAGE(Table1[[#This Row],[Interview Score]:[Personality Score]])</f>
        <v>31.333333333333332</v>
      </c>
      <c r="O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6" s="2" t="str">
        <f t="shared" si="0"/>
        <v>40-50</v>
      </c>
    </row>
    <row r="37" spans="1:16" x14ac:dyDescent="0.25">
      <c r="A37">
        <v>31</v>
      </c>
      <c r="B37" s="2">
        <v>0</v>
      </c>
      <c r="C37" s="2">
        <v>2</v>
      </c>
      <c r="D37" s="2">
        <v>4</v>
      </c>
      <c r="E37" s="2">
        <v>1</v>
      </c>
      <c r="F37" s="1">
        <v>6.0689921230000001</v>
      </c>
      <c r="G37" s="2">
        <v>74</v>
      </c>
      <c r="H37" s="2">
        <v>13</v>
      </c>
      <c r="I37" s="2">
        <v>43</v>
      </c>
      <c r="J37" s="2">
        <v>2</v>
      </c>
      <c r="K37" s="2">
        <v>0</v>
      </c>
      <c r="L3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7" s="2" t="str">
        <f>IF(Table1[[#This Row],[Experience Years]]&lt;=2,"Entry Level",IF(Table1[[#This Row],[Experience Years]]&lt;=7,"Mid Level",IF(Table1[[#This Row],[Experience Years]]&lt;=15,"Senior Level")))</f>
        <v>Mid Level</v>
      </c>
      <c r="N37" s="1">
        <f>AVERAGE(Table1[[#This Row],[Interview Score]:[Personality Score]])</f>
        <v>43.333333333333336</v>
      </c>
      <c r="O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7" s="2" t="str">
        <f t="shared" si="0"/>
        <v>0-10</v>
      </c>
    </row>
    <row r="38" spans="1:16" x14ac:dyDescent="0.25">
      <c r="A38">
        <v>44</v>
      </c>
      <c r="B38" s="2">
        <v>1</v>
      </c>
      <c r="C38" s="2">
        <v>2</v>
      </c>
      <c r="D38" s="2">
        <v>1</v>
      </c>
      <c r="E38" s="2">
        <v>2</v>
      </c>
      <c r="F38" s="1">
        <v>40.594566190000002</v>
      </c>
      <c r="G38" s="2">
        <v>30</v>
      </c>
      <c r="H38" s="2">
        <v>90</v>
      </c>
      <c r="I38" s="2">
        <v>91</v>
      </c>
      <c r="J38" s="2">
        <v>2</v>
      </c>
      <c r="K38" s="2">
        <v>0</v>
      </c>
      <c r="L3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8" t="str">
        <f>IF(Table1[[#This Row],[Experience Years]]&lt;=2,"Entry Level",IF(Table1[[#This Row],[Experience Years]]&lt;=7,"Mid Level",IF(Table1[[#This Row],[Experience Years]]&lt;=15,"Senior Level")))</f>
        <v>Entry Level</v>
      </c>
      <c r="N38" s="1">
        <f>AVERAGE(Table1[[#This Row],[Interview Score]:[Personality Score]])</f>
        <v>70.333333333333329</v>
      </c>
      <c r="O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8" s="2" t="str">
        <f t="shared" si="0"/>
        <v>40-50</v>
      </c>
    </row>
    <row r="39" spans="1:16" x14ac:dyDescent="0.25">
      <c r="A39">
        <v>36</v>
      </c>
      <c r="B39" s="2">
        <v>1</v>
      </c>
      <c r="C39" s="2">
        <v>3</v>
      </c>
      <c r="D39" s="2">
        <v>9</v>
      </c>
      <c r="E39" s="2">
        <v>5</v>
      </c>
      <c r="F39" s="1">
        <v>41.578600219999998</v>
      </c>
      <c r="G39" s="2">
        <v>92</v>
      </c>
      <c r="H39" s="2">
        <v>32</v>
      </c>
      <c r="I39" s="2">
        <v>63</v>
      </c>
      <c r="J39" s="2">
        <v>2</v>
      </c>
      <c r="K39" s="2">
        <v>1</v>
      </c>
      <c r="L3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9" t="str">
        <f>IF(Table1[[#This Row],[Experience Years]]&lt;=2,"Entry Level",IF(Table1[[#This Row],[Experience Years]]&lt;=7,"Mid Level",IF(Table1[[#This Row],[Experience Years]]&lt;=15,"Senior Level")))</f>
        <v>Senior Level</v>
      </c>
      <c r="N39" s="1">
        <f>AVERAGE(Table1[[#This Row],[Interview Score]:[Personality Score]])</f>
        <v>62.333333333333336</v>
      </c>
      <c r="O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9" s="2" t="str">
        <f t="shared" si="0"/>
        <v>40-50</v>
      </c>
    </row>
    <row r="40" spans="1:16" x14ac:dyDescent="0.25">
      <c r="A40">
        <v>46</v>
      </c>
      <c r="B40" s="2">
        <v>0</v>
      </c>
      <c r="C40" s="2">
        <v>3</v>
      </c>
      <c r="D40" s="2">
        <v>3</v>
      </c>
      <c r="E40" s="2">
        <v>2</v>
      </c>
      <c r="F40" s="1">
        <v>25.113700000000001</v>
      </c>
      <c r="G40" s="2">
        <v>61</v>
      </c>
      <c r="H40" s="2">
        <v>21</v>
      </c>
      <c r="I40" s="2">
        <v>76</v>
      </c>
      <c r="J40" s="2">
        <v>1</v>
      </c>
      <c r="K40" s="2">
        <v>1</v>
      </c>
      <c r="L4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0" s="2" t="str">
        <f>IF(Table1[[#This Row],[Experience Years]]&lt;=2,"Entry Level",IF(Table1[[#This Row],[Experience Years]]&lt;=7,"Mid Level",IF(Table1[[#This Row],[Experience Years]]&lt;=15,"Senior Level")))</f>
        <v>Mid Level</v>
      </c>
      <c r="N40" s="1">
        <f>AVERAGE(Table1[[#This Row],[Interview Score]:[Personality Score]])</f>
        <v>52.666666666666664</v>
      </c>
      <c r="O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0" s="2" t="str">
        <f t="shared" si="0"/>
        <v>20-30</v>
      </c>
    </row>
    <row r="41" spans="1:16" x14ac:dyDescent="0.25">
      <c r="A41">
        <v>46</v>
      </c>
      <c r="B41" s="2">
        <v>1</v>
      </c>
      <c r="C41" s="2">
        <v>2</v>
      </c>
      <c r="D41" s="2">
        <v>8</v>
      </c>
      <c r="E41" s="2">
        <v>4</v>
      </c>
      <c r="F41" s="1">
        <v>3.865515501</v>
      </c>
      <c r="G41" s="2">
        <v>12</v>
      </c>
      <c r="H41" s="2">
        <v>47</v>
      </c>
      <c r="I41" s="2">
        <v>24</v>
      </c>
      <c r="J41" s="2">
        <v>2</v>
      </c>
      <c r="K41" s="2">
        <v>0</v>
      </c>
      <c r="L4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1" t="str">
        <f>IF(Table1[[#This Row],[Experience Years]]&lt;=2,"Entry Level",IF(Table1[[#This Row],[Experience Years]]&lt;=7,"Mid Level",IF(Table1[[#This Row],[Experience Years]]&lt;=15,"Senior Level")))</f>
        <v>Senior Level</v>
      </c>
      <c r="N41" s="1">
        <f>AVERAGE(Table1[[#This Row],[Interview Score]:[Personality Score]])</f>
        <v>27.666666666666668</v>
      </c>
      <c r="O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1" s="2" t="str">
        <f t="shared" si="0"/>
        <v>0-10</v>
      </c>
    </row>
    <row r="42" spans="1:16" x14ac:dyDescent="0.25">
      <c r="A42">
        <v>50</v>
      </c>
      <c r="B42" s="2">
        <v>1</v>
      </c>
      <c r="C42" s="2">
        <v>3</v>
      </c>
      <c r="D42" s="2">
        <v>0</v>
      </c>
      <c r="E42" s="2">
        <v>1</v>
      </c>
      <c r="F42" s="1">
        <v>9.7294925620000008</v>
      </c>
      <c r="G42" s="2">
        <v>30</v>
      </c>
      <c r="H42" s="2">
        <v>2</v>
      </c>
      <c r="I42" s="2">
        <v>50</v>
      </c>
      <c r="J42" s="2">
        <v>1</v>
      </c>
      <c r="K42" s="2">
        <v>0</v>
      </c>
      <c r="L4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2" t="str">
        <f>IF(Table1[[#This Row],[Experience Years]]&lt;=2,"Entry Level",IF(Table1[[#This Row],[Experience Years]]&lt;=7,"Mid Level",IF(Table1[[#This Row],[Experience Years]]&lt;=15,"Senior Level")))</f>
        <v>Entry Level</v>
      </c>
      <c r="N42" s="1">
        <f>AVERAGE(Table1[[#This Row],[Interview Score]:[Personality Score]])</f>
        <v>27.333333333333332</v>
      </c>
      <c r="O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2" s="2" t="str">
        <f t="shared" si="0"/>
        <v>0-10</v>
      </c>
    </row>
    <row r="43" spans="1:16" x14ac:dyDescent="0.25">
      <c r="A43">
        <v>29</v>
      </c>
      <c r="B43" s="2">
        <v>1</v>
      </c>
      <c r="C43" s="2">
        <v>3</v>
      </c>
      <c r="D43" s="2">
        <v>10</v>
      </c>
      <c r="E43" s="2">
        <v>4</v>
      </c>
      <c r="F43" s="1">
        <v>36.37131376</v>
      </c>
      <c r="G43" s="2">
        <v>1</v>
      </c>
      <c r="H43" s="2">
        <v>86</v>
      </c>
      <c r="I43" s="2">
        <v>6</v>
      </c>
      <c r="J43" s="2">
        <v>1</v>
      </c>
      <c r="K43" s="2">
        <v>1</v>
      </c>
      <c r="L4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43" t="str">
        <f>IF(Table1[[#This Row],[Experience Years]]&lt;=2,"Entry Level",IF(Table1[[#This Row],[Experience Years]]&lt;=7,"Mid Level",IF(Table1[[#This Row],[Experience Years]]&lt;=15,"Senior Level")))</f>
        <v>Senior Level</v>
      </c>
      <c r="N43" s="1">
        <f>AVERAGE(Table1[[#This Row],[Interview Score]:[Personality Score]])</f>
        <v>31</v>
      </c>
      <c r="O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3" s="2" t="str">
        <f t="shared" si="0"/>
        <v>30-40</v>
      </c>
    </row>
    <row r="44" spans="1:16" x14ac:dyDescent="0.25">
      <c r="A44">
        <v>47</v>
      </c>
      <c r="B44" s="2">
        <v>1</v>
      </c>
      <c r="C44" s="2">
        <v>1</v>
      </c>
      <c r="D44" s="2">
        <v>0</v>
      </c>
      <c r="E44" s="2">
        <v>1</v>
      </c>
      <c r="F44" s="1">
        <v>36.588897250000002</v>
      </c>
      <c r="G44" s="2">
        <v>14</v>
      </c>
      <c r="H44" s="2">
        <v>84</v>
      </c>
      <c r="I44" s="2">
        <v>5</v>
      </c>
      <c r="J44" s="2">
        <v>2</v>
      </c>
      <c r="K44" s="2">
        <v>0</v>
      </c>
      <c r="L4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4" t="str">
        <f>IF(Table1[[#This Row],[Experience Years]]&lt;=2,"Entry Level",IF(Table1[[#This Row],[Experience Years]]&lt;=7,"Mid Level",IF(Table1[[#This Row],[Experience Years]]&lt;=15,"Senior Level")))</f>
        <v>Entry Level</v>
      </c>
      <c r="N44" s="1">
        <f>AVERAGE(Table1[[#This Row],[Interview Score]:[Personality Score]])</f>
        <v>34.333333333333336</v>
      </c>
      <c r="O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4" s="2" t="str">
        <f t="shared" si="0"/>
        <v>30-40</v>
      </c>
    </row>
    <row r="45" spans="1:16" x14ac:dyDescent="0.25">
      <c r="A45">
        <v>47</v>
      </c>
      <c r="B45" s="2">
        <v>1</v>
      </c>
      <c r="C45" s="2">
        <v>2</v>
      </c>
      <c r="D45" s="2">
        <v>11</v>
      </c>
      <c r="E45" s="2">
        <v>5</v>
      </c>
      <c r="F45" s="1">
        <v>45.91776376</v>
      </c>
      <c r="G45" s="2">
        <v>56</v>
      </c>
      <c r="H45" s="2">
        <v>22</v>
      </c>
      <c r="I45" s="2">
        <v>23</v>
      </c>
      <c r="J45" s="2">
        <v>2</v>
      </c>
      <c r="K45" s="2">
        <v>0</v>
      </c>
      <c r="L4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5" t="str">
        <f>IF(Table1[[#This Row],[Experience Years]]&lt;=2,"Entry Level",IF(Table1[[#This Row],[Experience Years]]&lt;=7,"Mid Level",IF(Table1[[#This Row],[Experience Years]]&lt;=15,"Senior Level")))</f>
        <v>Senior Level</v>
      </c>
      <c r="N45" s="1">
        <f>AVERAGE(Table1[[#This Row],[Interview Score]:[Personality Score]])</f>
        <v>33.666666666666664</v>
      </c>
      <c r="O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5" s="2" t="str">
        <f t="shared" si="0"/>
        <v>40-50</v>
      </c>
    </row>
    <row r="46" spans="1:16" x14ac:dyDescent="0.25">
      <c r="A46">
        <v>35</v>
      </c>
      <c r="B46" s="2">
        <v>0</v>
      </c>
      <c r="C46" s="2">
        <v>1</v>
      </c>
      <c r="D46" s="2">
        <v>6</v>
      </c>
      <c r="E46" s="2">
        <v>1</v>
      </c>
      <c r="F46" s="1">
        <v>30.134307329999999</v>
      </c>
      <c r="G46" s="2">
        <v>74</v>
      </c>
      <c r="H46" s="2">
        <v>67</v>
      </c>
      <c r="I46" s="2">
        <v>18</v>
      </c>
      <c r="J46" s="2">
        <v>1</v>
      </c>
      <c r="K46" s="2">
        <v>1</v>
      </c>
      <c r="L4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6" s="2" t="str">
        <f>IF(Table1[[#This Row],[Experience Years]]&lt;=2,"Entry Level",IF(Table1[[#This Row],[Experience Years]]&lt;=7,"Mid Level",IF(Table1[[#This Row],[Experience Years]]&lt;=15,"Senior Level")))</f>
        <v>Mid Level</v>
      </c>
      <c r="N46" s="1">
        <f>AVERAGE(Table1[[#This Row],[Interview Score]:[Personality Score]])</f>
        <v>53</v>
      </c>
      <c r="O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6" s="2" t="str">
        <f t="shared" si="0"/>
        <v>30-40</v>
      </c>
    </row>
    <row r="47" spans="1:16" x14ac:dyDescent="0.25">
      <c r="A47">
        <v>34</v>
      </c>
      <c r="B47" s="2">
        <v>1</v>
      </c>
      <c r="C47" s="2">
        <v>2</v>
      </c>
      <c r="D47" s="2">
        <v>10</v>
      </c>
      <c r="E47" s="2">
        <v>1</v>
      </c>
      <c r="F47" s="1">
        <v>7.205368386</v>
      </c>
      <c r="G47" s="2">
        <v>33</v>
      </c>
      <c r="H47" s="2">
        <v>20</v>
      </c>
      <c r="I47" s="2">
        <v>82</v>
      </c>
      <c r="J47" s="2">
        <v>1</v>
      </c>
      <c r="K47" s="2">
        <v>1</v>
      </c>
      <c r="L4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7" t="str">
        <f>IF(Table1[[#This Row],[Experience Years]]&lt;=2,"Entry Level",IF(Table1[[#This Row],[Experience Years]]&lt;=7,"Mid Level",IF(Table1[[#This Row],[Experience Years]]&lt;=15,"Senior Level")))</f>
        <v>Senior Level</v>
      </c>
      <c r="N47" s="1">
        <f>AVERAGE(Table1[[#This Row],[Interview Score]:[Personality Score]])</f>
        <v>45</v>
      </c>
      <c r="O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7" s="2" t="str">
        <f t="shared" si="0"/>
        <v>0-10</v>
      </c>
    </row>
    <row r="48" spans="1:16" x14ac:dyDescent="0.25">
      <c r="A48">
        <v>49</v>
      </c>
      <c r="B48" s="2">
        <v>0</v>
      </c>
      <c r="C48" s="2">
        <v>3</v>
      </c>
      <c r="D48" s="2">
        <v>2</v>
      </c>
      <c r="E48" s="2">
        <v>1</v>
      </c>
      <c r="F48" s="1">
        <v>7.0707452750000002</v>
      </c>
      <c r="G48" s="2">
        <v>67</v>
      </c>
      <c r="H48" s="2">
        <v>100</v>
      </c>
      <c r="I48" s="2">
        <v>99</v>
      </c>
      <c r="J48" s="2">
        <v>3</v>
      </c>
      <c r="K48" s="2">
        <v>0</v>
      </c>
      <c r="L4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8" s="2" t="str">
        <f>IF(Table1[[#This Row],[Experience Years]]&lt;=2,"Entry Level",IF(Table1[[#This Row],[Experience Years]]&lt;=7,"Mid Level",IF(Table1[[#This Row],[Experience Years]]&lt;=15,"Senior Level")))</f>
        <v>Entry Level</v>
      </c>
      <c r="N48" s="1">
        <f>AVERAGE(Table1[[#This Row],[Interview Score]:[Personality Score]])</f>
        <v>88.666666666666671</v>
      </c>
      <c r="O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48" s="2" t="str">
        <f t="shared" si="0"/>
        <v>0-10</v>
      </c>
    </row>
    <row r="49" spans="1:16" x14ac:dyDescent="0.25">
      <c r="A49">
        <v>49</v>
      </c>
      <c r="B49" s="2">
        <v>1</v>
      </c>
      <c r="C49" s="2">
        <v>2</v>
      </c>
      <c r="D49" s="2">
        <v>9</v>
      </c>
      <c r="E49" s="2">
        <v>2</v>
      </c>
      <c r="F49" s="1">
        <v>37.056617869999997</v>
      </c>
      <c r="G49" s="2">
        <v>74</v>
      </c>
      <c r="H49" s="2">
        <v>42</v>
      </c>
      <c r="I49" s="2">
        <v>8</v>
      </c>
      <c r="J49" s="2">
        <v>3</v>
      </c>
      <c r="K49" s="2">
        <v>0</v>
      </c>
      <c r="L4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9" t="str">
        <f>IF(Table1[[#This Row],[Experience Years]]&lt;=2,"Entry Level",IF(Table1[[#This Row],[Experience Years]]&lt;=7,"Mid Level",IF(Table1[[#This Row],[Experience Years]]&lt;=15,"Senior Level")))</f>
        <v>Senior Level</v>
      </c>
      <c r="N49" s="1">
        <f>AVERAGE(Table1[[#This Row],[Interview Score]:[Personality Score]])</f>
        <v>41.333333333333336</v>
      </c>
      <c r="O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9" s="2" t="str">
        <f t="shared" si="0"/>
        <v>30-40</v>
      </c>
    </row>
    <row r="50" spans="1:16" x14ac:dyDescent="0.25">
      <c r="A50">
        <v>34</v>
      </c>
      <c r="B50" s="2">
        <v>0</v>
      </c>
      <c r="C50" s="2">
        <v>2</v>
      </c>
      <c r="D50" s="2">
        <v>1</v>
      </c>
      <c r="E50" s="2">
        <v>2</v>
      </c>
      <c r="F50" s="1">
        <v>10.18923326</v>
      </c>
      <c r="G50" s="2">
        <v>28</v>
      </c>
      <c r="H50" s="2">
        <v>94</v>
      </c>
      <c r="I50" s="2">
        <v>35</v>
      </c>
      <c r="J50" s="2">
        <v>1</v>
      </c>
      <c r="K50" s="2">
        <v>0</v>
      </c>
      <c r="L5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0" s="2" t="str">
        <f>IF(Table1[[#This Row],[Experience Years]]&lt;=2,"Entry Level",IF(Table1[[#This Row],[Experience Years]]&lt;=7,"Mid Level",IF(Table1[[#This Row],[Experience Years]]&lt;=15,"Senior Level")))</f>
        <v>Entry Level</v>
      </c>
      <c r="N50" s="1">
        <f>AVERAGE(Table1[[#This Row],[Interview Score]:[Personality Score]])</f>
        <v>52.333333333333336</v>
      </c>
      <c r="O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0" s="2" t="str">
        <f t="shared" si="0"/>
        <v>10-20</v>
      </c>
    </row>
    <row r="51" spans="1:16" x14ac:dyDescent="0.25">
      <c r="A51">
        <v>49</v>
      </c>
      <c r="B51" s="2">
        <v>1</v>
      </c>
      <c r="C51" s="2">
        <v>1</v>
      </c>
      <c r="D51" s="2">
        <v>8</v>
      </c>
      <c r="E51" s="2">
        <v>5</v>
      </c>
      <c r="F51" s="1">
        <v>17.419274980000001</v>
      </c>
      <c r="G51" s="2">
        <v>65</v>
      </c>
      <c r="H51" s="2">
        <v>84</v>
      </c>
      <c r="I51" s="2">
        <v>39</v>
      </c>
      <c r="J51" s="2">
        <v>2</v>
      </c>
      <c r="K51" s="2">
        <v>0</v>
      </c>
      <c r="L5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1" t="str">
        <f>IF(Table1[[#This Row],[Experience Years]]&lt;=2,"Entry Level",IF(Table1[[#This Row],[Experience Years]]&lt;=7,"Mid Level",IF(Table1[[#This Row],[Experience Years]]&lt;=15,"Senior Level")))</f>
        <v>Senior Level</v>
      </c>
      <c r="N51" s="1">
        <f>AVERAGE(Table1[[#This Row],[Interview Score]:[Personality Score]])</f>
        <v>62.666666666666664</v>
      </c>
      <c r="O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1" s="2" t="str">
        <f t="shared" si="0"/>
        <v>10-20</v>
      </c>
    </row>
    <row r="52" spans="1:16" x14ac:dyDescent="0.25">
      <c r="A52">
        <v>38</v>
      </c>
      <c r="B52" s="2">
        <v>0</v>
      </c>
      <c r="C52" s="2">
        <v>2</v>
      </c>
      <c r="D52" s="2">
        <v>2</v>
      </c>
      <c r="E52" s="2">
        <v>1</v>
      </c>
      <c r="F52" s="1">
        <v>25.360600349999999</v>
      </c>
      <c r="G52" s="2">
        <v>15</v>
      </c>
      <c r="H52" s="2">
        <v>25</v>
      </c>
      <c r="I52" s="2">
        <v>92</v>
      </c>
      <c r="J52" s="2">
        <v>2</v>
      </c>
      <c r="K52" s="2">
        <v>0</v>
      </c>
      <c r="L5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2" s="2" t="str">
        <f>IF(Table1[[#This Row],[Experience Years]]&lt;=2,"Entry Level",IF(Table1[[#This Row],[Experience Years]]&lt;=7,"Mid Level",IF(Table1[[#This Row],[Experience Years]]&lt;=15,"Senior Level")))</f>
        <v>Entry Level</v>
      </c>
      <c r="N52" s="1">
        <f>AVERAGE(Table1[[#This Row],[Interview Score]:[Personality Score]])</f>
        <v>44</v>
      </c>
      <c r="O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2" s="2" t="str">
        <f t="shared" si="0"/>
        <v>20-30</v>
      </c>
    </row>
    <row r="53" spans="1:16" x14ac:dyDescent="0.25">
      <c r="A53">
        <v>31</v>
      </c>
      <c r="B53" s="2">
        <v>1</v>
      </c>
      <c r="C53" s="2">
        <v>2</v>
      </c>
      <c r="D53" s="2">
        <v>15</v>
      </c>
      <c r="E53" s="2">
        <v>3</v>
      </c>
      <c r="F53" s="1">
        <v>2.2382438790000001</v>
      </c>
      <c r="G53" s="2">
        <v>38</v>
      </c>
      <c r="H53" s="2">
        <v>40</v>
      </c>
      <c r="I53" s="2">
        <v>23</v>
      </c>
      <c r="J53" s="2">
        <v>2</v>
      </c>
      <c r="K53" s="2">
        <v>0</v>
      </c>
      <c r="L5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3" t="str">
        <f>IF(Table1[[#This Row],[Experience Years]]&lt;=2,"Entry Level",IF(Table1[[#This Row],[Experience Years]]&lt;=7,"Mid Level",IF(Table1[[#This Row],[Experience Years]]&lt;=15,"Senior Level")))</f>
        <v>Senior Level</v>
      </c>
      <c r="N53" s="1">
        <f>AVERAGE(Table1[[#This Row],[Interview Score]:[Personality Score]])</f>
        <v>33.666666666666664</v>
      </c>
      <c r="O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3" s="2" t="str">
        <f t="shared" si="0"/>
        <v>0-10</v>
      </c>
    </row>
    <row r="54" spans="1:16" x14ac:dyDescent="0.25">
      <c r="A54">
        <v>42</v>
      </c>
      <c r="B54" s="2">
        <v>0</v>
      </c>
      <c r="C54" s="2">
        <v>2</v>
      </c>
      <c r="D54" s="2">
        <v>1</v>
      </c>
      <c r="E54" s="2">
        <v>5</v>
      </c>
      <c r="F54" s="1">
        <v>13.440951350000001</v>
      </c>
      <c r="G54" s="2">
        <v>76</v>
      </c>
      <c r="H54" s="2">
        <v>98</v>
      </c>
      <c r="I54" s="2">
        <v>47</v>
      </c>
      <c r="J54" s="2">
        <v>3</v>
      </c>
      <c r="K54" s="2">
        <v>0</v>
      </c>
      <c r="L5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4" s="2" t="str">
        <f>IF(Table1[[#This Row],[Experience Years]]&lt;=2,"Entry Level",IF(Table1[[#This Row],[Experience Years]]&lt;=7,"Mid Level",IF(Table1[[#This Row],[Experience Years]]&lt;=15,"Senior Level")))</f>
        <v>Entry Level</v>
      </c>
      <c r="N54" s="1">
        <f>AVERAGE(Table1[[#This Row],[Interview Score]:[Personality Score]])</f>
        <v>73.666666666666671</v>
      </c>
      <c r="O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4" s="2" t="str">
        <f t="shared" si="0"/>
        <v>10-20</v>
      </c>
    </row>
    <row r="55" spans="1:16" x14ac:dyDescent="0.25">
      <c r="A55">
        <v>39</v>
      </c>
      <c r="B55" s="2">
        <v>1</v>
      </c>
      <c r="C55" s="2">
        <v>2</v>
      </c>
      <c r="D55" s="2">
        <v>11</v>
      </c>
      <c r="E55" s="2">
        <v>1</v>
      </c>
      <c r="F55" s="1">
        <v>21.394480430000002</v>
      </c>
      <c r="G55" s="2">
        <v>36</v>
      </c>
      <c r="H55" s="2">
        <v>37</v>
      </c>
      <c r="I55" s="2">
        <v>62</v>
      </c>
      <c r="J55" s="2">
        <v>1</v>
      </c>
      <c r="K55" s="2">
        <v>1</v>
      </c>
      <c r="L5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5" t="str">
        <f>IF(Table1[[#This Row],[Experience Years]]&lt;=2,"Entry Level",IF(Table1[[#This Row],[Experience Years]]&lt;=7,"Mid Level",IF(Table1[[#This Row],[Experience Years]]&lt;=15,"Senior Level")))</f>
        <v>Senior Level</v>
      </c>
      <c r="N55" s="1">
        <f>AVERAGE(Table1[[#This Row],[Interview Score]:[Personality Score]])</f>
        <v>45</v>
      </c>
      <c r="O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5" s="2" t="str">
        <f t="shared" si="0"/>
        <v>20-30</v>
      </c>
    </row>
    <row r="56" spans="1:16" x14ac:dyDescent="0.25">
      <c r="A56">
        <v>44</v>
      </c>
      <c r="B56" s="2">
        <v>0</v>
      </c>
      <c r="C56" s="2">
        <v>2</v>
      </c>
      <c r="D56" s="2">
        <v>7</v>
      </c>
      <c r="E56" s="2">
        <v>1</v>
      </c>
      <c r="F56" s="1">
        <v>14.981815920000001</v>
      </c>
      <c r="G56" s="2">
        <v>80</v>
      </c>
      <c r="H56" s="2">
        <v>87</v>
      </c>
      <c r="I56" s="2">
        <v>68</v>
      </c>
      <c r="J56" s="2">
        <v>2</v>
      </c>
      <c r="K56" s="2">
        <v>1</v>
      </c>
      <c r="L5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6" s="2" t="str">
        <f>IF(Table1[[#This Row],[Experience Years]]&lt;=2,"Entry Level",IF(Table1[[#This Row],[Experience Years]]&lt;=7,"Mid Level",IF(Table1[[#This Row],[Experience Years]]&lt;=15,"Senior Level")))</f>
        <v>Mid Level</v>
      </c>
      <c r="N56" s="1">
        <f>AVERAGE(Table1[[#This Row],[Interview Score]:[Personality Score]])</f>
        <v>78.333333333333329</v>
      </c>
      <c r="O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6" s="2" t="str">
        <f t="shared" si="0"/>
        <v>10-20</v>
      </c>
    </row>
    <row r="57" spans="1:16" x14ac:dyDescent="0.25">
      <c r="A57">
        <v>22</v>
      </c>
      <c r="B57" s="2">
        <v>1</v>
      </c>
      <c r="C57" s="2">
        <v>2</v>
      </c>
      <c r="D57" s="2">
        <v>9</v>
      </c>
      <c r="E57" s="2">
        <v>2</v>
      </c>
      <c r="F57" s="1">
        <v>7.8185163729999996</v>
      </c>
      <c r="G57" s="2">
        <v>20</v>
      </c>
      <c r="H57" s="2">
        <v>10</v>
      </c>
      <c r="I57" s="2">
        <v>52</v>
      </c>
      <c r="J57" s="2">
        <v>2</v>
      </c>
      <c r="K57" s="2">
        <v>0</v>
      </c>
      <c r="L5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7" t="str">
        <f>IF(Table1[[#This Row],[Experience Years]]&lt;=2,"Entry Level",IF(Table1[[#This Row],[Experience Years]]&lt;=7,"Mid Level",IF(Table1[[#This Row],[Experience Years]]&lt;=15,"Senior Level")))</f>
        <v>Senior Level</v>
      </c>
      <c r="N57" s="1">
        <f>AVERAGE(Table1[[#This Row],[Interview Score]:[Personality Score]])</f>
        <v>27.333333333333332</v>
      </c>
      <c r="O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7" s="2" t="str">
        <f t="shared" si="0"/>
        <v>0-10</v>
      </c>
    </row>
    <row r="58" spans="1:16" x14ac:dyDescent="0.25">
      <c r="A58">
        <v>24</v>
      </c>
      <c r="B58" s="2">
        <v>0</v>
      </c>
      <c r="C58" s="2">
        <v>1</v>
      </c>
      <c r="D58" s="2">
        <v>5</v>
      </c>
      <c r="E58" s="2">
        <v>5</v>
      </c>
      <c r="F58" s="1">
        <v>37.400612889999998</v>
      </c>
      <c r="G58" s="2">
        <v>43</v>
      </c>
      <c r="H58" s="2">
        <v>28</v>
      </c>
      <c r="I58" s="2">
        <v>53</v>
      </c>
      <c r="J58" s="2">
        <v>2</v>
      </c>
      <c r="K58" s="2">
        <v>0</v>
      </c>
      <c r="L5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8" s="2" t="str">
        <f>IF(Table1[[#This Row],[Experience Years]]&lt;=2,"Entry Level",IF(Table1[[#This Row],[Experience Years]]&lt;=7,"Mid Level",IF(Table1[[#This Row],[Experience Years]]&lt;=15,"Senior Level")))</f>
        <v>Mid Level</v>
      </c>
      <c r="N58" s="1">
        <f>AVERAGE(Table1[[#This Row],[Interview Score]:[Personality Score]])</f>
        <v>41.333333333333336</v>
      </c>
      <c r="O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8" s="2" t="str">
        <f t="shared" si="0"/>
        <v>30-40</v>
      </c>
    </row>
    <row r="59" spans="1:16" x14ac:dyDescent="0.25">
      <c r="A59">
        <v>38</v>
      </c>
      <c r="B59" s="2">
        <v>0</v>
      </c>
      <c r="C59" s="2">
        <v>1</v>
      </c>
      <c r="D59" s="2">
        <v>5</v>
      </c>
      <c r="E59" s="2">
        <v>1</v>
      </c>
      <c r="F59" s="1">
        <v>41.657382759999997</v>
      </c>
      <c r="G59" s="2">
        <v>18</v>
      </c>
      <c r="H59" s="2">
        <v>59</v>
      </c>
      <c r="I59" s="2">
        <v>41</v>
      </c>
      <c r="J59" s="2">
        <v>2</v>
      </c>
      <c r="K59" s="2">
        <v>0</v>
      </c>
      <c r="L5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9" s="2" t="str">
        <f>IF(Table1[[#This Row],[Experience Years]]&lt;=2,"Entry Level",IF(Table1[[#This Row],[Experience Years]]&lt;=7,"Mid Level",IF(Table1[[#This Row],[Experience Years]]&lt;=15,"Senior Level")))</f>
        <v>Mid Level</v>
      </c>
      <c r="N59" s="1">
        <f>AVERAGE(Table1[[#This Row],[Interview Score]:[Personality Score]])</f>
        <v>39.333333333333336</v>
      </c>
      <c r="O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9" s="2" t="str">
        <f t="shared" si="0"/>
        <v>40-50</v>
      </c>
    </row>
    <row r="60" spans="1:16" x14ac:dyDescent="0.25">
      <c r="A60">
        <v>26</v>
      </c>
      <c r="B60" s="2">
        <v>1</v>
      </c>
      <c r="C60" s="2">
        <v>2</v>
      </c>
      <c r="D60" s="2">
        <v>9</v>
      </c>
      <c r="E60" s="2">
        <v>1</v>
      </c>
      <c r="F60" s="1">
        <v>13.87394881</v>
      </c>
      <c r="G60" s="2">
        <v>70</v>
      </c>
      <c r="H60" s="2">
        <v>66</v>
      </c>
      <c r="I60" s="2">
        <v>44</v>
      </c>
      <c r="J60" s="2">
        <v>3</v>
      </c>
      <c r="K60" s="2">
        <v>0</v>
      </c>
      <c r="L6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0" t="str">
        <f>IF(Table1[[#This Row],[Experience Years]]&lt;=2,"Entry Level",IF(Table1[[#This Row],[Experience Years]]&lt;=7,"Mid Level",IF(Table1[[#This Row],[Experience Years]]&lt;=15,"Senior Level")))</f>
        <v>Senior Level</v>
      </c>
      <c r="N60" s="1">
        <f>AVERAGE(Table1[[#This Row],[Interview Score]:[Personality Score]])</f>
        <v>60</v>
      </c>
      <c r="O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0" s="2" t="str">
        <f t="shared" si="0"/>
        <v>10-20</v>
      </c>
    </row>
    <row r="61" spans="1:16" x14ac:dyDescent="0.25">
      <c r="A61">
        <v>40</v>
      </c>
      <c r="B61" s="2">
        <v>1</v>
      </c>
      <c r="C61" s="2">
        <v>2</v>
      </c>
      <c r="D61" s="2">
        <v>10</v>
      </c>
      <c r="E61" s="2">
        <v>5</v>
      </c>
      <c r="F61" s="1">
        <v>39.720974730000002</v>
      </c>
      <c r="G61" s="2">
        <v>7</v>
      </c>
      <c r="H61" s="2">
        <v>64</v>
      </c>
      <c r="I61" s="2">
        <v>89</v>
      </c>
      <c r="J61" s="2">
        <v>1</v>
      </c>
      <c r="K61" s="2">
        <v>1</v>
      </c>
      <c r="L6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1" t="str">
        <f>IF(Table1[[#This Row],[Experience Years]]&lt;=2,"Entry Level",IF(Table1[[#This Row],[Experience Years]]&lt;=7,"Mid Level",IF(Table1[[#This Row],[Experience Years]]&lt;=15,"Senior Level")))</f>
        <v>Senior Level</v>
      </c>
      <c r="N61" s="1">
        <f>AVERAGE(Table1[[#This Row],[Interview Score]:[Personality Score]])</f>
        <v>53.333333333333336</v>
      </c>
      <c r="O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1" s="2" t="str">
        <f t="shared" si="0"/>
        <v>30-40</v>
      </c>
    </row>
    <row r="62" spans="1:16" x14ac:dyDescent="0.25">
      <c r="A62">
        <v>28</v>
      </c>
      <c r="B62" s="2">
        <v>0</v>
      </c>
      <c r="C62" s="2">
        <v>2</v>
      </c>
      <c r="D62" s="2">
        <v>6</v>
      </c>
      <c r="E62" s="2">
        <v>3</v>
      </c>
      <c r="F62" s="1">
        <v>20.277678219999999</v>
      </c>
      <c r="G62" s="2">
        <v>76</v>
      </c>
      <c r="H62" s="2">
        <v>60</v>
      </c>
      <c r="I62" s="2">
        <v>13</v>
      </c>
      <c r="J62" s="2">
        <v>1</v>
      </c>
      <c r="K62" s="2">
        <v>1</v>
      </c>
      <c r="L6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2" s="2" t="str">
        <f>IF(Table1[[#This Row],[Experience Years]]&lt;=2,"Entry Level",IF(Table1[[#This Row],[Experience Years]]&lt;=7,"Mid Level",IF(Table1[[#This Row],[Experience Years]]&lt;=15,"Senior Level")))</f>
        <v>Mid Level</v>
      </c>
      <c r="N62" s="1">
        <f>AVERAGE(Table1[[#This Row],[Interview Score]:[Personality Score]])</f>
        <v>49.666666666666664</v>
      </c>
      <c r="O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2" s="2" t="str">
        <f t="shared" si="0"/>
        <v>20-30</v>
      </c>
    </row>
    <row r="63" spans="1:16" x14ac:dyDescent="0.25">
      <c r="A63">
        <v>26</v>
      </c>
      <c r="B63" s="2">
        <v>1</v>
      </c>
      <c r="C63" s="2">
        <v>2</v>
      </c>
      <c r="D63" s="2">
        <v>6</v>
      </c>
      <c r="E63" s="2">
        <v>5</v>
      </c>
      <c r="F63" s="1">
        <v>26.33428954</v>
      </c>
      <c r="G63" s="2">
        <v>100</v>
      </c>
      <c r="H63" s="2">
        <v>18</v>
      </c>
      <c r="I63" s="2">
        <v>28</v>
      </c>
      <c r="J63" s="2">
        <v>1</v>
      </c>
      <c r="K63" s="2">
        <v>1</v>
      </c>
      <c r="L6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3" t="str">
        <f>IF(Table1[[#This Row],[Experience Years]]&lt;=2,"Entry Level",IF(Table1[[#This Row],[Experience Years]]&lt;=7,"Mid Level",IF(Table1[[#This Row],[Experience Years]]&lt;=15,"Senior Level")))</f>
        <v>Mid Level</v>
      </c>
      <c r="N63" s="1">
        <f>AVERAGE(Table1[[#This Row],[Interview Score]:[Personality Score]])</f>
        <v>48.666666666666664</v>
      </c>
      <c r="O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3" s="2" t="str">
        <f t="shared" si="0"/>
        <v>20-30</v>
      </c>
    </row>
    <row r="64" spans="1:16" x14ac:dyDescent="0.25">
      <c r="A64">
        <v>37</v>
      </c>
      <c r="B64" s="2">
        <v>0</v>
      </c>
      <c r="C64" s="2">
        <v>2</v>
      </c>
      <c r="D64" s="2">
        <v>10</v>
      </c>
      <c r="E64" s="2">
        <v>5</v>
      </c>
      <c r="F64" s="1">
        <v>43.800053740000003</v>
      </c>
      <c r="G64" s="2">
        <v>65</v>
      </c>
      <c r="H64" s="2">
        <v>45</v>
      </c>
      <c r="I64" s="2">
        <v>5</v>
      </c>
      <c r="J64" s="2">
        <v>3</v>
      </c>
      <c r="K64" s="2">
        <v>0</v>
      </c>
      <c r="L6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4" s="2" t="str">
        <f>IF(Table1[[#This Row],[Experience Years]]&lt;=2,"Entry Level",IF(Table1[[#This Row],[Experience Years]]&lt;=7,"Mid Level",IF(Table1[[#This Row],[Experience Years]]&lt;=15,"Senior Level")))</f>
        <v>Senior Level</v>
      </c>
      <c r="N64" s="1">
        <f>AVERAGE(Table1[[#This Row],[Interview Score]:[Personality Score]])</f>
        <v>38.333333333333336</v>
      </c>
      <c r="O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4" s="2" t="str">
        <f t="shared" si="0"/>
        <v>40-50</v>
      </c>
    </row>
    <row r="65" spans="1:16" x14ac:dyDescent="0.25">
      <c r="A65">
        <v>23</v>
      </c>
      <c r="B65" s="2">
        <v>0</v>
      </c>
      <c r="C65" s="2">
        <v>3</v>
      </c>
      <c r="D65" s="2">
        <v>12</v>
      </c>
      <c r="E65" s="2">
        <v>3</v>
      </c>
      <c r="F65" s="1">
        <v>38.49768409</v>
      </c>
      <c r="G65" s="2">
        <v>40</v>
      </c>
      <c r="H65" s="2">
        <v>48</v>
      </c>
      <c r="I65" s="2">
        <v>6</v>
      </c>
      <c r="J65" s="2">
        <v>2</v>
      </c>
      <c r="K65" s="2">
        <v>0</v>
      </c>
      <c r="L6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5" s="2" t="str">
        <f>IF(Table1[[#This Row],[Experience Years]]&lt;=2,"Entry Level",IF(Table1[[#This Row],[Experience Years]]&lt;=7,"Mid Level",IF(Table1[[#This Row],[Experience Years]]&lt;=15,"Senior Level")))</f>
        <v>Senior Level</v>
      </c>
      <c r="N65" s="1">
        <f>AVERAGE(Table1[[#This Row],[Interview Score]:[Personality Score]])</f>
        <v>31.333333333333332</v>
      </c>
      <c r="O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5" s="2" t="str">
        <f t="shared" si="0"/>
        <v>30-40</v>
      </c>
    </row>
    <row r="66" spans="1:16" x14ac:dyDescent="0.25">
      <c r="A66">
        <v>44</v>
      </c>
      <c r="B66" s="2">
        <v>0</v>
      </c>
      <c r="C66" s="2">
        <v>1</v>
      </c>
      <c r="D66" s="2">
        <v>14</v>
      </c>
      <c r="E66" s="2">
        <v>5</v>
      </c>
      <c r="F66" s="1">
        <v>41.255842569999999</v>
      </c>
      <c r="G66" s="2">
        <v>74</v>
      </c>
      <c r="H66" s="2">
        <v>21</v>
      </c>
      <c r="I66" s="2">
        <v>36</v>
      </c>
      <c r="J66" s="2">
        <v>2</v>
      </c>
      <c r="K66" s="2">
        <v>0</v>
      </c>
      <c r="L6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6" s="2" t="str">
        <f>IF(Table1[[#This Row],[Experience Years]]&lt;=2,"Entry Level",IF(Table1[[#This Row],[Experience Years]]&lt;=7,"Mid Level",IF(Table1[[#This Row],[Experience Years]]&lt;=15,"Senior Level")))</f>
        <v>Senior Level</v>
      </c>
      <c r="N66" s="1">
        <f>AVERAGE(Table1[[#This Row],[Interview Score]:[Personality Score]])</f>
        <v>43.666666666666664</v>
      </c>
      <c r="O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6" s="2" t="str">
        <f t="shared" ref="P66:P129" si="1">IF(F66&lt;10,"0-10",IF(F66&lt;20,"10-20",IF(F66&lt;30,"20-30",IF(F66&lt;40,"30-40",IF(F66&lt;50,"40-50","50+")))))</f>
        <v>40-50</v>
      </c>
    </row>
    <row r="67" spans="1:16" x14ac:dyDescent="0.25">
      <c r="A67">
        <v>47</v>
      </c>
      <c r="B67" s="2">
        <v>1</v>
      </c>
      <c r="C67" s="2">
        <v>2</v>
      </c>
      <c r="D67" s="2">
        <v>5</v>
      </c>
      <c r="E67" s="2">
        <v>1</v>
      </c>
      <c r="F67" s="1">
        <v>7.8422583289999999</v>
      </c>
      <c r="G67" s="2">
        <v>87</v>
      </c>
      <c r="H67" s="2">
        <v>77</v>
      </c>
      <c r="I67" s="2">
        <v>52</v>
      </c>
      <c r="J67" s="2">
        <v>1</v>
      </c>
      <c r="K67" s="2">
        <v>1</v>
      </c>
      <c r="L6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7" t="str">
        <f>IF(Table1[[#This Row],[Experience Years]]&lt;=2,"Entry Level",IF(Table1[[#This Row],[Experience Years]]&lt;=7,"Mid Level",IF(Table1[[#This Row],[Experience Years]]&lt;=15,"Senior Level")))</f>
        <v>Mid Level</v>
      </c>
      <c r="N67" s="1">
        <f>AVERAGE(Table1[[#This Row],[Interview Score]:[Personality Score]])</f>
        <v>72</v>
      </c>
      <c r="O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67" s="2" t="str">
        <f t="shared" si="1"/>
        <v>0-10</v>
      </c>
    </row>
    <row r="68" spans="1:16" x14ac:dyDescent="0.25">
      <c r="A68">
        <v>33</v>
      </c>
      <c r="B68" s="2">
        <v>0</v>
      </c>
      <c r="C68" s="2">
        <v>3</v>
      </c>
      <c r="D68" s="2">
        <v>3</v>
      </c>
      <c r="E68" s="2">
        <v>5</v>
      </c>
      <c r="F68" s="1">
        <v>4.4859712920000003</v>
      </c>
      <c r="G68" s="2">
        <v>69</v>
      </c>
      <c r="H68" s="2">
        <v>56</v>
      </c>
      <c r="I68" s="2">
        <v>17</v>
      </c>
      <c r="J68" s="2">
        <v>3</v>
      </c>
      <c r="K68" s="2">
        <v>0</v>
      </c>
      <c r="L6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8" s="2" t="str">
        <f>IF(Table1[[#This Row],[Experience Years]]&lt;=2,"Entry Level",IF(Table1[[#This Row],[Experience Years]]&lt;=7,"Mid Level",IF(Table1[[#This Row],[Experience Years]]&lt;=15,"Senior Level")))</f>
        <v>Mid Level</v>
      </c>
      <c r="N68" s="1">
        <f>AVERAGE(Table1[[#This Row],[Interview Score]:[Personality Score]])</f>
        <v>47.333333333333336</v>
      </c>
      <c r="O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8" s="2" t="str">
        <f t="shared" si="1"/>
        <v>0-10</v>
      </c>
    </row>
    <row r="69" spans="1:16" x14ac:dyDescent="0.25">
      <c r="A69">
        <v>37</v>
      </c>
      <c r="B69" s="2">
        <v>0</v>
      </c>
      <c r="C69" s="2">
        <v>2</v>
      </c>
      <c r="D69" s="2">
        <v>10</v>
      </c>
      <c r="E69" s="2">
        <v>3</v>
      </c>
      <c r="F69" s="1">
        <v>45.670236449999997</v>
      </c>
      <c r="G69" s="2">
        <v>60</v>
      </c>
      <c r="H69" s="2">
        <v>13</v>
      </c>
      <c r="I69" s="2">
        <v>86</v>
      </c>
      <c r="J69" s="2">
        <v>3</v>
      </c>
      <c r="K69" s="2">
        <v>0</v>
      </c>
      <c r="L6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9" s="2" t="str">
        <f>IF(Table1[[#This Row],[Experience Years]]&lt;=2,"Entry Level",IF(Table1[[#This Row],[Experience Years]]&lt;=7,"Mid Level",IF(Table1[[#This Row],[Experience Years]]&lt;=15,"Senior Level")))</f>
        <v>Senior Level</v>
      </c>
      <c r="N69" s="1">
        <f>AVERAGE(Table1[[#This Row],[Interview Score]:[Personality Score]])</f>
        <v>53</v>
      </c>
      <c r="O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9" s="2" t="str">
        <f t="shared" si="1"/>
        <v>40-50</v>
      </c>
    </row>
    <row r="70" spans="1:16" x14ac:dyDescent="0.25">
      <c r="A70">
        <v>45</v>
      </c>
      <c r="B70" s="2">
        <v>1</v>
      </c>
      <c r="C70" s="2">
        <v>2</v>
      </c>
      <c r="D70" s="2">
        <v>8</v>
      </c>
      <c r="E70" s="2">
        <v>4</v>
      </c>
      <c r="F70" s="1">
        <v>20.39171348</v>
      </c>
      <c r="G70" s="2">
        <v>25</v>
      </c>
      <c r="H70" s="2">
        <v>43</v>
      </c>
      <c r="I70" s="2">
        <v>37</v>
      </c>
      <c r="J70" s="2">
        <v>2</v>
      </c>
      <c r="K70" s="2">
        <v>0</v>
      </c>
      <c r="L7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0" t="str">
        <f>IF(Table1[[#This Row],[Experience Years]]&lt;=2,"Entry Level",IF(Table1[[#This Row],[Experience Years]]&lt;=7,"Mid Level",IF(Table1[[#This Row],[Experience Years]]&lt;=15,"Senior Level")))</f>
        <v>Senior Level</v>
      </c>
      <c r="N70" s="1">
        <f>AVERAGE(Table1[[#This Row],[Interview Score]:[Personality Score]])</f>
        <v>35</v>
      </c>
      <c r="O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0" s="2" t="str">
        <f t="shared" si="1"/>
        <v>20-30</v>
      </c>
    </row>
    <row r="71" spans="1:16" x14ac:dyDescent="0.25">
      <c r="A71">
        <v>28</v>
      </c>
      <c r="B71" s="2">
        <v>1</v>
      </c>
      <c r="C71" s="2">
        <v>4</v>
      </c>
      <c r="D71" s="2">
        <v>5</v>
      </c>
      <c r="E71" s="2">
        <v>5</v>
      </c>
      <c r="F71" s="1">
        <v>15.3939839</v>
      </c>
      <c r="G71" s="2">
        <v>70</v>
      </c>
      <c r="H71" s="2">
        <v>15</v>
      </c>
      <c r="I71" s="2">
        <v>58</v>
      </c>
      <c r="J71" s="2">
        <v>2</v>
      </c>
      <c r="K71" s="2">
        <v>0</v>
      </c>
      <c r="L7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1" t="str">
        <f>IF(Table1[[#This Row],[Experience Years]]&lt;=2,"Entry Level",IF(Table1[[#This Row],[Experience Years]]&lt;=7,"Mid Level",IF(Table1[[#This Row],[Experience Years]]&lt;=15,"Senior Level")))</f>
        <v>Mid Level</v>
      </c>
      <c r="N71" s="1">
        <f>AVERAGE(Table1[[#This Row],[Interview Score]:[Personality Score]])</f>
        <v>47.666666666666664</v>
      </c>
      <c r="O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1" s="2" t="str">
        <f t="shared" si="1"/>
        <v>10-20</v>
      </c>
    </row>
    <row r="72" spans="1:16" x14ac:dyDescent="0.25">
      <c r="A72">
        <v>45</v>
      </c>
      <c r="B72" s="2">
        <v>1</v>
      </c>
      <c r="C72" s="2">
        <v>3</v>
      </c>
      <c r="D72" s="2">
        <v>3</v>
      </c>
      <c r="E72" s="2">
        <v>2</v>
      </c>
      <c r="F72" s="1">
        <v>37.23481271</v>
      </c>
      <c r="G72" s="2">
        <v>82</v>
      </c>
      <c r="H72" s="2">
        <v>96</v>
      </c>
      <c r="I72" s="2">
        <v>0</v>
      </c>
      <c r="J72" s="2">
        <v>1</v>
      </c>
      <c r="K72" s="2">
        <v>1</v>
      </c>
      <c r="L7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2" t="str">
        <f>IF(Table1[[#This Row],[Experience Years]]&lt;=2,"Entry Level",IF(Table1[[#This Row],[Experience Years]]&lt;=7,"Mid Level",IF(Table1[[#This Row],[Experience Years]]&lt;=15,"Senior Level")))</f>
        <v>Mid Level</v>
      </c>
      <c r="N72" s="1">
        <f>AVERAGE(Table1[[#This Row],[Interview Score]:[Personality Score]])</f>
        <v>59.333333333333336</v>
      </c>
      <c r="O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2" s="2" t="str">
        <f t="shared" si="1"/>
        <v>30-40</v>
      </c>
    </row>
    <row r="73" spans="1:16" x14ac:dyDescent="0.25">
      <c r="A73">
        <v>40</v>
      </c>
      <c r="B73" s="2">
        <v>1</v>
      </c>
      <c r="C73" s="2">
        <v>2</v>
      </c>
      <c r="D73" s="2">
        <v>11</v>
      </c>
      <c r="E73" s="2">
        <v>1</v>
      </c>
      <c r="F73" s="1">
        <v>42.820779829999999</v>
      </c>
      <c r="G73" s="2">
        <v>69</v>
      </c>
      <c r="H73" s="2">
        <v>76</v>
      </c>
      <c r="I73" s="2">
        <v>67</v>
      </c>
      <c r="J73" s="2">
        <v>2</v>
      </c>
      <c r="K73" s="2">
        <v>0</v>
      </c>
      <c r="L7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3" t="str">
        <f>IF(Table1[[#This Row],[Experience Years]]&lt;=2,"Entry Level",IF(Table1[[#This Row],[Experience Years]]&lt;=7,"Mid Level",IF(Table1[[#This Row],[Experience Years]]&lt;=15,"Senior Level")))</f>
        <v>Senior Level</v>
      </c>
      <c r="N73" s="1">
        <f>AVERAGE(Table1[[#This Row],[Interview Score]:[Personality Score]])</f>
        <v>70.666666666666671</v>
      </c>
      <c r="O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3" s="2" t="str">
        <f t="shared" si="1"/>
        <v>40-50</v>
      </c>
    </row>
    <row r="74" spans="1:16" x14ac:dyDescent="0.25">
      <c r="A74">
        <v>21</v>
      </c>
      <c r="B74" s="2">
        <v>0</v>
      </c>
      <c r="C74" s="2">
        <v>2</v>
      </c>
      <c r="D74" s="2">
        <v>2</v>
      </c>
      <c r="E74" s="2">
        <v>1</v>
      </c>
      <c r="F74" s="1">
        <v>44.124481090000003</v>
      </c>
      <c r="G74" s="2">
        <v>28</v>
      </c>
      <c r="H74" s="2">
        <v>11</v>
      </c>
      <c r="I74" s="2">
        <v>43</v>
      </c>
      <c r="J74" s="2">
        <v>2</v>
      </c>
      <c r="K74" s="2">
        <v>0</v>
      </c>
      <c r="L7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4" s="2" t="str">
        <f>IF(Table1[[#This Row],[Experience Years]]&lt;=2,"Entry Level",IF(Table1[[#This Row],[Experience Years]]&lt;=7,"Mid Level",IF(Table1[[#This Row],[Experience Years]]&lt;=15,"Senior Level")))</f>
        <v>Entry Level</v>
      </c>
      <c r="N74" s="1">
        <f>AVERAGE(Table1[[#This Row],[Interview Score]:[Personality Score]])</f>
        <v>27.333333333333332</v>
      </c>
      <c r="O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4" s="2" t="str">
        <f t="shared" si="1"/>
        <v>40-50</v>
      </c>
    </row>
    <row r="75" spans="1:16" x14ac:dyDescent="0.25">
      <c r="A75">
        <v>39</v>
      </c>
      <c r="B75" s="2">
        <v>0</v>
      </c>
      <c r="C75" s="2">
        <v>2</v>
      </c>
      <c r="D75" s="2">
        <v>3</v>
      </c>
      <c r="E75" s="2">
        <v>2</v>
      </c>
      <c r="F75" s="1">
        <v>16.799857060000001</v>
      </c>
      <c r="G75" s="2">
        <v>65</v>
      </c>
      <c r="H75" s="2">
        <v>54</v>
      </c>
      <c r="I75" s="2">
        <v>46</v>
      </c>
      <c r="J75" s="2">
        <v>1</v>
      </c>
      <c r="K75" s="2">
        <v>0</v>
      </c>
      <c r="L7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5" s="2" t="str">
        <f>IF(Table1[[#This Row],[Experience Years]]&lt;=2,"Entry Level",IF(Table1[[#This Row],[Experience Years]]&lt;=7,"Mid Level",IF(Table1[[#This Row],[Experience Years]]&lt;=15,"Senior Level")))</f>
        <v>Mid Level</v>
      </c>
      <c r="N75" s="1">
        <f>AVERAGE(Table1[[#This Row],[Interview Score]:[Personality Score]])</f>
        <v>55</v>
      </c>
      <c r="O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5" s="2" t="str">
        <f t="shared" si="1"/>
        <v>10-20</v>
      </c>
    </row>
    <row r="76" spans="1:16" x14ac:dyDescent="0.25">
      <c r="A76">
        <v>47</v>
      </c>
      <c r="B76" s="2">
        <v>0</v>
      </c>
      <c r="C76" s="2">
        <v>2</v>
      </c>
      <c r="D76" s="2">
        <v>2</v>
      </c>
      <c r="E76" s="2">
        <v>2</v>
      </c>
      <c r="F76" s="1">
        <v>43.610619560000004</v>
      </c>
      <c r="G76" s="2">
        <v>18</v>
      </c>
      <c r="H76" s="2">
        <v>50</v>
      </c>
      <c r="I76" s="2">
        <v>34</v>
      </c>
      <c r="J76" s="2">
        <v>2</v>
      </c>
      <c r="K76" s="2">
        <v>0</v>
      </c>
      <c r="L7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6" s="2" t="str">
        <f>IF(Table1[[#This Row],[Experience Years]]&lt;=2,"Entry Level",IF(Table1[[#This Row],[Experience Years]]&lt;=7,"Mid Level",IF(Table1[[#This Row],[Experience Years]]&lt;=15,"Senior Level")))</f>
        <v>Entry Level</v>
      </c>
      <c r="N76" s="1">
        <f>AVERAGE(Table1[[#This Row],[Interview Score]:[Personality Score]])</f>
        <v>34</v>
      </c>
      <c r="O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" s="2" t="str">
        <f t="shared" si="1"/>
        <v>40-50</v>
      </c>
    </row>
    <row r="77" spans="1:16" x14ac:dyDescent="0.25">
      <c r="A77">
        <v>34</v>
      </c>
      <c r="B77" s="2">
        <v>0</v>
      </c>
      <c r="C77" s="2">
        <v>2</v>
      </c>
      <c r="D77" s="2">
        <v>14</v>
      </c>
      <c r="E77" s="2">
        <v>5</v>
      </c>
      <c r="F77" s="1">
        <v>3.0466972189999999</v>
      </c>
      <c r="G77" s="2">
        <v>67</v>
      </c>
      <c r="H77" s="2">
        <v>38</v>
      </c>
      <c r="I77" s="2">
        <v>86</v>
      </c>
      <c r="J77" s="2">
        <v>1</v>
      </c>
      <c r="K77" s="2">
        <v>1</v>
      </c>
      <c r="L7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7" s="2" t="str">
        <f>IF(Table1[[#This Row],[Experience Years]]&lt;=2,"Entry Level",IF(Table1[[#This Row],[Experience Years]]&lt;=7,"Mid Level",IF(Table1[[#This Row],[Experience Years]]&lt;=15,"Senior Level")))</f>
        <v>Senior Level</v>
      </c>
      <c r="N77" s="1">
        <f>AVERAGE(Table1[[#This Row],[Interview Score]:[Personality Score]])</f>
        <v>63.666666666666664</v>
      </c>
      <c r="O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7" s="2" t="str">
        <f t="shared" si="1"/>
        <v>0-10</v>
      </c>
    </row>
    <row r="78" spans="1:16" x14ac:dyDescent="0.25">
      <c r="A78">
        <v>47</v>
      </c>
      <c r="B78" s="2">
        <v>1</v>
      </c>
      <c r="C78" s="2">
        <v>2</v>
      </c>
      <c r="D78" s="2">
        <v>1</v>
      </c>
      <c r="E78" s="2">
        <v>2</v>
      </c>
      <c r="F78" s="1">
        <v>3.4830745730000001</v>
      </c>
      <c r="G78" s="2">
        <v>57</v>
      </c>
      <c r="H78" s="2">
        <v>32</v>
      </c>
      <c r="I78" s="2">
        <v>90</v>
      </c>
      <c r="J78" s="2">
        <v>2</v>
      </c>
      <c r="K78" s="2">
        <v>0</v>
      </c>
      <c r="L7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8" t="str">
        <f>IF(Table1[[#This Row],[Experience Years]]&lt;=2,"Entry Level",IF(Table1[[#This Row],[Experience Years]]&lt;=7,"Mid Level",IF(Table1[[#This Row],[Experience Years]]&lt;=15,"Senior Level")))</f>
        <v>Entry Level</v>
      </c>
      <c r="N78" s="1">
        <f>AVERAGE(Table1[[#This Row],[Interview Score]:[Personality Score]])</f>
        <v>59.666666666666664</v>
      </c>
      <c r="O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8" s="2" t="str">
        <f t="shared" si="1"/>
        <v>0-10</v>
      </c>
    </row>
    <row r="79" spans="1:16" x14ac:dyDescent="0.25">
      <c r="A79">
        <v>26</v>
      </c>
      <c r="B79" s="2">
        <v>0</v>
      </c>
      <c r="C79" s="2">
        <v>2</v>
      </c>
      <c r="D79" s="2">
        <v>13</v>
      </c>
      <c r="E79" s="2">
        <v>4</v>
      </c>
      <c r="F79" s="1">
        <v>32.175959759999998</v>
      </c>
      <c r="G79" s="2">
        <v>69</v>
      </c>
      <c r="H79" s="2">
        <v>32</v>
      </c>
      <c r="I79" s="2">
        <v>59</v>
      </c>
      <c r="J79" s="2">
        <v>2</v>
      </c>
      <c r="K79" s="2">
        <v>0</v>
      </c>
      <c r="L7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9" s="2" t="str">
        <f>IF(Table1[[#This Row],[Experience Years]]&lt;=2,"Entry Level",IF(Table1[[#This Row],[Experience Years]]&lt;=7,"Mid Level",IF(Table1[[#This Row],[Experience Years]]&lt;=15,"Senior Level")))</f>
        <v>Senior Level</v>
      </c>
      <c r="N79" s="1">
        <f>AVERAGE(Table1[[#This Row],[Interview Score]:[Personality Score]])</f>
        <v>53.333333333333336</v>
      </c>
      <c r="O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9" s="2" t="str">
        <f t="shared" si="1"/>
        <v>30-40</v>
      </c>
    </row>
    <row r="80" spans="1:16" x14ac:dyDescent="0.25">
      <c r="A80">
        <v>31</v>
      </c>
      <c r="B80" s="2">
        <v>0</v>
      </c>
      <c r="C80" s="2">
        <v>2</v>
      </c>
      <c r="D80" s="2">
        <v>4</v>
      </c>
      <c r="E80" s="2">
        <v>3</v>
      </c>
      <c r="F80" s="1">
        <v>4.1553184559999998</v>
      </c>
      <c r="G80" s="2">
        <v>56</v>
      </c>
      <c r="H80" s="2">
        <v>28</v>
      </c>
      <c r="I80" s="2">
        <v>89</v>
      </c>
      <c r="J80" s="2">
        <v>1</v>
      </c>
      <c r="K80" s="2">
        <v>0</v>
      </c>
      <c r="L8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0" s="2" t="str">
        <f>IF(Table1[[#This Row],[Experience Years]]&lt;=2,"Entry Level",IF(Table1[[#This Row],[Experience Years]]&lt;=7,"Mid Level",IF(Table1[[#This Row],[Experience Years]]&lt;=15,"Senior Level")))</f>
        <v>Mid Level</v>
      </c>
      <c r="N80" s="1">
        <f>AVERAGE(Table1[[#This Row],[Interview Score]:[Personality Score]])</f>
        <v>57.666666666666664</v>
      </c>
      <c r="O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0" s="2" t="str">
        <f t="shared" si="1"/>
        <v>0-10</v>
      </c>
    </row>
    <row r="81" spans="1:16" x14ac:dyDescent="0.25">
      <c r="A81">
        <v>48</v>
      </c>
      <c r="B81" s="2">
        <v>1</v>
      </c>
      <c r="C81" s="2">
        <v>3</v>
      </c>
      <c r="D81" s="2">
        <v>1</v>
      </c>
      <c r="E81" s="2">
        <v>2</v>
      </c>
      <c r="F81" s="1">
        <v>17.230458429999999</v>
      </c>
      <c r="G81" s="2">
        <v>36</v>
      </c>
      <c r="H81" s="2">
        <v>68</v>
      </c>
      <c r="I81" s="2">
        <v>51</v>
      </c>
      <c r="J81" s="2">
        <v>2</v>
      </c>
      <c r="K81" s="2">
        <v>0</v>
      </c>
      <c r="L8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1" t="str">
        <f>IF(Table1[[#This Row],[Experience Years]]&lt;=2,"Entry Level",IF(Table1[[#This Row],[Experience Years]]&lt;=7,"Mid Level",IF(Table1[[#This Row],[Experience Years]]&lt;=15,"Senior Level")))</f>
        <v>Entry Level</v>
      </c>
      <c r="N81" s="1">
        <f>AVERAGE(Table1[[#This Row],[Interview Score]:[Personality Score]])</f>
        <v>51.666666666666664</v>
      </c>
      <c r="O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1" s="2" t="str">
        <f t="shared" si="1"/>
        <v>10-20</v>
      </c>
    </row>
    <row r="82" spans="1:16" x14ac:dyDescent="0.25">
      <c r="A82">
        <v>27</v>
      </c>
      <c r="B82" s="2">
        <v>0</v>
      </c>
      <c r="C82" s="2">
        <v>2</v>
      </c>
      <c r="D82" s="2">
        <v>5</v>
      </c>
      <c r="E82" s="2">
        <v>2</v>
      </c>
      <c r="F82" s="1">
        <v>34.637799309999998</v>
      </c>
      <c r="G82" s="2">
        <v>60</v>
      </c>
      <c r="H82" s="2">
        <v>69</v>
      </c>
      <c r="I82" s="2">
        <v>7</v>
      </c>
      <c r="J82" s="2">
        <v>2</v>
      </c>
      <c r="K82" s="2">
        <v>0</v>
      </c>
      <c r="L8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2" s="2" t="str">
        <f>IF(Table1[[#This Row],[Experience Years]]&lt;=2,"Entry Level",IF(Table1[[#This Row],[Experience Years]]&lt;=7,"Mid Level",IF(Table1[[#This Row],[Experience Years]]&lt;=15,"Senior Level")))</f>
        <v>Mid Level</v>
      </c>
      <c r="N82" s="1">
        <f>AVERAGE(Table1[[#This Row],[Interview Score]:[Personality Score]])</f>
        <v>45.333333333333336</v>
      </c>
      <c r="O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2" s="2" t="str">
        <f t="shared" si="1"/>
        <v>30-40</v>
      </c>
    </row>
    <row r="83" spans="1:16" x14ac:dyDescent="0.25">
      <c r="A83">
        <v>34</v>
      </c>
      <c r="B83" s="2">
        <v>0</v>
      </c>
      <c r="C83" s="2">
        <v>1</v>
      </c>
      <c r="D83" s="2">
        <v>2</v>
      </c>
      <c r="E83" s="2">
        <v>4</v>
      </c>
      <c r="F83" s="1">
        <v>17.8633448</v>
      </c>
      <c r="G83" s="2">
        <v>91</v>
      </c>
      <c r="H83" s="2">
        <v>30</v>
      </c>
      <c r="I83" s="2">
        <v>79</v>
      </c>
      <c r="J83" s="2">
        <v>1</v>
      </c>
      <c r="K83" s="2">
        <v>1</v>
      </c>
      <c r="L8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3" s="2" t="str">
        <f>IF(Table1[[#This Row],[Experience Years]]&lt;=2,"Entry Level",IF(Table1[[#This Row],[Experience Years]]&lt;=7,"Mid Level",IF(Table1[[#This Row],[Experience Years]]&lt;=15,"Senior Level")))</f>
        <v>Entry Level</v>
      </c>
      <c r="N83" s="1">
        <f>AVERAGE(Table1[[#This Row],[Interview Score]:[Personality Score]])</f>
        <v>66.666666666666671</v>
      </c>
      <c r="O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3" s="2" t="str">
        <f t="shared" si="1"/>
        <v>10-20</v>
      </c>
    </row>
    <row r="84" spans="1:16" x14ac:dyDescent="0.25">
      <c r="A84">
        <v>22</v>
      </c>
      <c r="B84" s="2">
        <v>0</v>
      </c>
      <c r="C84" s="2">
        <v>2</v>
      </c>
      <c r="D84" s="2">
        <v>5</v>
      </c>
      <c r="E84" s="2">
        <v>1</v>
      </c>
      <c r="F84" s="1">
        <v>9.9799890720000004</v>
      </c>
      <c r="G84" s="2">
        <v>29</v>
      </c>
      <c r="H84" s="2">
        <v>79</v>
      </c>
      <c r="I84" s="2">
        <v>40</v>
      </c>
      <c r="J84" s="2">
        <v>3</v>
      </c>
      <c r="K84" s="2">
        <v>0</v>
      </c>
      <c r="L8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4" s="2" t="str">
        <f>IF(Table1[[#This Row],[Experience Years]]&lt;=2,"Entry Level",IF(Table1[[#This Row],[Experience Years]]&lt;=7,"Mid Level",IF(Table1[[#This Row],[Experience Years]]&lt;=15,"Senior Level")))</f>
        <v>Mid Level</v>
      </c>
      <c r="N84" s="1">
        <f>AVERAGE(Table1[[#This Row],[Interview Score]:[Personality Score]])</f>
        <v>49.333333333333336</v>
      </c>
      <c r="O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4" s="2" t="str">
        <f t="shared" si="1"/>
        <v>0-10</v>
      </c>
    </row>
    <row r="85" spans="1:16" x14ac:dyDescent="0.25">
      <c r="A85">
        <v>33</v>
      </c>
      <c r="B85" s="2">
        <v>0</v>
      </c>
      <c r="C85" s="2">
        <v>2</v>
      </c>
      <c r="D85" s="2">
        <v>14</v>
      </c>
      <c r="E85" s="2">
        <v>1</v>
      </c>
      <c r="F85" s="1">
        <v>15.067531089999999</v>
      </c>
      <c r="G85" s="2">
        <v>70</v>
      </c>
      <c r="H85" s="2">
        <v>30</v>
      </c>
      <c r="I85" s="2">
        <v>2</v>
      </c>
      <c r="J85" s="2">
        <v>1</v>
      </c>
      <c r="K85" s="2">
        <v>0</v>
      </c>
      <c r="L8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5" s="2" t="str">
        <f>IF(Table1[[#This Row],[Experience Years]]&lt;=2,"Entry Level",IF(Table1[[#This Row],[Experience Years]]&lt;=7,"Mid Level",IF(Table1[[#This Row],[Experience Years]]&lt;=15,"Senior Level")))</f>
        <v>Senior Level</v>
      </c>
      <c r="N85" s="1">
        <f>AVERAGE(Table1[[#This Row],[Interview Score]:[Personality Score]])</f>
        <v>34</v>
      </c>
      <c r="O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5" s="2" t="str">
        <f t="shared" si="1"/>
        <v>10-20</v>
      </c>
    </row>
    <row r="86" spans="1:16" x14ac:dyDescent="0.25">
      <c r="A86">
        <v>36</v>
      </c>
      <c r="B86" s="2">
        <v>0</v>
      </c>
      <c r="C86" s="2">
        <v>2</v>
      </c>
      <c r="D86" s="2">
        <v>10</v>
      </c>
      <c r="E86" s="2">
        <v>5</v>
      </c>
      <c r="F86" s="1">
        <v>23.87876661</v>
      </c>
      <c r="G86" s="2">
        <v>72</v>
      </c>
      <c r="H86" s="2">
        <v>88</v>
      </c>
      <c r="I86" s="2">
        <v>95</v>
      </c>
      <c r="J86" s="2">
        <v>2</v>
      </c>
      <c r="K86" s="2">
        <v>1</v>
      </c>
      <c r="L8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6" s="2" t="str">
        <f>IF(Table1[[#This Row],[Experience Years]]&lt;=2,"Entry Level",IF(Table1[[#This Row],[Experience Years]]&lt;=7,"Mid Level",IF(Table1[[#This Row],[Experience Years]]&lt;=15,"Senior Level")))</f>
        <v>Senior Level</v>
      </c>
      <c r="N86" s="1">
        <f>AVERAGE(Table1[[#This Row],[Interview Score]:[Personality Score]])</f>
        <v>85</v>
      </c>
      <c r="O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86" s="2" t="str">
        <f t="shared" si="1"/>
        <v>20-30</v>
      </c>
    </row>
    <row r="87" spans="1:16" x14ac:dyDescent="0.25">
      <c r="A87">
        <v>23</v>
      </c>
      <c r="B87" s="2">
        <v>0</v>
      </c>
      <c r="C87" s="2">
        <v>2</v>
      </c>
      <c r="D87" s="2">
        <v>9</v>
      </c>
      <c r="E87" s="2">
        <v>4</v>
      </c>
      <c r="F87" s="1">
        <v>24.76929277</v>
      </c>
      <c r="G87" s="2">
        <v>24</v>
      </c>
      <c r="H87" s="2">
        <v>45</v>
      </c>
      <c r="I87" s="2">
        <v>68</v>
      </c>
      <c r="J87" s="2">
        <v>1</v>
      </c>
      <c r="K87" s="2">
        <v>1</v>
      </c>
      <c r="L8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7" s="2" t="str">
        <f>IF(Table1[[#This Row],[Experience Years]]&lt;=2,"Entry Level",IF(Table1[[#This Row],[Experience Years]]&lt;=7,"Mid Level",IF(Table1[[#This Row],[Experience Years]]&lt;=15,"Senior Level")))</f>
        <v>Senior Level</v>
      </c>
      <c r="N87" s="1">
        <f>AVERAGE(Table1[[#This Row],[Interview Score]:[Personality Score]])</f>
        <v>45.666666666666664</v>
      </c>
      <c r="O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7" s="2" t="str">
        <f t="shared" si="1"/>
        <v>20-30</v>
      </c>
    </row>
    <row r="88" spans="1:16" x14ac:dyDescent="0.25">
      <c r="A88">
        <v>37</v>
      </c>
      <c r="B88" s="2">
        <v>1</v>
      </c>
      <c r="C88" s="2">
        <v>2</v>
      </c>
      <c r="D88" s="2">
        <v>8</v>
      </c>
      <c r="E88" s="2">
        <v>3</v>
      </c>
      <c r="F88" s="1">
        <v>40.150011569999997</v>
      </c>
      <c r="G88" s="2">
        <v>96</v>
      </c>
      <c r="H88" s="2">
        <v>96</v>
      </c>
      <c r="I88" s="2">
        <v>83</v>
      </c>
      <c r="J88" s="2">
        <v>1</v>
      </c>
      <c r="K88" s="2">
        <v>1</v>
      </c>
      <c r="L8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8" t="str">
        <f>IF(Table1[[#This Row],[Experience Years]]&lt;=2,"Entry Level",IF(Table1[[#This Row],[Experience Years]]&lt;=7,"Mid Level",IF(Table1[[#This Row],[Experience Years]]&lt;=15,"Senior Level")))</f>
        <v>Senior Level</v>
      </c>
      <c r="N88" s="1">
        <f>AVERAGE(Table1[[#This Row],[Interview Score]:[Personality Score]])</f>
        <v>91.666666666666671</v>
      </c>
      <c r="O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90-100</v>
      </c>
      <c r="P88" s="2" t="str">
        <f t="shared" si="1"/>
        <v>40-50</v>
      </c>
    </row>
    <row r="89" spans="1:16" x14ac:dyDescent="0.25">
      <c r="A89">
        <v>27</v>
      </c>
      <c r="B89" s="2">
        <v>1</v>
      </c>
      <c r="C89" s="2">
        <v>2</v>
      </c>
      <c r="D89" s="2">
        <v>0</v>
      </c>
      <c r="E89" s="2">
        <v>3</v>
      </c>
      <c r="F89" s="1">
        <v>38.507661470000002</v>
      </c>
      <c r="G89" s="2">
        <v>64</v>
      </c>
      <c r="H89" s="2">
        <v>76</v>
      </c>
      <c r="I89" s="2">
        <v>13</v>
      </c>
      <c r="J89" s="2">
        <v>1</v>
      </c>
      <c r="K89" s="2">
        <v>0</v>
      </c>
      <c r="L8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9" t="str">
        <f>IF(Table1[[#This Row],[Experience Years]]&lt;=2,"Entry Level",IF(Table1[[#This Row],[Experience Years]]&lt;=7,"Mid Level",IF(Table1[[#This Row],[Experience Years]]&lt;=15,"Senior Level")))</f>
        <v>Entry Level</v>
      </c>
      <c r="N89" s="1">
        <f>AVERAGE(Table1[[#This Row],[Interview Score]:[Personality Score]])</f>
        <v>51</v>
      </c>
      <c r="O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9" s="2" t="str">
        <f t="shared" si="1"/>
        <v>30-40</v>
      </c>
    </row>
    <row r="90" spans="1:16" x14ac:dyDescent="0.25">
      <c r="A90">
        <v>23</v>
      </c>
      <c r="B90" s="2">
        <v>0</v>
      </c>
      <c r="C90" s="2">
        <v>1</v>
      </c>
      <c r="D90" s="2">
        <v>15</v>
      </c>
      <c r="E90" s="2">
        <v>4</v>
      </c>
      <c r="F90" s="1">
        <v>23.840890229999999</v>
      </c>
      <c r="G90" s="2">
        <v>5</v>
      </c>
      <c r="H90" s="2">
        <v>51</v>
      </c>
      <c r="I90" s="2">
        <v>95</v>
      </c>
      <c r="J90" s="2">
        <v>1</v>
      </c>
      <c r="K90" s="2">
        <v>1</v>
      </c>
      <c r="L9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0" s="2" t="str">
        <f>IF(Table1[[#This Row],[Experience Years]]&lt;=2,"Entry Level",IF(Table1[[#This Row],[Experience Years]]&lt;=7,"Mid Level",IF(Table1[[#This Row],[Experience Years]]&lt;=15,"Senior Level")))</f>
        <v>Senior Level</v>
      </c>
      <c r="N90" s="1">
        <f>AVERAGE(Table1[[#This Row],[Interview Score]:[Personality Score]])</f>
        <v>50.333333333333336</v>
      </c>
      <c r="O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0" s="2" t="str">
        <f t="shared" si="1"/>
        <v>20-30</v>
      </c>
    </row>
    <row r="91" spans="1:16" x14ac:dyDescent="0.25">
      <c r="A91">
        <v>21</v>
      </c>
      <c r="B91" s="2">
        <v>0</v>
      </c>
      <c r="C91" s="2">
        <v>1</v>
      </c>
      <c r="D91" s="2">
        <v>15</v>
      </c>
      <c r="E91" s="2">
        <v>3</v>
      </c>
      <c r="F91" s="1">
        <v>43.28336745</v>
      </c>
      <c r="G91" s="2">
        <v>17</v>
      </c>
      <c r="H91" s="2">
        <v>9</v>
      </c>
      <c r="I91" s="2">
        <v>25</v>
      </c>
      <c r="J91" s="2">
        <v>2</v>
      </c>
      <c r="K91" s="2">
        <v>0</v>
      </c>
      <c r="L9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1" s="2" t="str">
        <f>IF(Table1[[#This Row],[Experience Years]]&lt;=2,"Entry Level",IF(Table1[[#This Row],[Experience Years]]&lt;=7,"Mid Level",IF(Table1[[#This Row],[Experience Years]]&lt;=15,"Senior Level")))</f>
        <v>Senior Level</v>
      </c>
      <c r="N91" s="1">
        <f>AVERAGE(Table1[[#This Row],[Interview Score]:[Personality Score]])</f>
        <v>17</v>
      </c>
      <c r="O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1" s="2" t="str">
        <f t="shared" si="1"/>
        <v>40-50</v>
      </c>
    </row>
    <row r="92" spans="1:16" x14ac:dyDescent="0.25">
      <c r="A92">
        <v>49</v>
      </c>
      <c r="B92" s="2">
        <v>1</v>
      </c>
      <c r="C92" s="2">
        <v>2</v>
      </c>
      <c r="D92" s="2">
        <v>5</v>
      </c>
      <c r="E92" s="2">
        <v>1</v>
      </c>
      <c r="F92" s="1">
        <v>6.7118569299999997</v>
      </c>
      <c r="G92" s="2">
        <v>9</v>
      </c>
      <c r="H92" s="2">
        <v>87</v>
      </c>
      <c r="I92" s="2">
        <v>69</v>
      </c>
      <c r="J92" s="2">
        <v>1</v>
      </c>
      <c r="K92" s="2">
        <v>1</v>
      </c>
      <c r="L9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2" t="str">
        <f>IF(Table1[[#This Row],[Experience Years]]&lt;=2,"Entry Level",IF(Table1[[#This Row],[Experience Years]]&lt;=7,"Mid Level",IF(Table1[[#This Row],[Experience Years]]&lt;=15,"Senior Level")))</f>
        <v>Mid Level</v>
      </c>
      <c r="N92" s="1">
        <f>AVERAGE(Table1[[#This Row],[Interview Score]:[Personality Score]])</f>
        <v>55</v>
      </c>
      <c r="O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2" s="2" t="str">
        <f t="shared" si="1"/>
        <v>0-10</v>
      </c>
    </row>
    <row r="93" spans="1:16" x14ac:dyDescent="0.25">
      <c r="A93">
        <v>25</v>
      </c>
      <c r="B93" s="2">
        <v>0</v>
      </c>
      <c r="C93" s="2">
        <v>2</v>
      </c>
      <c r="D93" s="2">
        <v>8</v>
      </c>
      <c r="E93" s="2">
        <v>3</v>
      </c>
      <c r="F93" s="1">
        <v>13.767667510000001</v>
      </c>
      <c r="G93" s="2">
        <v>91</v>
      </c>
      <c r="H93" s="2">
        <v>73</v>
      </c>
      <c r="I93" s="2">
        <v>57</v>
      </c>
      <c r="J93" s="2">
        <v>2</v>
      </c>
      <c r="K93" s="2">
        <v>0</v>
      </c>
      <c r="L9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3" s="2" t="str">
        <f>IF(Table1[[#This Row],[Experience Years]]&lt;=2,"Entry Level",IF(Table1[[#This Row],[Experience Years]]&lt;=7,"Mid Level",IF(Table1[[#This Row],[Experience Years]]&lt;=15,"Senior Level")))</f>
        <v>Senior Level</v>
      </c>
      <c r="N93" s="1">
        <f>AVERAGE(Table1[[#This Row],[Interview Score]:[Personality Score]])</f>
        <v>73.666666666666671</v>
      </c>
      <c r="O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3" s="2" t="str">
        <f t="shared" si="1"/>
        <v>10-20</v>
      </c>
    </row>
    <row r="94" spans="1:16" x14ac:dyDescent="0.25">
      <c r="A94">
        <v>41</v>
      </c>
      <c r="B94" s="2">
        <v>0</v>
      </c>
      <c r="C94" s="2">
        <v>4</v>
      </c>
      <c r="D94" s="2">
        <v>10</v>
      </c>
      <c r="E94" s="2">
        <v>3</v>
      </c>
      <c r="F94" s="1">
        <v>42.398823180000001</v>
      </c>
      <c r="G94" s="2">
        <v>10</v>
      </c>
      <c r="H94" s="2">
        <v>40</v>
      </c>
      <c r="I94" s="2">
        <v>99</v>
      </c>
      <c r="J94" s="2">
        <v>1</v>
      </c>
      <c r="K94" s="2">
        <v>1</v>
      </c>
      <c r="L9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4" s="2" t="str">
        <f>IF(Table1[[#This Row],[Experience Years]]&lt;=2,"Entry Level",IF(Table1[[#This Row],[Experience Years]]&lt;=7,"Mid Level",IF(Table1[[#This Row],[Experience Years]]&lt;=15,"Senior Level")))</f>
        <v>Senior Level</v>
      </c>
      <c r="N94" s="1">
        <f>AVERAGE(Table1[[#This Row],[Interview Score]:[Personality Score]])</f>
        <v>49.666666666666664</v>
      </c>
      <c r="O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4" s="2" t="str">
        <f t="shared" si="1"/>
        <v>40-50</v>
      </c>
    </row>
    <row r="95" spans="1:16" x14ac:dyDescent="0.25">
      <c r="A95">
        <v>29</v>
      </c>
      <c r="B95" s="2">
        <v>0</v>
      </c>
      <c r="C95" s="2">
        <v>2</v>
      </c>
      <c r="D95" s="2">
        <v>3</v>
      </c>
      <c r="E95" s="2">
        <v>4</v>
      </c>
      <c r="F95" s="1">
        <v>19.899701929999999</v>
      </c>
      <c r="G95" s="2">
        <v>96</v>
      </c>
      <c r="H95" s="2">
        <v>94</v>
      </c>
      <c r="I95" s="2">
        <v>39</v>
      </c>
      <c r="J95" s="2">
        <v>1</v>
      </c>
      <c r="K95" s="2">
        <v>1</v>
      </c>
      <c r="L9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5" s="2" t="str">
        <f>IF(Table1[[#This Row],[Experience Years]]&lt;=2,"Entry Level",IF(Table1[[#This Row],[Experience Years]]&lt;=7,"Mid Level",IF(Table1[[#This Row],[Experience Years]]&lt;=15,"Senior Level")))</f>
        <v>Mid Level</v>
      </c>
      <c r="N95" s="1">
        <f>AVERAGE(Table1[[#This Row],[Interview Score]:[Personality Score]])</f>
        <v>76.333333333333329</v>
      </c>
      <c r="O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5" s="2" t="str">
        <f t="shared" si="1"/>
        <v>10-20</v>
      </c>
    </row>
    <row r="96" spans="1:16" x14ac:dyDescent="0.25">
      <c r="A96">
        <v>23</v>
      </c>
      <c r="B96" s="2">
        <v>1</v>
      </c>
      <c r="C96" s="2">
        <v>2</v>
      </c>
      <c r="D96" s="2">
        <v>10</v>
      </c>
      <c r="E96" s="2">
        <v>4</v>
      </c>
      <c r="F96" s="1">
        <v>50.059077940000002</v>
      </c>
      <c r="G96" s="2">
        <v>64</v>
      </c>
      <c r="H96" s="2">
        <v>76</v>
      </c>
      <c r="I96" s="2">
        <v>50</v>
      </c>
      <c r="J96" s="2">
        <v>2</v>
      </c>
      <c r="K96" s="2">
        <v>0</v>
      </c>
      <c r="L9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6" t="str">
        <f>IF(Table1[[#This Row],[Experience Years]]&lt;=2,"Entry Level",IF(Table1[[#This Row],[Experience Years]]&lt;=7,"Mid Level",IF(Table1[[#This Row],[Experience Years]]&lt;=15,"Senior Level")))</f>
        <v>Senior Level</v>
      </c>
      <c r="N96" s="1">
        <f>AVERAGE(Table1[[#This Row],[Interview Score]:[Personality Score]])</f>
        <v>63.333333333333336</v>
      </c>
      <c r="O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6" s="2" t="str">
        <f t="shared" si="1"/>
        <v>50+</v>
      </c>
    </row>
    <row r="97" spans="1:16" x14ac:dyDescent="0.25">
      <c r="A97">
        <v>41</v>
      </c>
      <c r="B97" s="2">
        <v>0</v>
      </c>
      <c r="C97" s="2">
        <v>2</v>
      </c>
      <c r="D97" s="2">
        <v>11</v>
      </c>
      <c r="E97" s="2">
        <v>3</v>
      </c>
      <c r="F97" s="1">
        <v>24.312664080000001</v>
      </c>
      <c r="G97" s="2">
        <v>76</v>
      </c>
      <c r="H97" s="2">
        <v>2</v>
      </c>
      <c r="I97" s="2">
        <v>4</v>
      </c>
      <c r="J97" s="2">
        <v>3</v>
      </c>
      <c r="K97" s="2">
        <v>0</v>
      </c>
      <c r="L9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7" s="2" t="str">
        <f>IF(Table1[[#This Row],[Experience Years]]&lt;=2,"Entry Level",IF(Table1[[#This Row],[Experience Years]]&lt;=7,"Mid Level",IF(Table1[[#This Row],[Experience Years]]&lt;=15,"Senior Level")))</f>
        <v>Senior Level</v>
      </c>
      <c r="N97" s="1">
        <f>AVERAGE(Table1[[#This Row],[Interview Score]:[Personality Score]])</f>
        <v>27.333333333333332</v>
      </c>
      <c r="O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7" s="2" t="str">
        <f t="shared" si="1"/>
        <v>20-30</v>
      </c>
    </row>
    <row r="98" spans="1:16" x14ac:dyDescent="0.25">
      <c r="A98">
        <v>48</v>
      </c>
      <c r="B98" s="2">
        <v>1</v>
      </c>
      <c r="C98" s="2">
        <v>1</v>
      </c>
      <c r="D98" s="2">
        <v>1</v>
      </c>
      <c r="E98" s="2">
        <v>2</v>
      </c>
      <c r="F98" s="1">
        <v>40.596781149999998</v>
      </c>
      <c r="G98" s="2">
        <v>100</v>
      </c>
      <c r="H98" s="2">
        <v>58</v>
      </c>
      <c r="I98" s="2">
        <v>76</v>
      </c>
      <c r="J98" s="2">
        <v>2</v>
      </c>
      <c r="K98" s="2">
        <v>0</v>
      </c>
      <c r="L9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8" t="str">
        <f>IF(Table1[[#This Row],[Experience Years]]&lt;=2,"Entry Level",IF(Table1[[#This Row],[Experience Years]]&lt;=7,"Mid Level",IF(Table1[[#This Row],[Experience Years]]&lt;=15,"Senior Level")))</f>
        <v>Entry Level</v>
      </c>
      <c r="N98" s="1">
        <f>AVERAGE(Table1[[#This Row],[Interview Score]:[Personality Score]])</f>
        <v>78</v>
      </c>
      <c r="O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8" s="2" t="str">
        <f t="shared" si="1"/>
        <v>40-50</v>
      </c>
    </row>
    <row r="99" spans="1:16" x14ac:dyDescent="0.25">
      <c r="A99">
        <v>50</v>
      </c>
      <c r="B99" s="2">
        <v>0</v>
      </c>
      <c r="C99" s="2">
        <v>4</v>
      </c>
      <c r="D99" s="2">
        <v>12</v>
      </c>
      <c r="E99" s="2">
        <v>4</v>
      </c>
      <c r="F99" s="1">
        <v>21.11535207</v>
      </c>
      <c r="G99" s="2">
        <v>83</v>
      </c>
      <c r="H99" s="2">
        <v>51</v>
      </c>
      <c r="I99" s="2">
        <v>31</v>
      </c>
      <c r="J99" s="2">
        <v>2</v>
      </c>
      <c r="K99" s="2">
        <v>1</v>
      </c>
      <c r="L9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9" s="2" t="str">
        <f>IF(Table1[[#This Row],[Experience Years]]&lt;=2,"Entry Level",IF(Table1[[#This Row],[Experience Years]]&lt;=7,"Mid Level",IF(Table1[[#This Row],[Experience Years]]&lt;=15,"Senior Level")))</f>
        <v>Senior Level</v>
      </c>
      <c r="N99" s="1">
        <f>AVERAGE(Table1[[#This Row],[Interview Score]:[Personality Score]])</f>
        <v>55</v>
      </c>
      <c r="O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9" s="2" t="str">
        <f t="shared" si="1"/>
        <v>20-30</v>
      </c>
    </row>
    <row r="100" spans="1:16" x14ac:dyDescent="0.25">
      <c r="A100">
        <v>37</v>
      </c>
      <c r="B100" s="2">
        <v>1</v>
      </c>
      <c r="C100" s="2">
        <v>2</v>
      </c>
      <c r="D100" s="2">
        <v>3</v>
      </c>
      <c r="E100" s="2">
        <v>5</v>
      </c>
      <c r="F100" s="1">
        <v>22.247675950000001</v>
      </c>
      <c r="G100" s="2">
        <v>64</v>
      </c>
      <c r="H100" s="2">
        <v>33</v>
      </c>
      <c r="I100" s="2">
        <v>79</v>
      </c>
      <c r="J100" s="2">
        <v>1</v>
      </c>
      <c r="K100" s="2">
        <v>0</v>
      </c>
      <c r="L10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0" t="str">
        <f>IF(Table1[[#This Row],[Experience Years]]&lt;=2,"Entry Level",IF(Table1[[#This Row],[Experience Years]]&lt;=7,"Mid Level",IF(Table1[[#This Row],[Experience Years]]&lt;=15,"Senior Level")))</f>
        <v>Mid Level</v>
      </c>
      <c r="N100" s="1">
        <f>AVERAGE(Table1[[#This Row],[Interview Score]:[Personality Score]])</f>
        <v>58.666666666666664</v>
      </c>
      <c r="O1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0" s="2" t="str">
        <f t="shared" si="1"/>
        <v>20-30</v>
      </c>
    </row>
    <row r="101" spans="1:16" x14ac:dyDescent="0.25">
      <c r="A101">
        <v>45</v>
      </c>
      <c r="B101" s="2">
        <v>1</v>
      </c>
      <c r="C101" s="2">
        <v>3</v>
      </c>
      <c r="D101" s="2">
        <v>0</v>
      </c>
      <c r="E101" s="2">
        <v>5</v>
      </c>
      <c r="F101" s="1">
        <v>20.144157360000001</v>
      </c>
      <c r="G101" s="2">
        <v>51</v>
      </c>
      <c r="H101" s="2">
        <v>48</v>
      </c>
      <c r="I101" s="2">
        <v>0</v>
      </c>
      <c r="J101" s="2">
        <v>3</v>
      </c>
      <c r="K101" s="2">
        <v>0</v>
      </c>
      <c r="L10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1" t="str">
        <f>IF(Table1[[#This Row],[Experience Years]]&lt;=2,"Entry Level",IF(Table1[[#This Row],[Experience Years]]&lt;=7,"Mid Level",IF(Table1[[#This Row],[Experience Years]]&lt;=15,"Senior Level")))</f>
        <v>Entry Level</v>
      </c>
      <c r="N101" s="1">
        <f>AVERAGE(Table1[[#This Row],[Interview Score]:[Personality Score]])</f>
        <v>33</v>
      </c>
      <c r="O1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1" s="2" t="str">
        <f t="shared" si="1"/>
        <v>20-30</v>
      </c>
    </row>
    <row r="102" spans="1:16" x14ac:dyDescent="0.25">
      <c r="A102">
        <v>31</v>
      </c>
      <c r="B102" s="2">
        <v>0</v>
      </c>
      <c r="C102" s="2">
        <v>1</v>
      </c>
      <c r="D102" s="2">
        <v>2</v>
      </c>
      <c r="E102" s="2">
        <v>1</v>
      </c>
      <c r="F102" s="1">
        <v>36.953781030000002</v>
      </c>
      <c r="G102" s="2">
        <v>66</v>
      </c>
      <c r="H102" s="2">
        <v>27</v>
      </c>
      <c r="I102" s="2">
        <v>76</v>
      </c>
      <c r="J102" s="2">
        <v>1</v>
      </c>
      <c r="K102" s="2">
        <v>0</v>
      </c>
      <c r="L10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2" s="2" t="str">
        <f>IF(Table1[[#This Row],[Experience Years]]&lt;=2,"Entry Level",IF(Table1[[#This Row],[Experience Years]]&lt;=7,"Mid Level",IF(Table1[[#This Row],[Experience Years]]&lt;=15,"Senior Level")))</f>
        <v>Entry Level</v>
      </c>
      <c r="N102" s="1">
        <f>AVERAGE(Table1[[#This Row],[Interview Score]:[Personality Score]])</f>
        <v>56.333333333333336</v>
      </c>
      <c r="O1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2" s="2" t="str">
        <f t="shared" si="1"/>
        <v>30-40</v>
      </c>
    </row>
    <row r="103" spans="1:16" x14ac:dyDescent="0.25">
      <c r="A103">
        <v>21</v>
      </c>
      <c r="B103" s="2">
        <v>1</v>
      </c>
      <c r="C103" s="2">
        <v>2</v>
      </c>
      <c r="D103" s="2">
        <v>9</v>
      </c>
      <c r="E103" s="2">
        <v>3</v>
      </c>
      <c r="F103" s="1">
        <v>28.375894200000001</v>
      </c>
      <c r="G103" s="2">
        <v>81</v>
      </c>
      <c r="H103" s="2">
        <v>82</v>
      </c>
      <c r="I103" s="2">
        <v>53</v>
      </c>
      <c r="J103" s="2">
        <v>1</v>
      </c>
      <c r="K103" s="2">
        <v>1</v>
      </c>
      <c r="L10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3" t="str">
        <f>IF(Table1[[#This Row],[Experience Years]]&lt;=2,"Entry Level",IF(Table1[[#This Row],[Experience Years]]&lt;=7,"Mid Level",IF(Table1[[#This Row],[Experience Years]]&lt;=15,"Senior Level")))</f>
        <v>Senior Level</v>
      </c>
      <c r="N103" s="1">
        <f>AVERAGE(Table1[[#This Row],[Interview Score]:[Personality Score]])</f>
        <v>72</v>
      </c>
      <c r="O1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3" s="2" t="str">
        <f t="shared" si="1"/>
        <v>20-30</v>
      </c>
    </row>
    <row r="104" spans="1:16" x14ac:dyDescent="0.25">
      <c r="A104">
        <v>29</v>
      </c>
      <c r="B104" s="2">
        <v>0</v>
      </c>
      <c r="C104" s="2">
        <v>2</v>
      </c>
      <c r="D104" s="2">
        <v>8</v>
      </c>
      <c r="E104" s="2">
        <v>2</v>
      </c>
      <c r="F104" s="1">
        <v>48.188905570000003</v>
      </c>
      <c r="G104" s="2">
        <v>77</v>
      </c>
      <c r="H104" s="2">
        <v>86</v>
      </c>
      <c r="I104" s="2">
        <v>10</v>
      </c>
      <c r="J104" s="2">
        <v>2</v>
      </c>
      <c r="K104" s="2">
        <v>0</v>
      </c>
      <c r="L10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4" s="2" t="str">
        <f>IF(Table1[[#This Row],[Experience Years]]&lt;=2,"Entry Level",IF(Table1[[#This Row],[Experience Years]]&lt;=7,"Mid Level",IF(Table1[[#This Row],[Experience Years]]&lt;=15,"Senior Level")))</f>
        <v>Senior Level</v>
      </c>
      <c r="N104" s="1">
        <f>AVERAGE(Table1[[#This Row],[Interview Score]:[Personality Score]])</f>
        <v>57.666666666666664</v>
      </c>
      <c r="O1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4" s="2" t="str">
        <f t="shared" si="1"/>
        <v>40-50</v>
      </c>
    </row>
    <row r="105" spans="1:16" x14ac:dyDescent="0.25">
      <c r="A105">
        <v>49</v>
      </c>
      <c r="B105" s="2">
        <v>1</v>
      </c>
      <c r="C105" s="2">
        <v>3</v>
      </c>
      <c r="D105" s="2">
        <v>9</v>
      </c>
      <c r="E105" s="2">
        <v>1</v>
      </c>
      <c r="F105" s="1">
        <v>13.54451583</v>
      </c>
      <c r="G105" s="2">
        <v>30</v>
      </c>
      <c r="H105" s="2">
        <v>95</v>
      </c>
      <c r="I105" s="2">
        <v>52</v>
      </c>
      <c r="J105" s="2">
        <v>2</v>
      </c>
      <c r="K105" s="2">
        <v>0</v>
      </c>
      <c r="L10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5" t="str">
        <f>IF(Table1[[#This Row],[Experience Years]]&lt;=2,"Entry Level",IF(Table1[[#This Row],[Experience Years]]&lt;=7,"Mid Level",IF(Table1[[#This Row],[Experience Years]]&lt;=15,"Senior Level")))</f>
        <v>Senior Level</v>
      </c>
      <c r="N105" s="1">
        <f>AVERAGE(Table1[[#This Row],[Interview Score]:[Personality Score]])</f>
        <v>59</v>
      </c>
      <c r="O1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5" s="2" t="str">
        <f t="shared" si="1"/>
        <v>10-20</v>
      </c>
    </row>
    <row r="106" spans="1:16" x14ac:dyDescent="0.25">
      <c r="A106">
        <v>23</v>
      </c>
      <c r="B106" s="2">
        <v>0</v>
      </c>
      <c r="C106" s="2">
        <v>1</v>
      </c>
      <c r="D106" s="2">
        <v>4</v>
      </c>
      <c r="E106" s="2">
        <v>3</v>
      </c>
      <c r="F106" s="1">
        <v>6.0281366040000002</v>
      </c>
      <c r="G106" s="2">
        <v>90</v>
      </c>
      <c r="H106" s="2">
        <v>12</v>
      </c>
      <c r="I106" s="2">
        <v>7</v>
      </c>
      <c r="J106" s="2">
        <v>3</v>
      </c>
      <c r="K106" s="2">
        <v>0</v>
      </c>
      <c r="L10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6" s="2" t="str">
        <f>IF(Table1[[#This Row],[Experience Years]]&lt;=2,"Entry Level",IF(Table1[[#This Row],[Experience Years]]&lt;=7,"Mid Level",IF(Table1[[#This Row],[Experience Years]]&lt;=15,"Senior Level")))</f>
        <v>Mid Level</v>
      </c>
      <c r="N106" s="1">
        <f>AVERAGE(Table1[[#This Row],[Interview Score]:[Personality Score]])</f>
        <v>36.333333333333336</v>
      </c>
      <c r="O1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6" s="2" t="str">
        <f t="shared" si="1"/>
        <v>0-10</v>
      </c>
    </row>
    <row r="107" spans="1:16" x14ac:dyDescent="0.25">
      <c r="A107">
        <v>33</v>
      </c>
      <c r="B107" s="2">
        <v>0</v>
      </c>
      <c r="C107" s="2">
        <v>2</v>
      </c>
      <c r="D107" s="2">
        <v>14</v>
      </c>
      <c r="E107" s="2">
        <v>4</v>
      </c>
      <c r="F107" s="1">
        <v>20.663074250000001</v>
      </c>
      <c r="G107" s="2">
        <v>16</v>
      </c>
      <c r="H107" s="2">
        <v>96</v>
      </c>
      <c r="I107" s="2">
        <v>24</v>
      </c>
      <c r="J107" s="2">
        <v>1</v>
      </c>
      <c r="K107" s="2">
        <v>1</v>
      </c>
      <c r="L10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7" s="2" t="str">
        <f>IF(Table1[[#This Row],[Experience Years]]&lt;=2,"Entry Level",IF(Table1[[#This Row],[Experience Years]]&lt;=7,"Mid Level",IF(Table1[[#This Row],[Experience Years]]&lt;=15,"Senior Level")))</f>
        <v>Senior Level</v>
      </c>
      <c r="N107" s="1">
        <f>AVERAGE(Table1[[#This Row],[Interview Score]:[Personality Score]])</f>
        <v>45.333333333333336</v>
      </c>
      <c r="O1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7" s="2" t="str">
        <f t="shared" si="1"/>
        <v>20-30</v>
      </c>
    </row>
    <row r="108" spans="1:16" x14ac:dyDescent="0.25">
      <c r="A108">
        <v>50</v>
      </c>
      <c r="B108" s="2">
        <v>1</v>
      </c>
      <c r="C108" s="2">
        <v>4</v>
      </c>
      <c r="D108" s="2">
        <v>10</v>
      </c>
      <c r="E108" s="2">
        <v>5</v>
      </c>
      <c r="F108" s="1">
        <v>31.835635379999999</v>
      </c>
      <c r="G108" s="2">
        <v>54</v>
      </c>
      <c r="H108" s="2">
        <v>97</v>
      </c>
      <c r="I108" s="2">
        <v>39</v>
      </c>
      <c r="J108" s="2">
        <v>3</v>
      </c>
      <c r="K108" s="2">
        <v>0</v>
      </c>
      <c r="L10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8" t="str">
        <f>IF(Table1[[#This Row],[Experience Years]]&lt;=2,"Entry Level",IF(Table1[[#This Row],[Experience Years]]&lt;=7,"Mid Level",IF(Table1[[#This Row],[Experience Years]]&lt;=15,"Senior Level")))</f>
        <v>Senior Level</v>
      </c>
      <c r="N108" s="1">
        <f>AVERAGE(Table1[[#This Row],[Interview Score]:[Personality Score]])</f>
        <v>63.333333333333336</v>
      </c>
      <c r="O1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8" s="2" t="str">
        <f t="shared" si="1"/>
        <v>30-40</v>
      </c>
    </row>
    <row r="109" spans="1:16" x14ac:dyDescent="0.25">
      <c r="A109">
        <v>35</v>
      </c>
      <c r="B109" s="2">
        <v>0</v>
      </c>
      <c r="C109" s="2">
        <v>2</v>
      </c>
      <c r="D109" s="2">
        <v>5</v>
      </c>
      <c r="E109" s="2">
        <v>2</v>
      </c>
      <c r="F109" s="1">
        <v>44.03994685</v>
      </c>
      <c r="G109" s="2">
        <v>92</v>
      </c>
      <c r="H109" s="2">
        <v>96</v>
      </c>
      <c r="I109" s="2">
        <v>31</v>
      </c>
      <c r="J109" s="2">
        <v>2</v>
      </c>
      <c r="K109" s="2">
        <v>0</v>
      </c>
      <c r="L10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9" s="2" t="str">
        <f>IF(Table1[[#This Row],[Experience Years]]&lt;=2,"Entry Level",IF(Table1[[#This Row],[Experience Years]]&lt;=7,"Mid Level",IF(Table1[[#This Row],[Experience Years]]&lt;=15,"Senior Level")))</f>
        <v>Mid Level</v>
      </c>
      <c r="N109" s="1">
        <f>AVERAGE(Table1[[#This Row],[Interview Score]:[Personality Score]])</f>
        <v>73</v>
      </c>
      <c r="O1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9" s="2" t="str">
        <f t="shared" si="1"/>
        <v>40-50</v>
      </c>
    </row>
    <row r="110" spans="1:16" x14ac:dyDescent="0.25">
      <c r="A110">
        <v>34</v>
      </c>
      <c r="B110" s="2">
        <v>0</v>
      </c>
      <c r="C110" s="2">
        <v>2</v>
      </c>
      <c r="D110" s="2">
        <v>2</v>
      </c>
      <c r="E110" s="2">
        <v>5</v>
      </c>
      <c r="F110" s="1">
        <v>18.309844330000001</v>
      </c>
      <c r="G110" s="2">
        <v>35</v>
      </c>
      <c r="H110" s="2">
        <v>68</v>
      </c>
      <c r="I110" s="2">
        <v>87</v>
      </c>
      <c r="J110" s="2">
        <v>2</v>
      </c>
      <c r="K110" s="2">
        <v>0</v>
      </c>
      <c r="L11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0" s="2" t="str">
        <f>IF(Table1[[#This Row],[Experience Years]]&lt;=2,"Entry Level",IF(Table1[[#This Row],[Experience Years]]&lt;=7,"Mid Level",IF(Table1[[#This Row],[Experience Years]]&lt;=15,"Senior Level")))</f>
        <v>Entry Level</v>
      </c>
      <c r="N110" s="1">
        <f>AVERAGE(Table1[[#This Row],[Interview Score]:[Personality Score]])</f>
        <v>63.333333333333336</v>
      </c>
      <c r="O1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0" s="2" t="str">
        <f t="shared" si="1"/>
        <v>10-20</v>
      </c>
    </row>
    <row r="111" spans="1:16" x14ac:dyDescent="0.25">
      <c r="A111">
        <v>27</v>
      </c>
      <c r="B111" s="2">
        <v>1</v>
      </c>
      <c r="C111" s="2">
        <v>1</v>
      </c>
      <c r="D111" s="2">
        <v>15</v>
      </c>
      <c r="E111" s="2">
        <v>4</v>
      </c>
      <c r="F111" s="1">
        <v>33.689337559999998</v>
      </c>
      <c r="G111" s="2">
        <v>100</v>
      </c>
      <c r="H111" s="2">
        <v>66</v>
      </c>
      <c r="I111" s="2">
        <v>27</v>
      </c>
      <c r="J111" s="2">
        <v>1</v>
      </c>
      <c r="K111" s="2">
        <v>1</v>
      </c>
      <c r="L11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1" t="str">
        <f>IF(Table1[[#This Row],[Experience Years]]&lt;=2,"Entry Level",IF(Table1[[#This Row],[Experience Years]]&lt;=7,"Mid Level",IF(Table1[[#This Row],[Experience Years]]&lt;=15,"Senior Level")))</f>
        <v>Senior Level</v>
      </c>
      <c r="N111" s="1">
        <f>AVERAGE(Table1[[#This Row],[Interview Score]:[Personality Score]])</f>
        <v>64.333333333333329</v>
      </c>
      <c r="O1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1" s="2" t="str">
        <f t="shared" si="1"/>
        <v>30-40</v>
      </c>
    </row>
    <row r="112" spans="1:16" x14ac:dyDescent="0.25">
      <c r="A112">
        <v>33</v>
      </c>
      <c r="B112" s="2">
        <v>0</v>
      </c>
      <c r="C112" s="2">
        <v>4</v>
      </c>
      <c r="D112" s="2">
        <v>4</v>
      </c>
      <c r="E112" s="2">
        <v>3</v>
      </c>
      <c r="F112" s="1">
        <v>18.509934049999998</v>
      </c>
      <c r="G112" s="2">
        <v>25</v>
      </c>
      <c r="H112" s="2">
        <v>60</v>
      </c>
      <c r="I112" s="2">
        <v>77</v>
      </c>
      <c r="J112" s="2">
        <v>1</v>
      </c>
      <c r="K112" s="2">
        <v>1</v>
      </c>
      <c r="L11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2" s="2" t="str">
        <f>IF(Table1[[#This Row],[Experience Years]]&lt;=2,"Entry Level",IF(Table1[[#This Row],[Experience Years]]&lt;=7,"Mid Level",IF(Table1[[#This Row],[Experience Years]]&lt;=15,"Senior Level")))</f>
        <v>Mid Level</v>
      </c>
      <c r="N112" s="1">
        <f>AVERAGE(Table1[[#This Row],[Interview Score]:[Personality Score]])</f>
        <v>54</v>
      </c>
      <c r="O1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2" s="2" t="str">
        <f t="shared" si="1"/>
        <v>10-20</v>
      </c>
    </row>
    <row r="113" spans="1:16" x14ac:dyDescent="0.25">
      <c r="A113">
        <v>42</v>
      </c>
      <c r="B113" s="2">
        <v>0</v>
      </c>
      <c r="C113" s="2">
        <v>1</v>
      </c>
      <c r="D113" s="2">
        <v>10</v>
      </c>
      <c r="E113" s="2">
        <v>4</v>
      </c>
      <c r="F113" s="1">
        <v>31.860979149999999</v>
      </c>
      <c r="G113" s="2">
        <v>52</v>
      </c>
      <c r="H113" s="2">
        <v>59</v>
      </c>
      <c r="I113" s="2">
        <v>2</v>
      </c>
      <c r="J113" s="2">
        <v>3</v>
      </c>
      <c r="K113" s="2">
        <v>0</v>
      </c>
      <c r="L11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3" s="2" t="str">
        <f>IF(Table1[[#This Row],[Experience Years]]&lt;=2,"Entry Level",IF(Table1[[#This Row],[Experience Years]]&lt;=7,"Mid Level",IF(Table1[[#This Row],[Experience Years]]&lt;=15,"Senior Level")))</f>
        <v>Senior Level</v>
      </c>
      <c r="N113" s="1">
        <f>AVERAGE(Table1[[#This Row],[Interview Score]:[Personality Score]])</f>
        <v>37.666666666666664</v>
      </c>
      <c r="O1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3" s="2" t="str">
        <f t="shared" si="1"/>
        <v>30-40</v>
      </c>
    </row>
    <row r="114" spans="1:16" x14ac:dyDescent="0.25">
      <c r="A114">
        <v>47</v>
      </c>
      <c r="B114" s="2">
        <v>1</v>
      </c>
      <c r="C114" s="2">
        <v>3</v>
      </c>
      <c r="D114" s="2">
        <v>7</v>
      </c>
      <c r="E114" s="2">
        <v>4</v>
      </c>
      <c r="F114" s="1">
        <v>45.240397350000002</v>
      </c>
      <c r="G114" s="2">
        <v>16</v>
      </c>
      <c r="H114" s="2">
        <v>70</v>
      </c>
      <c r="I114" s="2">
        <v>99</v>
      </c>
      <c r="J114" s="2">
        <v>2</v>
      </c>
      <c r="K114" s="2">
        <v>1</v>
      </c>
      <c r="L11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4" t="str">
        <f>IF(Table1[[#This Row],[Experience Years]]&lt;=2,"Entry Level",IF(Table1[[#This Row],[Experience Years]]&lt;=7,"Mid Level",IF(Table1[[#This Row],[Experience Years]]&lt;=15,"Senior Level")))</f>
        <v>Mid Level</v>
      </c>
      <c r="N114" s="1">
        <f>AVERAGE(Table1[[#This Row],[Interview Score]:[Personality Score]])</f>
        <v>61.666666666666664</v>
      </c>
      <c r="O1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4" s="2" t="str">
        <f t="shared" si="1"/>
        <v>40-50</v>
      </c>
    </row>
    <row r="115" spans="1:16" x14ac:dyDescent="0.25">
      <c r="A115">
        <v>44</v>
      </c>
      <c r="B115" s="2">
        <v>1</v>
      </c>
      <c r="C115" s="2">
        <v>3</v>
      </c>
      <c r="D115" s="2">
        <v>5</v>
      </c>
      <c r="E115" s="2">
        <v>5</v>
      </c>
      <c r="F115" s="1">
        <v>12.567882109999999</v>
      </c>
      <c r="G115" s="2">
        <v>85</v>
      </c>
      <c r="H115" s="2">
        <v>23</v>
      </c>
      <c r="I115" s="2">
        <v>90</v>
      </c>
      <c r="J115" s="2">
        <v>2</v>
      </c>
      <c r="K115" s="2">
        <v>0</v>
      </c>
      <c r="L11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5" t="str">
        <f>IF(Table1[[#This Row],[Experience Years]]&lt;=2,"Entry Level",IF(Table1[[#This Row],[Experience Years]]&lt;=7,"Mid Level",IF(Table1[[#This Row],[Experience Years]]&lt;=15,"Senior Level")))</f>
        <v>Mid Level</v>
      </c>
      <c r="N115" s="1">
        <f>AVERAGE(Table1[[#This Row],[Interview Score]:[Personality Score]])</f>
        <v>66</v>
      </c>
      <c r="O1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5" s="2" t="str">
        <f t="shared" si="1"/>
        <v>10-20</v>
      </c>
    </row>
    <row r="116" spans="1:16" x14ac:dyDescent="0.25">
      <c r="A116">
        <v>49</v>
      </c>
      <c r="B116" s="2">
        <v>0</v>
      </c>
      <c r="C116" s="2">
        <v>2</v>
      </c>
      <c r="D116" s="2">
        <v>3</v>
      </c>
      <c r="E116" s="2">
        <v>2</v>
      </c>
      <c r="F116" s="1">
        <v>21.212082110000001</v>
      </c>
      <c r="G116" s="2">
        <v>24</v>
      </c>
      <c r="H116" s="2">
        <v>62</v>
      </c>
      <c r="I116" s="2">
        <v>83</v>
      </c>
      <c r="J116" s="2">
        <v>3</v>
      </c>
      <c r="K116" s="2">
        <v>0</v>
      </c>
      <c r="L11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6" s="2" t="str">
        <f>IF(Table1[[#This Row],[Experience Years]]&lt;=2,"Entry Level",IF(Table1[[#This Row],[Experience Years]]&lt;=7,"Mid Level",IF(Table1[[#This Row],[Experience Years]]&lt;=15,"Senior Level")))</f>
        <v>Mid Level</v>
      </c>
      <c r="N116" s="1">
        <f>AVERAGE(Table1[[#This Row],[Interview Score]:[Personality Score]])</f>
        <v>56.333333333333336</v>
      </c>
      <c r="O1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6" s="2" t="str">
        <f t="shared" si="1"/>
        <v>20-30</v>
      </c>
    </row>
    <row r="117" spans="1:16" x14ac:dyDescent="0.25">
      <c r="A117">
        <v>27</v>
      </c>
      <c r="B117" s="2">
        <v>0</v>
      </c>
      <c r="C117" s="2">
        <v>2</v>
      </c>
      <c r="D117" s="2">
        <v>1</v>
      </c>
      <c r="E117" s="2">
        <v>4</v>
      </c>
      <c r="F117" s="1">
        <v>50.66325982</v>
      </c>
      <c r="G117" s="2">
        <v>1</v>
      </c>
      <c r="H117" s="2">
        <v>85</v>
      </c>
      <c r="I117" s="2">
        <v>78</v>
      </c>
      <c r="J117" s="2">
        <v>1</v>
      </c>
      <c r="K117" s="2">
        <v>1</v>
      </c>
      <c r="L11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7" s="2" t="str">
        <f>IF(Table1[[#This Row],[Experience Years]]&lt;=2,"Entry Level",IF(Table1[[#This Row],[Experience Years]]&lt;=7,"Mid Level",IF(Table1[[#This Row],[Experience Years]]&lt;=15,"Senior Level")))</f>
        <v>Entry Level</v>
      </c>
      <c r="N117" s="1">
        <f>AVERAGE(Table1[[#This Row],[Interview Score]:[Personality Score]])</f>
        <v>54.666666666666664</v>
      </c>
      <c r="O1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7" s="2" t="str">
        <f t="shared" si="1"/>
        <v>50+</v>
      </c>
    </row>
    <row r="118" spans="1:16" x14ac:dyDescent="0.25">
      <c r="A118">
        <v>40</v>
      </c>
      <c r="B118" s="2">
        <v>1</v>
      </c>
      <c r="C118" s="2">
        <v>1</v>
      </c>
      <c r="D118" s="2">
        <v>13</v>
      </c>
      <c r="E118" s="2">
        <v>5</v>
      </c>
      <c r="F118" s="1">
        <v>44.427851410000002</v>
      </c>
      <c r="G118" s="2">
        <v>85</v>
      </c>
      <c r="H118" s="2">
        <v>60</v>
      </c>
      <c r="I118" s="2">
        <v>61</v>
      </c>
      <c r="J118" s="2">
        <v>2</v>
      </c>
      <c r="K118" s="2">
        <v>1</v>
      </c>
      <c r="L11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8" t="str">
        <f>IF(Table1[[#This Row],[Experience Years]]&lt;=2,"Entry Level",IF(Table1[[#This Row],[Experience Years]]&lt;=7,"Mid Level",IF(Table1[[#This Row],[Experience Years]]&lt;=15,"Senior Level")))</f>
        <v>Senior Level</v>
      </c>
      <c r="N118" s="1">
        <f>AVERAGE(Table1[[#This Row],[Interview Score]:[Personality Score]])</f>
        <v>68.666666666666671</v>
      </c>
      <c r="O1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8" s="2" t="str">
        <f t="shared" si="1"/>
        <v>40-50</v>
      </c>
    </row>
    <row r="119" spans="1:16" x14ac:dyDescent="0.25">
      <c r="A119">
        <v>35</v>
      </c>
      <c r="B119" s="2">
        <v>1</v>
      </c>
      <c r="C119" s="2">
        <v>2</v>
      </c>
      <c r="D119" s="2">
        <v>8</v>
      </c>
      <c r="E119" s="2">
        <v>2</v>
      </c>
      <c r="F119" s="1">
        <v>29.231992890000001</v>
      </c>
      <c r="G119" s="2">
        <v>4</v>
      </c>
      <c r="H119" s="2">
        <v>22</v>
      </c>
      <c r="I119" s="2">
        <v>26</v>
      </c>
      <c r="J119" s="2">
        <v>2</v>
      </c>
      <c r="K119" s="2">
        <v>0</v>
      </c>
      <c r="L11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9" t="str">
        <f>IF(Table1[[#This Row],[Experience Years]]&lt;=2,"Entry Level",IF(Table1[[#This Row],[Experience Years]]&lt;=7,"Mid Level",IF(Table1[[#This Row],[Experience Years]]&lt;=15,"Senior Level")))</f>
        <v>Senior Level</v>
      </c>
      <c r="N119" s="1">
        <f>AVERAGE(Table1[[#This Row],[Interview Score]:[Personality Score]])</f>
        <v>17.333333333333332</v>
      </c>
      <c r="O1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9" s="2" t="str">
        <f t="shared" si="1"/>
        <v>20-30</v>
      </c>
    </row>
    <row r="120" spans="1:16" x14ac:dyDescent="0.25">
      <c r="A120">
        <v>32</v>
      </c>
      <c r="B120" s="2">
        <v>0</v>
      </c>
      <c r="C120" s="2">
        <v>3</v>
      </c>
      <c r="D120" s="2">
        <v>12</v>
      </c>
      <c r="E120" s="2">
        <v>3</v>
      </c>
      <c r="F120" s="1">
        <v>26.831379590000001</v>
      </c>
      <c r="G120" s="2">
        <v>3</v>
      </c>
      <c r="H120" s="2">
        <v>29</v>
      </c>
      <c r="I120" s="2">
        <v>44</v>
      </c>
      <c r="J120" s="2">
        <v>1</v>
      </c>
      <c r="K120" s="2">
        <v>1</v>
      </c>
      <c r="L12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0" s="2" t="str">
        <f>IF(Table1[[#This Row],[Experience Years]]&lt;=2,"Entry Level",IF(Table1[[#This Row],[Experience Years]]&lt;=7,"Mid Level",IF(Table1[[#This Row],[Experience Years]]&lt;=15,"Senior Level")))</f>
        <v>Senior Level</v>
      </c>
      <c r="N120" s="1">
        <f>AVERAGE(Table1[[#This Row],[Interview Score]:[Personality Score]])</f>
        <v>25.333333333333332</v>
      </c>
      <c r="O1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0" s="2" t="str">
        <f t="shared" si="1"/>
        <v>20-30</v>
      </c>
    </row>
    <row r="121" spans="1:16" x14ac:dyDescent="0.25">
      <c r="A121">
        <v>37</v>
      </c>
      <c r="B121" s="2">
        <v>1</v>
      </c>
      <c r="C121" s="2">
        <v>3</v>
      </c>
      <c r="D121" s="2">
        <v>11</v>
      </c>
      <c r="E121" s="2">
        <v>3</v>
      </c>
      <c r="F121" s="1">
        <v>15.23001912</v>
      </c>
      <c r="G121" s="2">
        <v>35</v>
      </c>
      <c r="H121" s="2">
        <v>59</v>
      </c>
      <c r="I121" s="2">
        <v>91</v>
      </c>
      <c r="J121" s="2">
        <v>1</v>
      </c>
      <c r="K121" s="2">
        <v>1</v>
      </c>
      <c r="L12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1" t="str">
        <f>IF(Table1[[#This Row],[Experience Years]]&lt;=2,"Entry Level",IF(Table1[[#This Row],[Experience Years]]&lt;=7,"Mid Level",IF(Table1[[#This Row],[Experience Years]]&lt;=15,"Senior Level")))</f>
        <v>Senior Level</v>
      </c>
      <c r="N121" s="1">
        <f>AVERAGE(Table1[[#This Row],[Interview Score]:[Personality Score]])</f>
        <v>61.666666666666664</v>
      </c>
      <c r="O1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1" s="2" t="str">
        <f t="shared" si="1"/>
        <v>10-20</v>
      </c>
    </row>
    <row r="122" spans="1:16" x14ac:dyDescent="0.25">
      <c r="A122">
        <v>34</v>
      </c>
      <c r="B122" s="2">
        <v>0</v>
      </c>
      <c r="C122" s="2">
        <v>2</v>
      </c>
      <c r="D122" s="2">
        <v>0</v>
      </c>
      <c r="E122" s="2">
        <v>1</v>
      </c>
      <c r="F122" s="1">
        <v>26.86047138</v>
      </c>
      <c r="G122" s="2">
        <v>5</v>
      </c>
      <c r="H122" s="2">
        <v>17</v>
      </c>
      <c r="I122" s="2">
        <v>24</v>
      </c>
      <c r="J122" s="2">
        <v>2</v>
      </c>
      <c r="K122" s="2">
        <v>0</v>
      </c>
      <c r="L12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2" s="2" t="str">
        <f>IF(Table1[[#This Row],[Experience Years]]&lt;=2,"Entry Level",IF(Table1[[#This Row],[Experience Years]]&lt;=7,"Mid Level",IF(Table1[[#This Row],[Experience Years]]&lt;=15,"Senior Level")))</f>
        <v>Entry Level</v>
      </c>
      <c r="N122" s="1">
        <f>AVERAGE(Table1[[#This Row],[Interview Score]:[Personality Score]])</f>
        <v>15.333333333333334</v>
      </c>
      <c r="O1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2" s="2" t="str">
        <f t="shared" si="1"/>
        <v>20-30</v>
      </c>
    </row>
    <row r="123" spans="1:16" x14ac:dyDescent="0.25">
      <c r="A123">
        <v>40</v>
      </c>
      <c r="B123" s="2">
        <v>0</v>
      </c>
      <c r="C123" s="2">
        <v>2</v>
      </c>
      <c r="D123" s="2">
        <v>0</v>
      </c>
      <c r="E123" s="2">
        <v>5</v>
      </c>
      <c r="F123" s="1">
        <v>43.409074910000001</v>
      </c>
      <c r="G123" s="2">
        <v>20</v>
      </c>
      <c r="H123" s="2">
        <v>95</v>
      </c>
      <c r="I123" s="2">
        <v>60</v>
      </c>
      <c r="J123" s="2">
        <v>2</v>
      </c>
      <c r="K123" s="2">
        <v>0</v>
      </c>
      <c r="L12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3" s="2" t="str">
        <f>IF(Table1[[#This Row],[Experience Years]]&lt;=2,"Entry Level",IF(Table1[[#This Row],[Experience Years]]&lt;=7,"Mid Level",IF(Table1[[#This Row],[Experience Years]]&lt;=15,"Senior Level")))</f>
        <v>Entry Level</v>
      </c>
      <c r="N123" s="1">
        <f>AVERAGE(Table1[[#This Row],[Interview Score]:[Personality Score]])</f>
        <v>58.333333333333336</v>
      </c>
      <c r="O1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3" s="2" t="str">
        <f t="shared" si="1"/>
        <v>40-50</v>
      </c>
    </row>
    <row r="124" spans="1:16" x14ac:dyDescent="0.25">
      <c r="A124">
        <v>43</v>
      </c>
      <c r="B124" s="2">
        <v>0</v>
      </c>
      <c r="C124" s="2">
        <v>1</v>
      </c>
      <c r="D124" s="2">
        <v>12</v>
      </c>
      <c r="E124" s="2">
        <v>2</v>
      </c>
      <c r="F124" s="1">
        <v>35.258725660000003</v>
      </c>
      <c r="G124" s="2">
        <v>76</v>
      </c>
      <c r="H124" s="2">
        <v>55</v>
      </c>
      <c r="I124" s="2">
        <v>43</v>
      </c>
      <c r="J124" s="2">
        <v>2</v>
      </c>
      <c r="K124" s="2">
        <v>0</v>
      </c>
      <c r="L12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4" s="2" t="str">
        <f>IF(Table1[[#This Row],[Experience Years]]&lt;=2,"Entry Level",IF(Table1[[#This Row],[Experience Years]]&lt;=7,"Mid Level",IF(Table1[[#This Row],[Experience Years]]&lt;=15,"Senior Level")))</f>
        <v>Senior Level</v>
      </c>
      <c r="N124" s="1">
        <f>AVERAGE(Table1[[#This Row],[Interview Score]:[Personality Score]])</f>
        <v>58</v>
      </c>
      <c r="O1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4" s="2" t="str">
        <f t="shared" si="1"/>
        <v>30-40</v>
      </c>
    </row>
    <row r="125" spans="1:16" x14ac:dyDescent="0.25">
      <c r="A125">
        <v>45</v>
      </c>
      <c r="B125" s="2">
        <v>0</v>
      </c>
      <c r="C125" s="2">
        <v>1</v>
      </c>
      <c r="D125" s="2">
        <v>3</v>
      </c>
      <c r="E125" s="2">
        <v>4</v>
      </c>
      <c r="F125" s="1">
        <v>15.50220141</v>
      </c>
      <c r="G125" s="2">
        <v>100</v>
      </c>
      <c r="H125" s="2">
        <v>52</v>
      </c>
      <c r="I125" s="2">
        <v>96</v>
      </c>
      <c r="J125" s="2">
        <v>1</v>
      </c>
      <c r="K125" s="2">
        <v>1</v>
      </c>
      <c r="L12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5" s="2" t="str">
        <f>IF(Table1[[#This Row],[Experience Years]]&lt;=2,"Entry Level",IF(Table1[[#This Row],[Experience Years]]&lt;=7,"Mid Level",IF(Table1[[#This Row],[Experience Years]]&lt;=15,"Senior Level")))</f>
        <v>Mid Level</v>
      </c>
      <c r="N125" s="1">
        <f>AVERAGE(Table1[[#This Row],[Interview Score]:[Personality Score]])</f>
        <v>82.666666666666671</v>
      </c>
      <c r="O1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25" s="2" t="str">
        <f t="shared" si="1"/>
        <v>10-20</v>
      </c>
    </row>
    <row r="126" spans="1:16" x14ac:dyDescent="0.25">
      <c r="A126">
        <v>44</v>
      </c>
      <c r="B126" s="2">
        <v>0</v>
      </c>
      <c r="C126" s="2">
        <v>1</v>
      </c>
      <c r="D126" s="2">
        <v>6</v>
      </c>
      <c r="E126" s="2">
        <v>3</v>
      </c>
      <c r="F126" s="1">
        <v>11.07319605</v>
      </c>
      <c r="G126" s="2">
        <v>88</v>
      </c>
      <c r="H126" s="2">
        <v>6</v>
      </c>
      <c r="I126" s="2">
        <v>45</v>
      </c>
      <c r="J126" s="2">
        <v>3</v>
      </c>
      <c r="K126" s="2">
        <v>0</v>
      </c>
      <c r="L12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6" s="2" t="str">
        <f>IF(Table1[[#This Row],[Experience Years]]&lt;=2,"Entry Level",IF(Table1[[#This Row],[Experience Years]]&lt;=7,"Mid Level",IF(Table1[[#This Row],[Experience Years]]&lt;=15,"Senior Level")))</f>
        <v>Mid Level</v>
      </c>
      <c r="N126" s="1">
        <f>AVERAGE(Table1[[#This Row],[Interview Score]:[Personality Score]])</f>
        <v>46.333333333333336</v>
      </c>
      <c r="O1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6" s="2" t="str">
        <f t="shared" si="1"/>
        <v>10-20</v>
      </c>
    </row>
    <row r="127" spans="1:16" x14ac:dyDescent="0.25">
      <c r="A127">
        <v>47</v>
      </c>
      <c r="B127" s="2">
        <v>1</v>
      </c>
      <c r="C127" s="2">
        <v>2</v>
      </c>
      <c r="D127" s="2">
        <v>0</v>
      </c>
      <c r="E127" s="2">
        <v>2</v>
      </c>
      <c r="F127" s="1">
        <v>14.26042685</v>
      </c>
      <c r="G127" s="2">
        <v>25</v>
      </c>
      <c r="H127" s="2">
        <v>96</v>
      </c>
      <c r="I127" s="2">
        <v>13</v>
      </c>
      <c r="J127" s="2">
        <v>1</v>
      </c>
      <c r="K127" s="2">
        <v>0</v>
      </c>
      <c r="L12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7" t="str">
        <f>IF(Table1[[#This Row],[Experience Years]]&lt;=2,"Entry Level",IF(Table1[[#This Row],[Experience Years]]&lt;=7,"Mid Level",IF(Table1[[#This Row],[Experience Years]]&lt;=15,"Senior Level")))</f>
        <v>Entry Level</v>
      </c>
      <c r="N127" s="1">
        <f>AVERAGE(Table1[[#This Row],[Interview Score]:[Personality Score]])</f>
        <v>44.666666666666664</v>
      </c>
      <c r="O1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7" s="2" t="str">
        <f t="shared" si="1"/>
        <v>10-20</v>
      </c>
    </row>
    <row r="128" spans="1:16" x14ac:dyDescent="0.25">
      <c r="A128">
        <v>47</v>
      </c>
      <c r="B128" s="2">
        <v>1</v>
      </c>
      <c r="C128" s="2">
        <v>2</v>
      </c>
      <c r="D128" s="2">
        <v>8</v>
      </c>
      <c r="E128" s="2">
        <v>5</v>
      </c>
      <c r="F128" s="1">
        <v>9.4879600699999997</v>
      </c>
      <c r="G128" s="2">
        <v>54</v>
      </c>
      <c r="H128" s="2">
        <v>68</v>
      </c>
      <c r="I128" s="2">
        <v>7</v>
      </c>
      <c r="J128" s="2">
        <v>2</v>
      </c>
      <c r="K128" s="2">
        <v>0</v>
      </c>
      <c r="L12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8" t="str">
        <f>IF(Table1[[#This Row],[Experience Years]]&lt;=2,"Entry Level",IF(Table1[[#This Row],[Experience Years]]&lt;=7,"Mid Level",IF(Table1[[#This Row],[Experience Years]]&lt;=15,"Senior Level")))</f>
        <v>Senior Level</v>
      </c>
      <c r="N128" s="1">
        <f>AVERAGE(Table1[[#This Row],[Interview Score]:[Personality Score]])</f>
        <v>43</v>
      </c>
      <c r="O1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8" s="2" t="str">
        <f t="shared" si="1"/>
        <v>0-10</v>
      </c>
    </row>
    <row r="129" spans="1:16" x14ac:dyDescent="0.25">
      <c r="A129">
        <v>47</v>
      </c>
      <c r="B129" s="2">
        <v>1</v>
      </c>
      <c r="C129" s="2">
        <v>2</v>
      </c>
      <c r="D129" s="2">
        <v>3</v>
      </c>
      <c r="E129" s="2">
        <v>1</v>
      </c>
      <c r="F129" s="1">
        <v>5.782034801</v>
      </c>
      <c r="G129" s="2">
        <v>38</v>
      </c>
      <c r="H129" s="2">
        <v>91</v>
      </c>
      <c r="I129" s="2">
        <v>47</v>
      </c>
      <c r="J129" s="2">
        <v>2</v>
      </c>
      <c r="K129" s="2">
        <v>0</v>
      </c>
      <c r="L12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9" t="str">
        <f>IF(Table1[[#This Row],[Experience Years]]&lt;=2,"Entry Level",IF(Table1[[#This Row],[Experience Years]]&lt;=7,"Mid Level",IF(Table1[[#This Row],[Experience Years]]&lt;=15,"Senior Level")))</f>
        <v>Mid Level</v>
      </c>
      <c r="N129" s="1">
        <f>AVERAGE(Table1[[#This Row],[Interview Score]:[Personality Score]])</f>
        <v>58.666666666666664</v>
      </c>
      <c r="O1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9" s="2" t="str">
        <f t="shared" si="1"/>
        <v>0-10</v>
      </c>
    </row>
    <row r="130" spans="1:16" x14ac:dyDescent="0.25">
      <c r="A130">
        <v>32</v>
      </c>
      <c r="B130" s="2">
        <v>1</v>
      </c>
      <c r="C130" s="2">
        <v>2</v>
      </c>
      <c r="D130" s="2">
        <v>2</v>
      </c>
      <c r="E130" s="2">
        <v>3</v>
      </c>
      <c r="F130" s="1">
        <v>21.956808720000002</v>
      </c>
      <c r="G130" s="2">
        <v>83</v>
      </c>
      <c r="H130" s="2">
        <v>71</v>
      </c>
      <c r="I130" s="2">
        <v>13</v>
      </c>
      <c r="J130" s="2">
        <v>1</v>
      </c>
      <c r="K130" s="2">
        <v>1</v>
      </c>
      <c r="L13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0" t="str">
        <f>IF(Table1[[#This Row],[Experience Years]]&lt;=2,"Entry Level",IF(Table1[[#This Row],[Experience Years]]&lt;=7,"Mid Level",IF(Table1[[#This Row],[Experience Years]]&lt;=15,"Senior Level")))</f>
        <v>Entry Level</v>
      </c>
      <c r="N130" s="1">
        <f>AVERAGE(Table1[[#This Row],[Interview Score]:[Personality Score]])</f>
        <v>55.666666666666664</v>
      </c>
      <c r="O1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0" s="2" t="str">
        <f t="shared" ref="P130:P193" si="2">IF(F130&lt;10,"0-10",IF(F130&lt;20,"10-20",IF(F130&lt;30,"20-30",IF(F130&lt;40,"30-40",IF(F130&lt;50,"40-50","50+")))))</f>
        <v>20-30</v>
      </c>
    </row>
    <row r="131" spans="1:16" x14ac:dyDescent="0.25">
      <c r="A131">
        <v>28</v>
      </c>
      <c r="B131" s="2">
        <v>0</v>
      </c>
      <c r="C131" s="2">
        <v>2</v>
      </c>
      <c r="D131" s="2">
        <v>0</v>
      </c>
      <c r="E131" s="2">
        <v>2</v>
      </c>
      <c r="F131" s="1">
        <v>6.6649802200000003</v>
      </c>
      <c r="G131" s="2">
        <v>32</v>
      </c>
      <c r="H131" s="2">
        <v>78</v>
      </c>
      <c r="I131" s="2">
        <v>64</v>
      </c>
      <c r="J131" s="2">
        <v>1</v>
      </c>
      <c r="K131" s="2">
        <v>1</v>
      </c>
      <c r="L13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1" s="2" t="str">
        <f>IF(Table1[[#This Row],[Experience Years]]&lt;=2,"Entry Level",IF(Table1[[#This Row],[Experience Years]]&lt;=7,"Mid Level",IF(Table1[[#This Row],[Experience Years]]&lt;=15,"Senior Level")))</f>
        <v>Entry Level</v>
      </c>
      <c r="N131" s="1">
        <f>AVERAGE(Table1[[#This Row],[Interview Score]:[Personality Score]])</f>
        <v>58</v>
      </c>
      <c r="O1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1" s="2" t="str">
        <f t="shared" si="2"/>
        <v>0-10</v>
      </c>
    </row>
    <row r="132" spans="1:16" x14ac:dyDescent="0.25">
      <c r="A132">
        <v>48</v>
      </c>
      <c r="B132" s="2">
        <v>0</v>
      </c>
      <c r="C132" s="2">
        <v>2</v>
      </c>
      <c r="D132" s="2">
        <v>9</v>
      </c>
      <c r="E132" s="2">
        <v>2</v>
      </c>
      <c r="F132" s="1">
        <v>9.5956278860000008</v>
      </c>
      <c r="G132" s="2">
        <v>13</v>
      </c>
      <c r="H132" s="2">
        <v>51</v>
      </c>
      <c r="I132" s="2">
        <v>79</v>
      </c>
      <c r="J132" s="2">
        <v>2</v>
      </c>
      <c r="K132" s="2">
        <v>0</v>
      </c>
      <c r="L13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2" s="2" t="str">
        <f>IF(Table1[[#This Row],[Experience Years]]&lt;=2,"Entry Level",IF(Table1[[#This Row],[Experience Years]]&lt;=7,"Mid Level",IF(Table1[[#This Row],[Experience Years]]&lt;=15,"Senior Level")))</f>
        <v>Senior Level</v>
      </c>
      <c r="N132" s="1">
        <f>AVERAGE(Table1[[#This Row],[Interview Score]:[Personality Score]])</f>
        <v>47.666666666666664</v>
      </c>
      <c r="O1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2" s="2" t="str">
        <f t="shared" si="2"/>
        <v>0-10</v>
      </c>
    </row>
    <row r="133" spans="1:16" x14ac:dyDescent="0.25">
      <c r="A133">
        <v>34</v>
      </c>
      <c r="B133" s="2">
        <v>0</v>
      </c>
      <c r="C133" s="2">
        <v>3</v>
      </c>
      <c r="D133" s="2">
        <v>3</v>
      </c>
      <c r="E133" s="2">
        <v>2</v>
      </c>
      <c r="F133" s="1">
        <v>28.366234219999999</v>
      </c>
      <c r="G133" s="2">
        <v>55</v>
      </c>
      <c r="H133" s="2">
        <v>3</v>
      </c>
      <c r="I133" s="2">
        <v>81</v>
      </c>
      <c r="J133" s="2">
        <v>3</v>
      </c>
      <c r="K133" s="2">
        <v>0</v>
      </c>
      <c r="L13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3" s="2" t="str">
        <f>IF(Table1[[#This Row],[Experience Years]]&lt;=2,"Entry Level",IF(Table1[[#This Row],[Experience Years]]&lt;=7,"Mid Level",IF(Table1[[#This Row],[Experience Years]]&lt;=15,"Senior Level")))</f>
        <v>Mid Level</v>
      </c>
      <c r="N133" s="1">
        <f>AVERAGE(Table1[[#This Row],[Interview Score]:[Personality Score]])</f>
        <v>46.333333333333336</v>
      </c>
      <c r="O1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3" s="2" t="str">
        <f t="shared" si="2"/>
        <v>20-30</v>
      </c>
    </row>
    <row r="134" spans="1:16" x14ac:dyDescent="0.25">
      <c r="A134">
        <v>32</v>
      </c>
      <c r="B134" s="2">
        <v>0</v>
      </c>
      <c r="C134" s="2">
        <v>2</v>
      </c>
      <c r="D134" s="2">
        <v>8</v>
      </c>
      <c r="E134" s="2">
        <v>5</v>
      </c>
      <c r="F134" s="1">
        <v>9.2299636849999995</v>
      </c>
      <c r="G134" s="2">
        <v>99</v>
      </c>
      <c r="H134" s="2">
        <v>33</v>
      </c>
      <c r="I134" s="2">
        <v>6</v>
      </c>
      <c r="J134" s="2">
        <v>1</v>
      </c>
      <c r="K134" s="2">
        <v>1</v>
      </c>
      <c r="L13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4" s="2" t="str">
        <f>IF(Table1[[#This Row],[Experience Years]]&lt;=2,"Entry Level",IF(Table1[[#This Row],[Experience Years]]&lt;=7,"Mid Level",IF(Table1[[#This Row],[Experience Years]]&lt;=15,"Senior Level")))</f>
        <v>Senior Level</v>
      </c>
      <c r="N134" s="1">
        <f>AVERAGE(Table1[[#This Row],[Interview Score]:[Personality Score]])</f>
        <v>46</v>
      </c>
      <c r="O1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4" s="2" t="str">
        <f t="shared" si="2"/>
        <v>0-10</v>
      </c>
    </row>
    <row r="135" spans="1:16" x14ac:dyDescent="0.25">
      <c r="A135">
        <v>20</v>
      </c>
      <c r="B135" s="2">
        <v>1</v>
      </c>
      <c r="C135" s="2">
        <v>4</v>
      </c>
      <c r="D135" s="2">
        <v>12</v>
      </c>
      <c r="E135" s="2">
        <v>5</v>
      </c>
      <c r="F135" s="1">
        <v>4.1939883719999997</v>
      </c>
      <c r="G135" s="2">
        <v>80</v>
      </c>
      <c r="H135" s="2">
        <v>68</v>
      </c>
      <c r="I135" s="2">
        <v>78</v>
      </c>
      <c r="J135" s="2">
        <v>2</v>
      </c>
      <c r="K135" s="2">
        <v>1</v>
      </c>
      <c r="L13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5" t="str">
        <f>IF(Table1[[#This Row],[Experience Years]]&lt;=2,"Entry Level",IF(Table1[[#This Row],[Experience Years]]&lt;=7,"Mid Level",IF(Table1[[#This Row],[Experience Years]]&lt;=15,"Senior Level")))</f>
        <v>Senior Level</v>
      </c>
      <c r="N135" s="1">
        <f>AVERAGE(Table1[[#This Row],[Interview Score]:[Personality Score]])</f>
        <v>75.333333333333329</v>
      </c>
      <c r="O1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35" s="2" t="str">
        <f t="shared" si="2"/>
        <v>0-10</v>
      </c>
    </row>
    <row r="136" spans="1:16" x14ac:dyDescent="0.25">
      <c r="A136">
        <v>44</v>
      </c>
      <c r="B136" s="2">
        <v>0</v>
      </c>
      <c r="C136" s="2">
        <v>3</v>
      </c>
      <c r="D136" s="2">
        <v>13</v>
      </c>
      <c r="E136" s="2">
        <v>5</v>
      </c>
      <c r="F136" s="1">
        <v>16.869442500000002</v>
      </c>
      <c r="G136" s="2">
        <v>20</v>
      </c>
      <c r="H136" s="2">
        <v>32</v>
      </c>
      <c r="I136" s="2">
        <v>87</v>
      </c>
      <c r="J136" s="2">
        <v>2</v>
      </c>
      <c r="K136" s="2">
        <v>0</v>
      </c>
      <c r="L13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6" s="2" t="str">
        <f>IF(Table1[[#This Row],[Experience Years]]&lt;=2,"Entry Level",IF(Table1[[#This Row],[Experience Years]]&lt;=7,"Mid Level",IF(Table1[[#This Row],[Experience Years]]&lt;=15,"Senior Level")))</f>
        <v>Senior Level</v>
      </c>
      <c r="N136" s="1">
        <f>AVERAGE(Table1[[#This Row],[Interview Score]:[Personality Score]])</f>
        <v>46.333333333333336</v>
      </c>
      <c r="O1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6" s="2" t="str">
        <f t="shared" si="2"/>
        <v>10-20</v>
      </c>
    </row>
    <row r="137" spans="1:16" x14ac:dyDescent="0.25">
      <c r="A137">
        <v>26</v>
      </c>
      <c r="B137" s="2">
        <v>0</v>
      </c>
      <c r="C137" s="2">
        <v>1</v>
      </c>
      <c r="D137" s="2">
        <v>9</v>
      </c>
      <c r="E137" s="2">
        <v>4</v>
      </c>
      <c r="F137" s="1">
        <v>12.015954929999999</v>
      </c>
      <c r="G137" s="2">
        <v>45</v>
      </c>
      <c r="H137" s="2">
        <v>68</v>
      </c>
      <c r="I137" s="2">
        <v>48</v>
      </c>
      <c r="J137" s="2">
        <v>1</v>
      </c>
      <c r="K137" s="2">
        <v>1</v>
      </c>
      <c r="L13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7" s="2" t="str">
        <f>IF(Table1[[#This Row],[Experience Years]]&lt;=2,"Entry Level",IF(Table1[[#This Row],[Experience Years]]&lt;=7,"Mid Level",IF(Table1[[#This Row],[Experience Years]]&lt;=15,"Senior Level")))</f>
        <v>Senior Level</v>
      </c>
      <c r="N137" s="1">
        <f>AVERAGE(Table1[[#This Row],[Interview Score]:[Personality Score]])</f>
        <v>53.666666666666664</v>
      </c>
      <c r="O1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7" s="2" t="str">
        <f t="shared" si="2"/>
        <v>10-20</v>
      </c>
    </row>
    <row r="138" spans="1:16" x14ac:dyDescent="0.25">
      <c r="A138">
        <v>28</v>
      </c>
      <c r="B138" s="2">
        <v>1</v>
      </c>
      <c r="C138" s="2">
        <v>3</v>
      </c>
      <c r="D138" s="2">
        <v>15</v>
      </c>
      <c r="E138" s="2">
        <v>2</v>
      </c>
      <c r="F138" s="1">
        <v>26.765259400000001</v>
      </c>
      <c r="G138" s="2">
        <v>15</v>
      </c>
      <c r="H138" s="2">
        <v>37</v>
      </c>
      <c r="I138" s="2">
        <v>54</v>
      </c>
      <c r="J138" s="2">
        <v>2</v>
      </c>
      <c r="K138" s="2">
        <v>0</v>
      </c>
      <c r="L13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8" t="str">
        <f>IF(Table1[[#This Row],[Experience Years]]&lt;=2,"Entry Level",IF(Table1[[#This Row],[Experience Years]]&lt;=7,"Mid Level",IF(Table1[[#This Row],[Experience Years]]&lt;=15,"Senior Level")))</f>
        <v>Senior Level</v>
      </c>
      <c r="N138" s="1">
        <f>AVERAGE(Table1[[#This Row],[Interview Score]:[Personality Score]])</f>
        <v>35.333333333333336</v>
      </c>
      <c r="O1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8" s="2" t="str">
        <f t="shared" si="2"/>
        <v>20-30</v>
      </c>
    </row>
    <row r="139" spans="1:16" x14ac:dyDescent="0.25">
      <c r="A139">
        <v>43</v>
      </c>
      <c r="B139" s="2">
        <v>1</v>
      </c>
      <c r="C139" s="2">
        <v>2</v>
      </c>
      <c r="D139" s="2">
        <v>15</v>
      </c>
      <c r="E139" s="2">
        <v>3</v>
      </c>
      <c r="F139" s="1">
        <v>6.1183542290000004</v>
      </c>
      <c r="G139" s="2">
        <v>15</v>
      </c>
      <c r="H139" s="2">
        <v>97</v>
      </c>
      <c r="I139" s="2">
        <v>12</v>
      </c>
      <c r="J139" s="2">
        <v>3</v>
      </c>
      <c r="K139" s="2">
        <v>0</v>
      </c>
      <c r="L13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9" t="str">
        <f>IF(Table1[[#This Row],[Experience Years]]&lt;=2,"Entry Level",IF(Table1[[#This Row],[Experience Years]]&lt;=7,"Mid Level",IF(Table1[[#This Row],[Experience Years]]&lt;=15,"Senior Level")))</f>
        <v>Senior Level</v>
      </c>
      <c r="N139" s="1">
        <f>AVERAGE(Table1[[#This Row],[Interview Score]:[Personality Score]])</f>
        <v>41.333333333333336</v>
      </c>
      <c r="O1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9" s="2" t="str">
        <f t="shared" si="2"/>
        <v>0-10</v>
      </c>
    </row>
    <row r="140" spans="1:16" x14ac:dyDescent="0.25">
      <c r="A140">
        <v>20</v>
      </c>
      <c r="B140" s="2">
        <v>1</v>
      </c>
      <c r="C140" s="2">
        <v>2</v>
      </c>
      <c r="D140" s="2">
        <v>5</v>
      </c>
      <c r="E140" s="2">
        <v>5</v>
      </c>
      <c r="F140" s="1">
        <v>38.58853938</v>
      </c>
      <c r="G140" s="2">
        <v>83</v>
      </c>
      <c r="H140" s="2">
        <v>25</v>
      </c>
      <c r="I140" s="2">
        <v>72</v>
      </c>
      <c r="J140" s="2">
        <v>2</v>
      </c>
      <c r="K140" s="2">
        <v>0</v>
      </c>
      <c r="L14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0" t="str">
        <f>IF(Table1[[#This Row],[Experience Years]]&lt;=2,"Entry Level",IF(Table1[[#This Row],[Experience Years]]&lt;=7,"Mid Level",IF(Table1[[#This Row],[Experience Years]]&lt;=15,"Senior Level")))</f>
        <v>Mid Level</v>
      </c>
      <c r="N140" s="1">
        <f>AVERAGE(Table1[[#This Row],[Interview Score]:[Personality Score]])</f>
        <v>60</v>
      </c>
      <c r="O1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0" s="2" t="str">
        <f t="shared" si="2"/>
        <v>30-40</v>
      </c>
    </row>
    <row r="141" spans="1:16" x14ac:dyDescent="0.25">
      <c r="A141">
        <v>31</v>
      </c>
      <c r="B141" s="2">
        <v>1</v>
      </c>
      <c r="C141" s="2">
        <v>2</v>
      </c>
      <c r="D141" s="2">
        <v>15</v>
      </c>
      <c r="E141" s="2">
        <v>5</v>
      </c>
      <c r="F141" s="1">
        <v>46.311675970000003</v>
      </c>
      <c r="G141" s="2">
        <v>28</v>
      </c>
      <c r="H141" s="2">
        <v>0</v>
      </c>
      <c r="I141" s="2">
        <v>55</v>
      </c>
      <c r="J141" s="2">
        <v>3</v>
      </c>
      <c r="K141" s="2">
        <v>0</v>
      </c>
      <c r="L14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1" t="str">
        <f>IF(Table1[[#This Row],[Experience Years]]&lt;=2,"Entry Level",IF(Table1[[#This Row],[Experience Years]]&lt;=7,"Mid Level",IF(Table1[[#This Row],[Experience Years]]&lt;=15,"Senior Level")))</f>
        <v>Senior Level</v>
      </c>
      <c r="N141" s="1">
        <f>AVERAGE(Table1[[#This Row],[Interview Score]:[Personality Score]])</f>
        <v>27.666666666666668</v>
      </c>
      <c r="O1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1" s="2" t="str">
        <f t="shared" si="2"/>
        <v>40-50</v>
      </c>
    </row>
    <row r="142" spans="1:16" x14ac:dyDescent="0.25">
      <c r="A142">
        <v>27</v>
      </c>
      <c r="B142" s="2">
        <v>0</v>
      </c>
      <c r="C142" s="2">
        <v>2</v>
      </c>
      <c r="D142" s="2">
        <v>5</v>
      </c>
      <c r="E142" s="2">
        <v>2</v>
      </c>
      <c r="F142" s="1">
        <v>38.171758699999998</v>
      </c>
      <c r="G142" s="2">
        <v>91</v>
      </c>
      <c r="H142" s="2">
        <v>3</v>
      </c>
      <c r="I142" s="2">
        <v>55</v>
      </c>
      <c r="J142" s="2">
        <v>1</v>
      </c>
      <c r="K142" s="2">
        <v>0</v>
      </c>
      <c r="L14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2" s="2" t="str">
        <f>IF(Table1[[#This Row],[Experience Years]]&lt;=2,"Entry Level",IF(Table1[[#This Row],[Experience Years]]&lt;=7,"Mid Level",IF(Table1[[#This Row],[Experience Years]]&lt;=15,"Senior Level")))</f>
        <v>Mid Level</v>
      </c>
      <c r="N142" s="1">
        <f>AVERAGE(Table1[[#This Row],[Interview Score]:[Personality Score]])</f>
        <v>49.666666666666664</v>
      </c>
      <c r="O1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2" s="2" t="str">
        <f t="shared" si="2"/>
        <v>30-40</v>
      </c>
    </row>
    <row r="143" spans="1:16" x14ac:dyDescent="0.25">
      <c r="A143">
        <v>43</v>
      </c>
      <c r="B143" s="2">
        <v>0</v>
      </c>
      <c r="C143" s="2">
        <v>2</v>
      </c>
      <c r="D143" s="2">
        <v>0</v>
      </c>
      <c r="E143" s="2">
        <v>5</v>
      </c>
      <c r="F143" s="1">
        <v>27.641351870000001</v>
      </c>
      <c r="G143" s="2">
        <v>7</v>
      </c>
      <c r="H143" s="2">
        <v>38</v>
      </c>
      <c r="I143" s="2">
        <v>14</v>
      </c>
      <c r="J143" s="2">
        <v>2</v>
      </c>
      <c r="K143" s="2">
        <v>0</v>
      </c>
      <c r="L14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3" s="2" t="str">
        <f>IF(Table1[[#This Row],[Experience Years]]&lt;=2,"Entry Level",IF(Table1[[#This Row],[Experience Years]]&lt;=7,"Mid Level",IF(Table1[[#This Row],[Experience Years]]&lt;=15,"Senior Level")))</f>
        <v>Entry Level</v>
      </c>
      <c r="N143" s="1">
        <f>AVERAGE(Table1[[#This Row],[Interview Score]:[Personality Score]])</f>
        <v>19.666666666666668</v>
      </c>
      <c r="O1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3" s="2" t="str">
        <f t="shared" si="2"/>
        <v>20-30</v>
      </c>
    </row>
    <row r="144" spans="1:16" x14ac:dyDescent="0.25">
      <c r="A144">
        <v>50</v>
      </c>
      <c r="B144" s="2">
        <v>1</v>
      </c>
      <c r="C144" s="2">
        <v>2</v>
      </c>
      <c r="D144" s="2">
        <v>9</v>
      </c>
      <c r="E144" s="2">
        <v>4</v>
      </c>
      <c r="F144" s="1">
        <v>44.033391090000002</v>
      </c>
      <c r="G144" s="2">
        <v>87</v>
      </c>
      <c r="H144" s="2">
        <v>53</v>
      </c>
      <c r="I144" s="2">
        <v>56</v>
      </c>
      <c r="J144" s="2">
        <v>2</v>
      </c>
      <c r="K144" s="2">
        <v>0</v>
      </c>
      <c r="L14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4" t="str">
        <f>IF(Table1[[#This Row],[Experience Years]]&lt;=2,"Entry Level",IF(Table1[[#This Row],[Experience Years]]&lt;=7,"Mid Level",IF(Table1[[#This Row],[Experience Years]]&lt;=15,"Senior Level")))</f>
        <v>Senior Level</v>
      </c>
      <c r="N144" s="1">
        <f>AVERAGE(Table1[[#This Row],[Interview Score]:[Personality Score]])</f>
        <v>65.333333333333329</v>
      </c>
      <c r="O1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4" s="2" t="str">
        <f t="shared" si="2"/>
        <v>40-50</v>
      </c>
    </row>
    <row r="145" spans="1:16" x14ac:dyDescent="0.25">
      <c r="A145">
        <v>30</v>
      </c>
      <c r="B145" s="2">
        <v>0</v>
      </c>
      <c r="C145" s="2">
        <v>2</v>
      </c>
      <c r="D145" s="2">
        <v>1</v>
      </c>
      <c r="E145" s="2">
        <v>4</v>
      </c>
      <c r="F145" s="1">
        <v>35.74591899</v>
      </c>
      <c r="G145" s="2">
        <v>2</v>
      </c>
      <c r="H145" s="2">
        <v>89</v>
      </c>
      <c r="I145" s="2">
        <v>57</v>
      </c>
      <c r="J145" s="2">
        <v>2</v>
      </c>
      <c r="K145" s="2">
        <v>0</v>
      </c>
      <c r="L14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5" s="2" t="str">
        <f>IF(Table1[[#This Row],[Experience Years]]&lt;=2,"Entry Level",IF(Table1[[#This Row],[Experience Years]]&lt;=7,"Mid Level",IF(Table1[[#This Row],[Experience Years]]&lt;=15,"Senior Level")))</f>
        <v>Entry Level</v>
      </c>
      <c r="N145" s="1">
        <f>AVERAGE(Table1[[#This Row],[Interview Score]:[Personality Score]])</f>
        <v>49.333333333333336</v>
      </c>
      <c r="O1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5" s="2" t="str">
        <f t="shared" si="2"/>
        <v>30-40</v>
      </c>
    </row>
    <row r="146" spans="1:16" x14ac:dyDescent="0.25">
      <c r="A146">
        <v>38</v>
      </c>
      <c r="B146" s="2">
        <v>0</v>
      </c>
      <c r="C146" s="2">
        <v>2</v>
      </c>
      <c r="D146" s="2">
        <v>10</v>
      </c>
      <c r="E146" s="2">
        <v>5</v>
      </c>
      <c r="F146" s="1">
        <v>1.5275561230000001</v>
      </c>
      <c r="G146" s="2">
        <v>88</v>
      </c>
      <c r="H146" s="2">
        <v>32</v>
      </c>
      <c r="I146" s="2">
        <v>34</v>
      </c>
      <c r="J146" s="2">
        <v>2</v>
      </c>
      <c r="K146" s="2">
        <v>0</v>
      </c>
      <c r="L14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6" s="2" t="str">
        <f>IF(Table1[[#This Row],[Experience Years]]&lt;=2,"Entry Level",IF(Table1[[#This Row],[Experience Years]]&lt;=7,"Mid Level",IF(Table1[[#This Row],[Experience Years]]&lt;=15,"Senior Level")))</f>
        <v>Senior Level</v>
      </c>
      <c r="N146" s="1">
        <f>AVERAGE(Table1[[#This Row],[Interview Score]:[Personality Score]])</f>
        <v>51.333333333333336</v>
      </c>
      <c r="O1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6" s="2" t="str">
        <f t="shared" si="2"/>
        <v>0-10</v>
      </c>
    </row>
    <row r="147" spans="1:16" x14ac:dyDescent="0.25">
      <c r="A147">
        <v>36</v>
      </c>
      <c r="B147" s="2">
        <v>0</v>
      </c>
      <c r="C147" s="2">
        <v>2</v>
      </c>
      <c r="D147" s="2">
        <v>5</v>
      </c>
      <c r="E147" s="2">
        <v>2</v>
      </c>
      <c r="F147" s="1">
        <v>20.704507639999999</v>
      </c>
      <c r="G147" s="2">
        <v>18</v>
      </c>
      <c r="H147" s="2">
        <v>32</v>
      </c>
      <c r="I147" s="2">
        <v>87</v>
      </c>
      <c r="J147" s="2">
        <v>1</v>
      </c>
      <c r="K147" s="2">
        <v>0</v>
      </c>
      <c r="L14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7" s="2" t="str">
        <f>IF(Table1[[#This Row],[Experience Years]]&lt;=2,"Entry Level",IF(Table1[[#This Row],[Experience Years]]&lt;=7,"Mid Level",IF(Table1[[#This Row],[Experience Years]]&lt;=15,"Senior Level")))</f>
        <v>Mid Level</v>
      </c>
      <c r="N147" s="1">
        <f>AVERAGE(Table1[[#This Row],[Interview Score]:[Personality Score]])</f>
        <v>45.666666666666664</v>
      </c>
      <c r="O1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7" s="2" t="str">
        <f t="shared" si="2"/>
        <v>20-30</v>
      </c>
    </row>
    <row r="148" spans="1:16" x14ac:dyDescent="0.25">
      <c r="A148">
        <v>27</v>
      </c>
      <c r="B148" s="2">
        <v>1</v>
      </c>
      <c r="C148" s="2">
        <v>3</v>
      </c>
      <c r="D148" s="2">
        <v>1</v>
      </c>
      <c r="E148" s="2">
        <v>2</v>
      </c>
      <c r="F148" s="1">
        <v>43.547594969999999</v>
      </c>
      <c r="G148" s="2">
        <v>96</v>
      </c>
      <c r="H148" s="2">
        <v>71</v>
      </c>
      <c r="I148" s="2">
        <v>96</v>
      </c>
      <c r="J148" s="2">
        <v>2</v>
      </c>
      <c r="K148" s="2">
        <v>1</v>
      </c>
      <c r="L14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8" t="str">
        <f>IF(Table1[[#This Row],[Experience Years]]&lt;=2,"Entry Level",IF(Table1[[#This Row],[Experience Years]]&lt;=7,"Mid Level",IF(Table1[[#This Row],[Experience Years]]&lt;=15,"Senior Level")))</f>
        <v>Entry Level</v>
      </c>
      <c r="N148" s="1">
        <f>AVERAGE(Table1[[#This Row],[Interview Score]:[Personality Score]])</f>
        <v>87.666666666666671</v>
      </c>
      <c r="O1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48" s="2" t="str">
        <f t="shared" si="2"/>
        <v>40-50</v>
      </c>
    </row>
    <row r="149" spans="1:16" x14ac:dyDescent="0.25">
      <c r="A149">
        <v>22</v>
      </c>
      <c r="B149" s="2">
        <v>0</v>
      </c>
      <c r="C149" s="2">
        <v>1</v>
      </c>
      <c r="D149" s="2">
        <v>2</v>
      </c>
      <c r="E149" s="2">
        <v>2</v>
      </c>
      <c r="F149" s="1">
        <v>18.2929429</v>
      </c>
      <c r="G149" s="2">
        <v>65</v>
      </c>
      <c r="H149" s="2">
        <v>19</v>
      </c>
      <c r="I149" s="2">
        <v>15</v>
      </c>
      <c r="J149" s="2">
        <v>2</v>
      </c>
      <c r="K149" s="2">
        <v>0</v>
      </c>
      <c r="L14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9" s="2" t="str">
        <f>IF(Table1[[#This Row],[Experience Years]]&lt;=2,"Entry Level",IF(Table1[[#This Row],[Experience Years]]&lt;=7,"Mid Level",IF(Table1[[#This Row],[Experience Years]]&lt;=15,"Senior Level")))</f>
        <v>Entry Level</v>
      </c>
      <c r="N149" s="1">
        <f>AVERAGE(Table1[[#This Row],[Interview Score]:[Personality Score]])</f>
        <v>33</v>
      </c>
      <c r="O1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9" s="2" t="str">
        <f t="shared" si="2"/>
        <v>10-20</v>
      </c>
    </row>
    <row r="150" spans="1:16" x14ac:dyDescent="0.25">
      <c r="A150">
        <v>22</v>
      </c>
      <c r="B150" s="2">
        <v>1</v>
      </c>
      <c r="C150" s="2">
        <v>2</v>
      </c>
      <c r="D150" s="2">
        <v>3</v>
      </c>
      <c r="E150" s="2">
        <v>1</v>
      </c>
      <c r="F150" s="1">
        <v>2.760758676</v>
      </c>
      <c r="G150" s="2">
        <v>78</v>
      </c>
      <c r="H150" s="2">
        <v>15</v>
      </c>
      <c r="I150" s="2">
        <v>7</v>
      </c>
      <c r="J150" s="2">
        <v>1</v>
      </c>
      <c r="K150" s="2">
        <v>0</v>
      </c>
      <c r="L15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50" t="str">
        <f>IF(Table1[[#This Row],[Experience Years]]&lt;=2,"Entry Level",IF(Table1[[#This Row],[Experience Years]]&lt;=7,"Mid Level",IF(Table1[[#This Row],[Experience Years]]&lt;=15,"Senior Level")))</f>
        <v>Mid Level</v>
      </c>
      <c r="N150" s="1">
        <f>AVERAGE(Table1[[#This Row],[Interview Score]:[Personality Score]])</f>
        <v>33.333333333333336</v>
      </c>
      <c r="O1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50" s="2" t="str">
        <f t="shared" si="2"/>
        <v>0-10</v>
      </c>
    </row>
    <row r="151" spans="1:16" x14ac:dyDescent="0.25">
      <c r="A151">
        <v>20</v>
      </c>
      <c r="B151" s="2">
        <v>0</v>
      </c>
      <c r="C151" s="2">
        <v>3</v>
      </c>
      <c r="D151" s="2">
        <v>10</v>
      </c>
      <c r="E151" s="2">
        <v>5</v>
      </c>
      <c r="F151" s="1">
        <v>38.308981930000002</v>
      </c>
      <c r="G151" s="2">
        <v>85</v>
      </c>
      <c r="H151" s="2">
        <v>20</v>
      </c>
      <c r="I151" s="2">
        <v>92</v>
      </c>
      <c r="J151" s="2">
        <v>3</v>
      </c>
      <c r="K151" s="2">
        <v>1</v>
      </c>
      <c r="L15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51" s="2" t="str">
        <f>IF(Table1[[#This Row],[Experience Years]]&lt;=2,"Entry Level",IF(Table1[[#This Row],[Experience Years]]&lt;=7,"Mid Level",IF(Table1[[#This Row],[Experience Years]]&lt;=15,"Senior Level")))</f>
        <v>Senior Level</v>
      </c>
      <c r="N151" s="1">
        <f>AVERAGE(Table1[[#This Row],[Interview Score]:[Personality Score]])</f>
        <v>65.666666666666671</v>
      </c>
      <c r="O1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51" s="2" t="str">
        <f t="shared" si="2"/>
        <v>30-40</v>
      </c>
    </row>
    <row r="152" spans="1:16" x14ac:dyDescent="0.25">
      <c r="A152">
        <v>46</v>
      </c>
      <c r="B152" s="2">
        <v>0</v>
      </c>
      <c r="C152" s="2">
        <v>2</v>
      </c>
      <c r="D152" s="2">
        <v>4</v>
      </c>
      <c r="E152" s="2">
        <v>2</v>
      </c>
      <c r="F152" s="1">
        <v>41.101913510000003</v>
      </c>
      <c r="G152" s="2">
        <v>73</v>
      </c>
      <c r="H152" s="2">
        <v>44</v>
      </c>
      <c r="I152" s="2">
        <v>86</v>
      </c>
      <c r="J152" s="2">
        <v>2</v>
      </c>
      <c r="K152" s="2">
        <v>0</v>
      </c>
      <c r="L15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52" s="2" t="str">
        <f>IF(Table1[[#This Row],[Experience Years]]&lt;=2,"Entry Level",IF(Table1[[#This Row],[Experience Years]]&lt;=7,"Mid Level",IF(Table1[[#This Row],[Experience Years]]&lt;=15,"Senior Level")))</f>
        <v>Mid Level</v>
      </c>
      <c r="N152" s="1">
        <f>AVERAGE(Table1[[#This Row],[Interview Score]:[Personality Score]])</f>
        <v>67.666666666666671</v>
      </c>
      <c r="O1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52" s="2" t="str">
        <f t="shared" si="2"/>
        <v>40-50</v>
      </c>
    </row>
    <row r="153" spans="1:16" x14ac:dyDescent="0.25">
      <c r="A153">
        <v>24</v>
      </c>
      <c r="B153" s="2">
        <v>0</v>
      </c>
      <c r="C153" s="2">
        <v>1</v>
      </c>
      <c r="D153" s="2">
        <v>14</v>
      </c>
      <c r="E153" s="2">
        <v>4</v>
      </c>
      <c r="F153" s="1">
        <v>9.0296847519999996</v>
      </c>
      <c r="G153" s="2">
        <v>81</v>
      </c>
      <c r="H153" s="2">
        <v>89</v>
      </c>
      <c r="I153" s="2">
        <v>44</v>
      </c>
      <c r="J153" s="2">
        <v>2</v>
      </c>
      <c r="K153" s="2">
        <v>0</v>
      </c>
      <c r="L15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53" s="2" t="str">
        <f>IF(Table1[[#This Row],[Experience Years]]&lt;=2,"Entry Level",IF(Table1[[#This Row],[Experience Years]]&lt;=7,"Mid Level",IF(Table1[[#This Row],[Experience Years]]&lt;=15,"Senior Level")))</f>
        <v>Senior Level</v>
      </c>
      <c r="N153" s="1">
        <f>AVERAGE(Table1[[#This Row],[Interview Score]:[Personality Score]])</f>
        <v>71.333333333333329</v>
      </c>
      <c r="O1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53" s="2" t="str">
        <f t="shared" si="2"/>
        <v>0-10</v>
      </c>
    </row>
    <row r="154" spans="1:16" x14ac:dyDescent="0.25">
      <c r="A154">
        <v>29</v>
      </c>
      <c r="B154" s="2">
        <v>1</v>
      </c>
      <c r="C154" s="2">
        <v>1</v>
      </c>
      <c r="D154" s="2">
        <v>8</v>
      </c>
      <c r="E154" s="2">
        <v>3</v>
      </c>
      <c r="F154" s="1">
        <v>27.867024839999999</v>
      </c>
      <c r="G154" s="2">
        <v>21</v>
      </c>
      <c r="H154" s="2">
        <v>86</v>
      </c>
      <c r="I154" s="2">
        <v>94</v>
      </c>
      <c r="J154" s="2">
        <v>1</v>
      </c>
      <c r="K154" s="2">
        <v>1</v>
      </c>
      <c r="L15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54" t="str">
        <f>IF(Table1[[#This Row],[Experience Years]]&lt;=2,"Entry Level",IF(Table1[[#This Row],[Experience Years]]&lt;=7,"Mid Level",IF(Table1[[#This Row],[Experience Years]]&lt;=15,"Senior Level")))</f>
        <v>Senior Level</v>
      </c>
      <c r="N154" s="1">
        <f>AVERAGE(Table1[[#This Row],[Interview Score]:[Personality Score]])</f>
        <v>67</v>
      </c>
      <c r="O1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54" s="2" t="str">
        <f t="shared" si="2"/>
        <v>20-30</v>
      </c>
    </row>
    <row r="155" spans="1:16" x14ac:dyDescent="0.25">
      <c r="A155">
        <v>26</v>
      </c>
      <c r="B155" s="2">
        <v>0</v>
      </c>
      <c r="C155" s="2">
        <v>2</v>
      </c>
      <c r="D155" s="2">
        <v>11</v>
      </c>
      <c r="E155" s="2">
        <v>3</v>
      </c>
      <c r="F155" s="1">
        <v>10.59777195</v>
      </c>
      <c r="G155" s="2">
        <v>45</v>
      </c>
      <c r="H155" s="2">
        <v>81</v>
      </c>
      <c r="I155" s="2">
        <v>39</v>
      </c>
      <c r="J155" s="2">
        <v>1</v>
      </c>
      <c r="K155" s="2">
        <v>1</v>
      </c>
      <c r="L15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55" s="2" t="str">
        <f>IF(Table1[[#This Row],[Experience Years]]&lt;=2,"Entry Level",IF(Table1[[#This Row],[Experience Years]]&lt;=7,"Mid Level",IF(Table1[[#This Row],[Experience Years]]&lt;=15,"Senior Level")))</f>
        <v>Senior Level</v>
      </c>
      <c r="N155" s="1">
        <f>AVERAGE(Table1[[#This Row],[Interview Score]:[Personality Score]])</f>
        <v>55</v>
      </c>
      <c r="O1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55" s="2" t="str">
        <f t="shared" si="2"/>
        <v>10-20</v>
      </c>
    </row>
    <row r="156" spans="1:16" x14ac:dyDescent="0.25">
      <c r="A156">
        <v>45</v>
      </c>
      <c r="B156" s="2">
        <v>1</v>
      </c>
      <c r="C156" s="2">
        <v>4</v>
      </c>
      <c r="D156" s="2">
        <v>14</v>
      </c>
      <c r="E156" s="2">
        <v>2</v>
      </c>
      <c r="F156" s="1">
        <v>36.96172095</v>
      </c>
      <c r="G156" s="2">
        <v>90</v>
      </c>
      <c r="H156" s="2">
        <v>61</v>
      </c>
      <c r="I156" s="2">
        <v>53</v>
      </c>
      <c r="J156" s="2">
        <v>2</v>
      </c>
      <c r="K156" s="2">
        <v>1</v>
      </c>
      <c r="L15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56" t="str">
        <f>IF(Table1[[#This Row],[Experience Years]]&lt;=2,"Entry Level",IF(Table1[[#This Row],[Experience Years]]&lt;=7,"Mid Level",IF(Table1[[#This Row],[Experience Years]]&lt;=15,"Senior Level")))</f>
        <v>Senior Level</v>
      </c>
      <c r="N156" s="1">
        <f>AVERAGE(Table1[[#This Row],[Interview Score]:[Personality Score]])</f>
        <v>68</v>
      </c>
      <c r="O1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56" s="2" t="str">
        <f t="shared" si="2"/>
        <v>30-40</v>
      </c>
    </row>
    <row r="157" spans="1:16" x14ac:dyDescent="0.25">
      <c r="A157">
        <v>28</v>
      </c>
      <c r="B157" s="2">
        <v>1</v>
      </c>
      <c r="C157" s="2">
        <v>2</v>
      </c>
      <c r="D157" s="2">
        <v>14</v>
      </c>
      <c r="E157" s="2">
        <v>3</v>
      </c>
      <c r="F157" s="1">
        <v>14.577522760000001</v>
      </c>
      <c r="G157" s="2">
        <v>12</v>
      </c>
      <c r="H157" s="2">
        <v>30</v>
      </c>
      <c r="I157" s="2">
        <v>13</v>
      </c>
      <c r="J157" s="2">
        <v>2</v>
      </c>
      <c r="K157" s="2">
        <v>0</v>
      </c>
      <c r="L15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57" t="str">
        <f>IF(Table1[[#This Row],[Experience Years]]&lt;=2,"Entry Level",IF(Table1[[#This Row],[Experience Years]]&lt;=7,"Mid Level",IF(Table1[[#This Row],[Experience Years]]&lt;=15,"Senior Level")))</f>
        <v>Senior Level</v>
      </c>
      <c r="N157" s="1">
        <f>AVERAGE(Table1[[#This Row],[Interview Score]:[Personality Score]])</f>
        <v>18.333333333333332</v>
      </c>
      <c r="O1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57" s="2" t="str">
        <f t="shared" si="2"/>
        <v>10-20</v>
      </c>
    </row>
    <row r="158" spans="1:16" x14ac:dyDescent="0.25">
      <c r="A158">
        <v>47</v>
      </c>
      <c r="B158" s="2">
        <v>1</v>
      </c>
      <c r="C158" s="2">
        <v>4</v>
      </c>
      <c r="D158" s="2">
        <v>3</v>
      </c>
      <c r="E158" s="2">
        <v>3</v>
      </c>
      <c r="F158" s="1">
        <v>16.810756130000001</v>
      </c>
      <c r="G158" s="2">
        <v>32</v>
      </c>
      <c r="H158" s="2">
        <v>41</v>
      </c>
      <c r="I158" s="2">
        <v>58</v>
      </c>
      <c r="J158" s="2">
        <v>2</v>
      </c>
      <c r="K158" s="2">
        <v>0</v>
      </c>
      <c r="L15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58" t="str">
        <f>IF(Table1[[#This Row],[Experience Years]]&lt;=2,"Entry Level",IF(Table1[[#This Row],[Experience Years]]&lt;=7,"Mid Level",IF(Table1[[#This Row],[Experience Years]]&lt;=15,"Senior Level")))</f>
        <v>Mid Level</v>
      </c>
      <c r="N158" s="1">
        <f>AVERAGE(Table1[[#This Row],[Interview Score]:[Personality Score]])</f>
        <v>43.666666666666664</v>
      </c>
      <c r="O1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58" s="2" t="str">
        <f t="shared" si="2"/>
        <v>10-20</v>
      </c>
    </row>
    <row r="159" spans="1:16" x14ac:dyDescent="0.25">
      <c r="A159">
        <v>26</v>
      </c>
      <c r="B159" s="2">
        <v>0</v>
      </c>
      <c r="C159" s="2">
        <v>2</v>
      </c>
      <c r="D159" s="2">
        <v>12</v>
      </c>
      <c r="E159" s="2">
        <v>1</v>
      </c>
      <c r="F159" s="1">
        <v>43.24854268</v>
      </c>
      <c r="G159" s="2">
        <v>4</v>
      </c>
      <c r="H159" s="2">
        <v>11</v>
      </c>
      <c r="I159" s="2">
        <v>93</v>
      </c>
      <c r="J159" s="2">
        <v>2</v>
      </c>
      <c r="K159" s="2">
        <v>0</v>
      </c>
      <c r="L15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59" s="2" t="str">
        <f>IF(Table1[[#This Row],[Experience Years]]&lt;=2,"Entry Level",IF(Table1[[#This Row],[Experience Years]]&lt;=7,"Mid Level",IF(Table1[[#This Row],[Experience Years]]&lt;=15,"Senior Level")))</f>
        <v>Senior Level</v>
      </c>
      <c r="N159" s="1">
        <f>AVERAGE(Table1[[#This Row],[Interview Score]:[Personality Score]])</f>
        <v>36</v>
      </c>
      <c r="O1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59" s="2" t="str">
        <f t="shared" si="2"/>
        <v>40-50</v>
      </c>
    </row>
    <row r="160" spans="1:16" x14ac:dyDescent="0.25">
      <c r="A160">
        <v>28</v>
      </c>
      <c r="B160" s="2">
        <v>0</v>
      </c>
      <c r="C160" s="2">
        <v>2</v>
      </c>
      <c r="D160" s="2">
        <v>10</v>
      </c>
      <c r="E160" s="2">
        <v>4</v>
      </c>
      <c r="F160" s="1">
        <v>24.816117609999999</v>
      </c>
      <c r="G160" s="2">
        <v>89</v>
      </c>
      <c r="H160" s="2">
        <v>64</v>
      </c>
      <c r="I160" s="2">
        <v>52</v>
      </c>
      <c r="J160" s="2">
        <v>1</v>
      </c>
      <c r="K160" s="2">
        <v>1</v>
      </c>
      <c r="L16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60" s="2" t="str">
        <f>IF(Table1[[#This Row],[Experience Years]]&lt;=2,"Entry Level",IF(Table1[[#This Row],[Experience Years]]&lt;=7,"Mid Level",IF(Table1[[#This Row],[Experience Years]]&lt;=15,"Senior Level")))</f>
        <v>Senior Level</v>
      </c>
      <c r="N160" s="1">
        <f>AVERAGE(Table1[[#This Row],[Interview Score]:[Personality Score]])</f>
        <v>68.333333333333329</v>
      </c>
      <c r="O1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60" s="2" t="str">
        <f t="shared" si="2"/>
        <v>20-30</v>
      </c>
    </row>
    <row r="161" spans="1:16" x14ac:dyDescent="0.25">
      <c r="A161">
        <v>27</v>
      </c>
      <c r="B161" s="2">
        <v>0</v>
      </c>
      <c r="C161" s="2">
        <v>2</v>
      </c>
      <c r="D161" s="2">
        <v>8</v>
      </c>
      <c r="E161" s="2">
        <v>4</v>
      </c>
      <c r="F161" s="1">
        <v>34.487722560000002</v>
      </c>
      <c r="G161" s="2">
        <v>76</v>
      </c>
      <c r="H161" s="2">
        <v>72</v>
      </c>
      <c r="I161" s="2">
        <v>26</v>
      </c>
      <c r="J161" s="2">
        <v>2</v>
      </c>
      <c r="K161" s="2">
        <v>0</v>
      </c>
      <c r="L16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61" s="2" t="str">
        <f>IF(Table1[[#This Row],[Experience Years]]&lt;=2,"Entry Level",IF(Table1[[#This Row],[Experience Years]]&lt;=7,"Mid Level",IF(Table1[[#This Row],[Experience Years]]&lt;=15,"Senior Level")))</f>
        <v>Senior Level</v>
      </c>
      <c r="N161" s="1">
        <f>AVERAGE(Table1[[#This Row],[Interview Score]:[Personality Score]])</f>
        <v>58</v>
      </c>
      <c r="O1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61" s="2" t="str">
        <f t="shared" si="2"/>
        <v>30-40</v>
      </c>
    </row>
    <row r="162" spans="1:16" x14ac:dyDescent="0.25">
      <c r="A162">
        <v>31</v>
      </c>
      <c r="B162" s="2">
        <v>0</v>
      </c>
      <c r="C162" s="2">
        <v>2</v>
      </c>
      <c r="D162" s="2">
        <v>10</v>
      </c>
      <c r="E162" s="2">
        <v>1</v>
      </c>
      <c r="F162" s="1">
        <v>21.118652539999999</v>
      </c>
      <c r="G162" s="2">
        <v>26</v>
      </c>
      <c r="H162" s="2">
        <v>2</v>
      </c>
      <c r="I162" s="2">
        <v>46</v>
      </c>
      <c r="J162" s="2">
        <v>2</v>
      </c>
      <c r="K162" s="2">
        <v>0</v>
      </c>
      <c r="L16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62" s="2" t="str">
        <f>IF(Table1[[#This Row],[Experience Years]]&lt;=2,"Entry Level",IF(Table1[[#This Row],[Experience Years]]&lt;=7,"Mid Level",IF(Table1[[#This Row],[Experience Years]]&lt;=15,"Senior Level")))</f>
        <v>Senior Level</v>
      </c>
      <c r="N162" s="1">
        <f>AVERAGE(Table1[[#This Row],[Interview Score]:[Personality Score]])</f>
        <v>24.666666666666668</v>
      </c>
      <c r="O1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62" s="2" t="str">
        <f t="shared" si="2"/>
        <v>20-30</v>
      </c>
    </row>
    <row r="163" spans="1:16" x14ac:dyDescent="0.25">
      <c r="A163">
        <v>21</v>
      </c>
      <c r="B163" s="2">
        <v>1</v>
      </c>
      <c r="C163" s="2">
        <v>1</v>
      </c>
      <c r="D163" s="2">
        <v>9</v>
      </c>
      <c r="E163" s="2">
        <v>1</v>
      </c>
      <c r="F163" s="1">
        <v>15.90034286</v>
      </c>
      <c r="G163" s="2">
        <v>77</v>
      </c>
      <c r="H163" s="2">
        <v>89</v>
      </c>
      <c r="I163" s="2">
        <v>79</v>
      </c>
      <c r="J163" s="2">
        <v>2</v>
      </c>
      <c r="K163" s="2">
        <v>1</v>
      </c>
      <c r="L16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63" t="str">
        <f>IF(Table1[[#This Row],[Experience Years]]&lt;=2,"Entry Level",IF(Table1[[#This Row],[Experience Years]]&lt;=7,"Mid Level",IF(Table1[[#This Row],[Experience Years]]&lt;=15,"Senior Level")))</f>
        <v>Senior Level</v>
      </c>
      <c r="N163" s="1">
        <f>AVERAGE(Table1[[#This Row],[Interview Score]:[Personality Score]])</f>
        <v>81.666666666666671</v>
      </c>
      <c r="O1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63" s="2" t="str">
        <f t="shared" si="2"/>
        <v>10-20</v>
      </c>
    </row>
    <row r="164" spans="1:16" x14ac:dyDescent="0.25">
      <c r="A164">
        <v>20</v>
      </c>
      <c r="B164" s="2">
        <v>1</v>
      </c>
      <c r="C164" s="2">
        <v>3</v>
      </c>
      <c r="D164" s="2">
        <v>2</v>
      </c>
      <c r="E164" s="2">
        <v>3</v>
      </c>
      <c r="F164" s="1">
        <v>32.273903019999999</v>
      </c>
      <c r="G164" s="2">
        <v>23</v>
      </c>
      <c r="H164" s="2">
        <v>8</v>
      </c>
      <c r="I164" s="2">
        <v>5</v>
      </c>
      <c r="J164" s="2">
        <v>1</v>
      </c>
      <c r="K164" s="2">
        <v>0</v>
      </c>
      <c r="L16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64" t="str">
        <f>IF(Table1[[#This Row],[Experience Years]]&lt;=2,"Entry Level",IF(Table1[[#This Row],[Experience Years]]&lt;=7,"Mid Level",IF(Table1[[#This Row],[Experience Years]]&lt;=15,"Senior Level")))</f>
        <v>Entry Level</v>
      </c>
      <c r="N164" s="1">
        <f>AVERAGE(Table1[[#This Row],[Interview Score]:[Personality Score]])</f>
        <v>12</v>
      </c>
      <c r="O1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64" s="2" t="str">
        <f t="shared" si="2"/>
        <v>30-40</v>
      </c>
    </row>
    <row r="165" spans="1:16" x14ac:dyDescent="0.25">
      <c r="A165">
        <v>35</v>
      </c>
      <c r="B165" s="2">
        <v>1</v>
      </c>
      <c r="C165" s="2">
        <v>3</v>
      </c>
      <c r="D165" s="2">
        <v>7</v>
      </c>
      <c r="E165" s="2">
        <v>5</v>
      </c>
      <c r="F165" s="1">
        <v>8.7428787040000007</v>
      </c>
      <c r="G165" s="2">
        <v>66</v>
      </c>
      <c r="H165" s="2">
        <v>50</v>
      </c>
      <c r="I165" s="2">
        <v>54</v>
      </c>
      <c r="J165" s="2">
        <v>1</v>
      </c>
      <c r="K165" s="2">
        <v>1</v>
      </c>
      <c r="L16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65" t="str">
        <f>IF(Table1[[#This Row],[Experience Years]]&lt;=2,"Entry Level",IF(Table1[[#This Row],[Experience Years]]&lt;=7,"Mid Level",IF(Table1[[#This Row],[Experience Years]]&lt;=15,"Senior Level")))</f>
        <v>Mid Level</v>
      </c>
      <c r="N165" s="1">
        <f>AVERAGE(Table1[[#This Row],[Interview Score]:[Personality Score]])</f>
        <v>56.666666666666664</v>
      </c>
      <c r="O1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65" s="2" t="str">
        <f t="shared" si="2"/>
        <v>0-10</v>
      </c>
    </row>
    <row r="166" spans="1:16" x14ac:dyDescent="0.25">
      <c r="A166">
        <v>42</v>
      </c>
      <c r="B166" s="2">
        <v>0</v>
      </c>
      <c r="C166" s="2">
        <v>2</v>
      </c>
      <c r="D166" s="2">
        <v>11</v>
      </c>
      <c r="E166" s="2">
        <v>3</v>
      </c>
      <c r="F166" s="1">
        <v>19.649991780000001</v>
      </c>
      <c r="G166" s="2">
        <v>62</v>
      </c>
      <c r="H166" s="2">
        <v>15</v>
      </c>
      <c r="I166" s="2">
        <v>96</v>
      </c>
      <c r="J166" s="2">
        <v>2</v>
      </c>
      <c r="K166" s="2">
        <v>0</v>
      </c>
      <c r="L16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66" s="2" t="str">
        <f>IF(Table1[[#This Row],[Experience Years]]&lt;=2,"Entry Level",IF(Table1[[#This Row],[Experience Years]]&lt;=7,"Mid Level",IF(Table1[[#This Row],[Experience Years]]&lt;=15,"Senior Level")))</f>
        <v>Senior Level</v>
      </c>
      <c r="N166" s="1">
        <f>AVERAGE(Table1[[#This Row],[Interview Score]:[Personality Score]])</f>
        <v>57.666666666666664</v>
      </c>
      <c r="O1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66" s="2" t="str">
        <f t="shared" si="2"/>
        <v>10-20</v>
      </c>
    </row>
    <row r="167" spans="1:16" x14ac:dyDescent="0.25">
      <c r="A167">
        <v>42</v>
      </c>
      <c r="B167" s="2">
        <v>1</v>
      </c>
      <c r="C167" s="2">
        <v>4</v>
      </c>
      <c r="D167" s="2">
        <v>0</v>
      </c>
      <c r="E167" s="2">
        <v>1</v>
      </c>
      <c r="F167" s="1">
        <v>11.45185187</v>
      </c>
      <c r="G167" s="2">
        <v>93</v>
      </c>
      <c r="H167" s="2">
        <v>87</v>
      </c>
      <c r="I167" s="2">
        <v>43</v>
      </c>
      <c r="J167" s="2">
        <v>1</v>
      </c>
      <c r="K167" s="2">
        <v>1</v>
      </c>
      <c r="L16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67" t="str">
        <f>IF(Table1[[#This Row],[Experience Years]]&lt;=2,"Entry Level",IF(Table1[[#This Row],[Experience Years]]&lt;=7,"Mid Level",IF(Table1[[#This Row],[Experience Years]]&lt;=15,"Senior Level")))</f>
        <v>Entry Level</v>
      </c>
      <c r="N167" s="1">
        <f>AVERAGE(Table1[[#This Row],[Interview Score]:[Personality Score]])</f>
        <v>74.333333333333329</v>
      </c>
      <c r="O1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67" s="2" t="str">
        <f t="shared" si="2"/>
        <v>10-20</v>
      </c>
    </row>
    <row r="168" spans="1:16" x14ac:dyDescent="0.25">
      <c r="A168">
        <v>49</v>
      </c>
      <c r="B168" s="2">
        <v>0</v>
      </c>
      <c r="C168" s="2">
        <v>3</v>
      </c>
      <c r="D168" s="2">
        <v>10</v>
      </c>
      <c r="E168" s="2">
        <v>4</v>
      </c>
      <c r="F168" s="1">
        <v>35.789748350000004</v>
      </c>
      <c r="G168" s="2">
        <v>98</v>
      </c>
      <c r="H168" s="2">
        <v>77</v>
      </c>
      <c r="I168" s="2">
        <v>17</v>
      </c>
      <c r="J168" s="2">
        <v>1</v>
      </c>
      <c r="K168" s="2">
        <v>1</v>
      </c>
      <c r="L16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68" s="2" t="str">
        <f>IF(Table1[[#This Row],[Experience Years]]&lt;=2,"Entry Level",IF(Table1[[#This Row],[Experience Years]]&lt;=7,"Mid Level",IF(Table1[[#This Row],[Experience Years]]&lt;=15,"Senior Level")))</f>
        <v>Senior Level</v>
      </c>
      <c r="N168" s="1">
        <f>AVERAGE(Table1[[#This Row],[Interview Score]:[Personality Score]])</f>
        <v>64</v>
      </c>
      <c r="O1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68" s="2" t="str">
        <f t="shared" si="2"/>
        <v>30-40</v>
      </c>
    </row>
    <row r="169" spans="1:16" x14ac:dyDescent="0.25">
      <c r="A169">
        <v>43</v>
      </c>
      <c r="B169" s="2">
        <v>1</v>
      </c>
      <c r="C169" s="2">
        <v>2</v>
      </c>
      <c r="D169" s="2">
        <v>8</v>
      </c>
      <c r="E169" s="2">
        <v>3</v>
      </c>
      <c r="F169" s="1">
        <v>48.210441920000001</v>
      </c>
      <c r="G169" s="2">
        <v>47</v>
      </c>
      <c r="H169" s="2">
        <v>2</v>
      </c>
      <c r="I169" s="2">
        <v>15</v>
      </c>
      <c r="J169" s="2">
        <v>1</v>
      </c>
      <c r="K169" s="2">
        <v>0</v>
      </c>
      <c r="L16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69" t="str">
        <f>IF(Table1[[#This Row],[Experience Years]]&lt;=2,"Entry Level",IF(Table1[[#This Row],[Experience Years]]&lt;=7,"Mid Level",IF(Table1[[#This Row],[Experience Years]]&lt;=15,"Senior Level")))</f>
        <v>Senior Level</v>
      </c>
      <c r="N169" s="1">
        <f>AVERAGE(Table1[[#This Row],[Interview Score]:[Personality Score]])</f>
        <v>21.333333333333332</v>
      </c>
      <c r="O1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69" s="2" t="str">
        <f t="shared" si="2"/>
        <v>40-50</v>
      </c>
    </row>
    <row r="170" spans="1:16" x14ac:dyDescent="0.25">
      <c r="A170">
        <v>24</v>
      </c>
      <c r="B170" s="2">
        <v>0</v>
      </c>
      <c r="C170" s="2">
        <v>1</v>
      </c>
      <c r="D170" s="2">
        <v>8</v>
      </c>
      <c r="E170" s="2">
        <v>5</v>
      </c>
      <c r="F170" s="1">
        <v>50.775548399999998</v>
      </c>
      <c r="G170" s="2">
        <v>62</v>
      </c>
      <c r="H170" s="2">
        <v>97</v>
      </c>
      <c r="I170" s="2">
        <v>11</v>
      </c>
      <c r="J170" s="2">
        <v>2</v>
      </c>
      <c r="K170" s="2">
        <v>0</v>
      </c>
      <c r="L17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70" s="2" t="str">
        <f>IF(Table1[[#This Row],[Experience Years]]&lt;=2,"Entry Level",IF(Table1[[#This Row],[Experience Years]]&lt;=7,"Mid Level",IF(Table1[[#This Row],[Experience Years]]&lt;=15,"Senior Level")))</f>
        <v>Senior Level</v>
      </c>
      <c r="N170" s="1">
        <f>AVERAGE(Table1[[#This Row],[Interview Score]:[Personality Score]])</f>
        <v>56.666666666666664</v>
      </c>
      <c r="O1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70" s="2" t="str">
        <f t="shared" si="2"/>
        <v>50+</v>
      </c>
    </row>
    <row r="171" spans="1:16" x14ac:dyDescent="0.25">
      <c r="A171">
        <v>22</v>
      </c>
      <c r="B171" s="2">
        <v>0</v>
      </c>
      <c r="C171" s="2">
        <v>2</v>
      </c>
      <c r="D171" s="2">
        <v>9</v>
      </c>
      <c r="E171" s="2">
        <v>3</v>
      </c>
      <c r="F171" s="1">
        <v>23.513840519999999</v>
      </c>
      <c r="G171" s="2">
        <v>77</v>
      </c>
      <c r="H171" s="2">
        <v>96</v>
      </c>
      <c r="I171" s="2">
        <v>19</v>
      </c>
      <c r="J171" s="2">
        <v>2</v>
      </c>
      <c r="K171" s="2">
        <v>0</v>
      </c>
      <c r="L17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71" s="2" t="str">
        <f>IF(Table1[[#This Row],[Experience Years]]&lt;=2,"Entry Level",IF(Table1[[#This Row],[Experience Years]]&lt;=7,"Mid Level",IF(Table1[[#This Row],[Experience Years]]&lt;=15,"Senior Level")))</f>
        <v>Senior Level</v>
      </c>
      <c r="N171" s="1">
        <f>AVERAGE(Table1[[#This Row],[Interview Score]:[Personality Score]])</f>
        <v>64</v>
      </c>
      <c r="O1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71" s="2" t="str">
        <f t="shared" si="2"/>
        <v>20-30</v>
      </c>
    </row>
    <row r="172" spans="1:16" x14ac:dyDescent="0.25">
      <c r="A172">
        <v>31</v>
      </c>
      <c r="B172" s="2">
        <v>1</v>
      </c>
      <c r="C172" s="2">
        <v>2</v>
      </c>
      <c r="D172" s="2">
        <v>1</v>
      </c>
      <c r="E172" s="2">
        <v>2</v>
      </c>
      <c r="F172" s="1">
        <v>13.626519480000001</v>
      </c>
      <c r="G172" s="2">
        <v>11</v>
      </c>
      <c r="H172" s="2">
        <v>23</v>
      </c>
      <c r="I172" s="2">
        <v>44</v>
      </c>
      <c r="J172" s="2">
        <v>2</v>
      </c>
      <c r="K172" s="2">
        <v>0</v>
      </c>
      <c r="L17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72" t="str">
        <f>IF(Table1[[#This Row],[Experience Years]]&lt;=2,"Entry Level",IF(Table1[[#This Row],[Experience Years]]&lt;=7,"Mid Level",IF(Table1[[#This Row],[Experience Years]]&lt;=15,"Senior Level")))</f>
        <v>Entry Level</v>
      </c>
      <c r="N172" s="1">
        <f>AVERAGE(Table1[[#This Row],[Interview Score]:[Personality Score]])</f>
        <v>26</v>
      </c>
      <c r="O1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72" s="2" t="str">
        <f t="shared" si="2"/>
        <v>10-20</v>
      </c>
    </row>
    <row r="173" spans="1:16" x14ac:dyDescent="0.25">
      <c r="A173">
        <v>27</v>
      </c>
      <c r="B173" s="2">
        <v>1</v>
      </c>
      <c r="C173" s="2">
        <v>2</v>
      </c>
      <c r="D173" s="2">
        <v>3</v>
      </c>
      <c r="E173" s="2">
        <v>3</v>
      </c>
      <c r="F173" s="1">
        <v>23.14146852</v>
      </c>
      <c r="G173" s="2">
        <v>27</v>
      </c>
      <c r="H173" s="2">
        <v>72</v>
      </c>
      <c r="I173" s="2">
        <v>63</v>
      </c>
      <c r="J173" s="2">
        <v>1</v>
      </c>
      <c r="K173" s="2">
        <v>1</v>
      </c>
      <c r="L17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73" t="str">
        <f>IF(Table1[[#This Row],[Experience Years]]&lt;=2,"Entry Level",IF(Table1[[#This Row],[Experience Years]]&lt;=7,"Mid Level",IF(Table1[[#This Row],[Experience Years]]&lt;=15,"Senior Level")))</f>
        <v>Mid Level</v>
      </c>
      <c r="N173" s="1">
        <f>AVERAGE(Table1[[#This Row],[Interview Score]:[Personality Score]])</f>
        <v>54</v>
      </c>
      <c r="O1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73" s="2" t="str">
        <f t="shared" si="2"/>
        <v>20-30</v>
      </c>
    </row>
    <row r="174" spans="1:16" x14ac:dyDescent="0.25">
      <c r="A174">
        <v>41</v>
      </c>
      <c r="B174" s="2">
        <v>1</v>
      </c>
      <c r="C174" s="2">
        <v>1</v>
      </c>
      <c r="D174" s="2">
        <v>12</v>
      </c>
      <c r="E174" s="2">
        <v>1</v>
      </c>
      <c r="F174" s="1">
        <v>43.363470499999998</v>
      </c>
      <c r="G174" s="2">
        <v>43</v>
      </c>
      <c r="H174" s="2">
        <v>12</v>
      </c>
      <c r="I174" s="2">
        <v>58</v>
      </c>
      <c r="J174" s="2">
        <v>2</v>
      </c>
      <c r="K174" s="2">
        <v>0</v>
      </c>
      <c r="L17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74" t="str">
        <f>IF(Table1[[#This Row],[Experience Years]]&lt;=2,"Entry Level",IF(Table1[[#This Row],[Experience Years]]&lt;=7,"Mid Level",IF(Table1[[#This Row],[Experience Years]]&lt;=15,"Senior Level")))</f>
        <v>Senior Level</v>
      </c>
      <c r="N174" s="1">
        <f>AVERAGE(Table1[[#This Row],[Interview Score]:[Personality Score]])</f>
        <v>37.666666666666664</v>
      </c>
      <c r="O1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74" s="2" t="str">
        <f t="shared" si="2"/>
        <v>40-50</v>
      </c>
    </row>
    <row r="175" spans="1:16" x14ac:dyDescent="0.25">
      <c r="A175">
        <v>46</v>
      </c>
      <c r="B175" s="2">
        <v>1</v>
      </c>
      <c r="C175" s="2">
        <v>3</v>
      </c>
      <c r="D175" s="2">
        <v>7</v>
      </c>
      <c r="E175" s="2">
        <v>4</v>
      </c>
      <c r="F175" s="1">
        <v>11.300283930000001</v>
      </c>
      <c r="G175" s="2">
        <v>92</v>
      </c>
      <c r="H175" s="2">
        <v>1</v>
      </c>
      <c r="I175" s="2">
        <v>92</v>
      </c>
      <c r="J175" s="2">
        <v>1</v>
      </c>
      <c r="K175" s="2">
        <v>1</v>
      </c>
      <c r="L17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75" t="str">
        <f>IF(Table1[[#This Row],[Experience Years]]&lt;=2,"Entry Level",IF(Table1[[#This Row],[Experience Years]]&lt;=7,"Mid Level",IF(Table1[[#This Row],[Experience Years]]&lt;=15,"Senior Level")))</f>
        <v>Mid Level</v>
      </c>
      <c r="N175" s="1">
        <f>AVERAGE(Table1[[#This Row],[Interview Score]:[Personality Score]])</f>
        <v>61.666666666666664</v>
      </c>
      <c r="O1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75" s="2" t="str">
        <f t="shared" si="2"/>
        <v>10-20</v>
      </c>
    </row>
    <row r="176" spans="1:16" x14ac:dyDescent="0.25">
      <c r="A176">
        <v>22</v>
      </c>
      <c r="B176" s="2">
        <v>0</v>
      </c>
      <c r="C176" s="2">
        <v>1</v>
      </c>
      <c r="D176" s="2">
        <v>6</v>
      </c>
      <c r="E176" s="2">
        <v>4</v>
      </c>
      <c r="F176" s="1">
        <v>48.604782579999998</v>
      </c>
      <c r="G176" s="2">
        <v>42</v>
      </c>
      <c r="H176" s="2">
        <v>70</v>
      </c>
      <c r="I176" s="2">
        <v>93</v>
      </c>
      <c r="J176" s="2">
        <v>3</v>
      </c>
      <c r="K176" s="2">
        <v>0</v>
      </c>
      <c r="L17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76" s="2" t="str">
        <f>IF(Table1[[#This Row],[Experience Years]]&lt;=2,"Entry Level",IF(Table1[[#This Row],[Experience Years]]&lt;=7,"Mid Level",IF(Table1[[#This Row],[Experience Years]]&lt;=15,"Senior Level")))</f>
        <v>Mid Level</v>
      </c>
      <c r="N176" s="1">
        <f>AVERAGE(Table1[[#This Row],[Interview Score]:[Personality Score]])</f>
        <v>68.333333333333329</v>
      </c>
      <c r="O1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76" s="2" t="str">
        <f t="shared" si="2"/>
        <v>40-50</v>
      </c>
    </row>
    <row r="177" spans="1:16" x14ac:dyDescent="0.25">
      <c r="A177">
        <v>20</v>
      </c>
      <c r="B177" s="2">
        <v>1</v>
      </c>
      <c r="C177" s="2">
        <v>2</v>
      </c>
      <c r="D177" s="2">
        <v>0</v>
      </c>
      <c r="E177" s="2">
        <v>1</v>
      </c>
      <c r="F177" s="1">
        <v>18.093288439999998</v>
      </c>
      <c r="G177" s="2">
        <v>16</v>
      </c>
      <c r="H177" s="2">
        <v>20</v>
      </c>
      <c r="I177" s="2">
        <v>89</v>
      </c>
      <c r="J177" s="2">
        <v>2</v>
      </c>
      <c r="K177" s="2">
        <v>0</v>
      </c>
      <c r="L17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77" t="str">
        <f>IF(Table1[[#This Row],[Experience Years]]&lt;=2,"Entry Level",IF(Table1[[#This Row],[Experience Years]]&lt;=7,"Mid Level",IF(Table1[[#This Row],[Experience Years]]&lt;=15,"Senior Level")))</f>
        <v>Entry Level</v>
      </c>
      <c r="N177" s="1">
        <f>AVERAGE(Table1[[#This Row],[Interview Score]:[Personality Score]])</f>
        <v>41.666666666666664</v>
      </c>
      <c r="O1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77" s="2" t="str">
        <f t="shared" si="2"/>
        <v>10-20</v>
      </c>
    </row>
    <row r="178" spans="1:16" x14ac:dyDescent="0.25">
      <c r="A178">
        <v>22</v>
      </c>
      <c r="B178" s="2">
        <v>1</v>
      </c>
      <c r="C178" s="2">
        <v>4</v>
      </c>
      <c r="D178" s="2">
        <v>4</v>
      </c>
      <c r="E178" s="2">
        <v>2</v>
      </c>
      <c r="F178" s="1">
        <v>50.290182969999996</v>
      </c>
      <c r="G178" s="2">
        <v>39</v>
      </c>
      <c r="H178" s="2">
        <v>18</v>
      </c>
      <c r="I178" s="2">
        <v>21</v>
      </c>
      <c r="J178" s="2">
        <v>2</v>
      </c>
      <c r="K178" s="2">
        <v>0</v>
      </c>
      <c r="L17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78" t="str">
        <f>IF(Table1[[#This Row],[Experience Years]]&lt;=2,"Entry Level",IF(Table1[[#This Row],[Experience Years]]&lt;=7,"Mid Level",IF(Table1[[#This Row],[Experience Years]]&lt;=15,"Senior Level")))</f>
        <v>Mid Level</v>
      </c>
      <c r="N178" s="1">
        <f>AVERAGE(Table1[[#This Row],[Interview Score]:[Personality Score]])</f>
        <v>26</v>
      </c>
      <c r="O1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78" s="2" t="str">
        <f t="shared" si="2"/>
        <v>50+</v>
      </c>
    </row>
    <row r="179" spans="1:16" x14ac:dyDescent="0.25">
      <c r="A179">
        <v>24</v>
      </c>
      <c r="B179" s="2">
        <v>1</v>
      </c>
      <c r="C179" s="2">
        <v>3</v>
      </c>
      <c r="D179" s="2">
        <v>6</v>
      </c>
      <c r="E179" s="2">
        <v>1</v>
      </c>
      <c r="F179" s="1">
        <v>42.930444379999997</v>
      </c>
      <c r="G179" s="2">
        <v>48</v>
      </c>
      <c r="H179" s="2">
        <v>88</v>
      </c>
      <c r="I179" s="2">
        <v>96</v>
      </c>
      <c r="J179" s="2">
        <v>1</v>
      </c>
      <c r="K179" s="2">
        <v>1</v>
      </c>
      <c r="L17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79" t="str">
        <f>IF(Table1[[#This Row],[Experience Years]]&lt;=2,"Entry Level",IF(Table1[[#This Row],[Experience Years]]&lt;=7,"Mid Level",IF(Table1[[#This Row],[Experience Years]]&lt;=15,"Senior Level")))</f>
        <v>Mid Level</v>
      </c>
      <c r="N179" s="1">
        <f>AVERAGE(Table1[[#This Row],[Interview Score]:[Personality Score]])</f>
        <v>77.333333333333329</v>
      </c>
      <c r="O1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79" s="2" t="str">
        <f t="shared" si="2"/>
        <v>40-50</v>
      </c>
    </row>
    <row r="180" spans="1:16" x14ac:dyDescent="0.25">
      <c r="A180">
        <v>34</v>
      </c>
      <c r="B180" s="2">
        <v>0</v>
      </c>
      <c r="C180" s="2">
        <v>2</v>
      </c>
      <c r="D180" s="2">
        <v>14</v>
      </c>
      <c r="E180" s="2">
        <v>3</v>
      </c>
      <c r="F180" s="1">
        <v>41.42852671</v>
      </c>
      <c r="G180" s="2">
        <v>84</v>
      </c>
      <c r="H180" s="2">
        <v>46</v>
      </c>
      <c r="I180" s="2">
        <v>46</v>
      </c>
      <c r="J180" s="2">
        <v>1</v>
      </c>
      <c r="K180" s="2">
        <v>1</v>
      </c>
      <c r="L18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80" s="2" t="str">
        <f>IF(Table1[[#This Row],[Experience Years]]&lt;=2,"Entry Level",IF(Table1[[#This Row],[Experience Years]]&lt;=7,"Mid Level",IF(Table1[[#This Row],[Experience Years]]&lt;=15,"Senior Level")))</f>
        <v>Senior Level</v>
      </c>
      <c r="N180" s="1">
        <f>AVERAGE(Table1[[#This Row],[Interview Score]:[Personality Score]])</f>
        <v>58.666666666666664</v>
      </c>
      <c r="O1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80" s="2" t="str">
        <f t="shared" si="2"/>
        <v>40-50</v>
      </c>
    </row>
    <row r="181" spans="1:16" x14ac:dyDescent="0.25">
      <c r="A181">
        <v>33</v>
      </c>
      <c r="B181" s="2">
        <v>0</v>
      </c>
      <c r="C181" s="2">
        <v>3</v>
      </c>
      <c r="D181" s="2">
        <v>15</v>
      </c>
      <c r="E181" s="2">
        <v>1</v>
      </c>
      <c r="F181" s="1">
        <v>16.895233690000001</v>
      </c>
      <c r="G181" s="2">
        <v>56</v>
      </c>
      <c r="H181" s="2">
        <v>21</v>
      </c>
      <c r="I181" s="2">
        <v>28</v>
      </c>
      <c r="J181" s="2">
        <v>2</v>
      </c>
      <c r="K181" s="2">
        <v>0</v>
      </c>
      <c r="L18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81" s="2" t="str">
        <f>IF(Table1[[#This Row],[Experience Years]]&lt;=2,"Entry Level",IF(Table1[[#This Row],[Experience Years]]&lt;=7,"Mid Level",IF(Table1[[#This Row],[Experience Years]]&lt;=15,"Senior Level")))</f>
        <v>Senior Level</v>
      </c>
      <c r="N181" s="1">
        <f>AVERAGE(Table1[[#This Row],[Interview Score]:[Personality Score]])</f>
        <v>35</v>
      </c>
      <c r="O1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81" s="2" t="str">
        <f t="shared" si="2"/>
        <v>10-20</v>
      </c>
    </row>
    <row r="182" spans="1:16" x14ac:dyDescent="0.25">
      <c r="A182">
        <v>22</v>
      </c>
      <c r="B182" s="2">
        <v>1</v>
      </c>
      <c r="C182" s="2">
        <v>1</v>
      </c>
      <c r="D182" s="2">
        <v>3</v>
      </c>
      <c r="E182" s="2">
        <v>1</v>
      </c>
      <c r="F182" s="1">
        <v>1.4388605969999999</v>
      </c>
      <c r="G182" s="2">
        <v>86</v>
      </c>
      <c r="H182" s="2">
        <v>74</v>
      </c>
      <c r="I182" s="2">
        <v>85</v>
      </c>
      <c r="J182" s="2">
        <v>2</v>
      </c>
      <c r="K182" s="2">
        <v>0</v>
      </c>
      <c r="L18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82" t="str">
        <f>IF(Table1[[#This Row],[Experience Years]]&lt;=2,"Entry Level",IF(Table1[[#This Row],[Experience Years]]&lt;=7,"Mid Level",IF(Table1[[#This Row],[Experience Years]]&lt;=15,"Senior Level")))</f>
        <v>Mid Level</v>
      </c>
      <c r="N182" s="1">
        <f>AVERAGE(Table1[[#This Row],[Interview Score]:[Personality Score]])</f>
        <v>81.666666666666671</v>
      </c>
      <c r="O1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82" s="2" t="str">
        <f t="shared" si="2"/>
        <v>0-10</v>
      </c>
    </row>
    <row r="183" spans="1:16" x14ac:dyDescent="0.25">
      <c r="A183">
        <v>20</v>
      </c>
      <c r="B183" s="2">
        <v>0</v>
      </c>
      <c r="C183" s="2">
        <v>1</v>
      </c>
      <c r="D183" s="2">
        <v>14</v>
      </c>
      <c r="E183" s="2">
        <v>2</v>
      </c>
      <c r="F183" s="1">
        <v>20.106645440000001</v>
      </c>
      <c r="G183" s="2">
        <v>83</v>
      </c>
      <c r="H183" s="2">
        <v>32</v>
      </c>
      <c r="I183" s="2">
        <v>44</v>
      </c>
      <c r="J183" s="2">
        <v>1</v>
      </c>
      <c r="K183" s="2">
        <v>1</v>
      </c>
      <c r="L18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83" s="2" t="str">
        <f>IF(Table1[[#This Row],[Experience Years]]&lt;=2,"Entry Level",IF(Table1[[#This Row],[Experience Years]]&lt;=7,"Mid Level",IF(Table1[[#This Row],[Experience Years]]&lt;=15,"Senior Level")))</f>
        <v>Senior Level</v>
      </c>
      <c r="N183" s="1">
        <f>AVERAGE(Table1[[#This Row],[Interview Score]:[Personality Score]])</f>
        <v>53</v>
      </c>
      <c r="O1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83" s="2" t="str">
        <f t="shared" si="2"/>
        <v>20-30</v>
      </c>
    </row>
    <row r="184" spans="1:16" x14ac:dyDescent="0.25">
      <c r="A184">
        <v>24</v>
      </c>
      <c r="B184" s="2">
        <v>1</v>
      </c>
      <c r="C184" s="2">
        <v>2</v>
      </c>
      <c r="D184" s="2">
        <v>15</v>
      </c>
      <c r="E184" s="2">
        <v>3</v>
      </c>
      <c r="F184" s="1">
        <v>16.090468479999998</v>
      </c>
      <c r="G184" s="2">
        <v>63</v>
      </c>
      <c r="H184" s="2">
        <v>31</v>
      </c>
      <c r="I184" s="2">
        <v>76</v>
      </c>
      <c r="J184" s="2">
        <v>3</v>
      </c>
      <c r="K184" s="2">
        <v>0</v>
      </c>
      <c r="L18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84" t="str">
        <f>IF(Table1[[#This Row],[Experience Years]]&lt;=2,"Entry Level",IF(Table1[[#This Row],[Experience Years]]&lt;=7,"Mid Level",IF(Table1[[#This Row],[Experience Years]]&lt;=15,"Senior Level")))</f>
        <v>Senior Level</v>
      </c>
      <c r="N184" s="1">
        <f>AVERAGE(Table1[[#This Row],[Interview Score]:[Personality Score]])</f>
        <v>56.666666666666664</v>
      </c>
      <c r="O1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84" s="2" t="str">
        <f t="shared" si="2"/>
        <v>10-20</v>
      </c>
    </row>
    <row r="185" spans="1:16" x14ac:dyDescent="0.25">
      <c r="A185">
        <v>45</v>
      </c>
      <c r="B185" s="2">
        <v>0</v>
      </c>
      <c r="C185" s="2">
        <v>2</v>
      </c>
      <c r="D185" s="2">
        <v>14</v>
      </c>
      <c r="E185" s="2">
        <v>5</v>
      </c>
      <c r="F185" s="1">
        <v>2.8698495199999998</v>
      </c>
      <c r="G185" s="2">
        <v>74</v>
      </c>
      <c r="H185" s="2">
        <v>63</v>
      </c>
      <c r="I185" s="2">
        <v>8</v>
      </c>
      <c r="J185" s="2">
        <v>3</v>
      </c>
      <c r="K185" s="2">
        <v>0</v>
      </c>
      <c r="L18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85" s="2" t="str">
        <f>IF(Table1[[#This Row],[Experience Years]]&lt;=2,"Entry Level",IF(Table1[[#This Row],[Experience Years]]&lt;=7,"Mid Level",IF(Table1[[#This Row],[Experience Years]]&lt;=15,"Senior Level")))</f>
        <v>Senior Level</v>
      </c>
      <c r="N185" s="1">
        <f>AVERAGE(Table1[[#This Row],[Interview Score]:[Personality Score]])</f>
        <v>48.333333333333336</v>
      </c>
      <c r="O1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85" s="2" t="str">
        <f t="shared" si="2"/>
        <v>0-10</v>
      </c>
    </row>
    <row r="186" spans="1:16" x14ac:dyDescent="0.25">
      <c r="A186">
        <v>42</v>
      </c>
      <c r="B186" s="2">
        <v>0</v>
      </c>
      <c r="C186" s="2">
        <v>2</v>
      </c>
      <c r="D186" s="2">
        <v>0</v>
      </c>
      <c r="E186" s="2">
        <v>5</v>
      </c>
      <c r="F186" s="1">
        <v>26.268262830000001</v>
      </c>
      <c r="G186" s="2">
        <v>56</v>
      </c>
      <c r="H186" s="2">
        <v>84</v>
      </c>
      <c r="I186" s="2">
        <v>23</v>
      </c>
      <c r="J186" s="2">
        <v>2</v>
      </c>
      <c r="K186" s="2">
        <v>0</v>
      </c>
      <c r="L18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86" s="2" t="str">
        <f>IF(Table1[[#This Row],[Experience Years]]&lt;=2,"Entry Level",IF(Table1[[#This Row],[Experience Years]]&lt;=7,"Mid Level",IF(Table1[[#This Row],[Experience Years]]&lt;=15,"Senior Level")))</f>
        <v>Entry Level</v>
      </c>
      <c r="N186" s="1">
        <f>AVERAGE(Table1[[#This Row],[Interview Score]:[Personality Score]])</f>
        <v>54.333333333333336</v>
      </c>
      <c r="O1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86" s="2" t="str">
        <f t="shared" si="2"/>
        <v>20-30</v>
      </c>
    </row>
    <row r="187" spans="1:16" x14ac:dyDescent="0.25">
      <c r="A187">
        <v>50</v>
      </c>
      <c r="B187" s="2">
        <v>0</v>
      </c>
      <c r="C187" s="2">
        <v>2</v>
      </c>
      <c r="D187" s="2">
        <v>8</v>
      </c>
      <c r="E187" s="2">
        <v>4</v>
      </c>
      <c r="F187" s="1">
        <v>21.151565560000002</v>
      </c>
      <c r="G187" s="2">
        <v>97</v>
      </c>
      <c r="H187" s="2">
        <v>38</v>
      </c>
      <c r="I187" s="2">
        <v>14</v>
      </c>
      <c r="J187" s="2">
        <v>3</v>
      </c>
      <c r="K187" s="2">
        <v>0</v>
      </c>
      <c r="L18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87" s="2" t="str">
        <f>IF(Table1[[#This Row],[Experience Years]]&lt;=2,"Entry Level",IF(Table1[[#This Row],[Experience Years]]&lt;=7,"Mid Level",IF(Table1[[#This Row],[Experience Years]]&lt;=15,"Senior Level")))</f>
        <v>Senior Level</v>
      </c>
      <c r="N187" s="1">
        <f>AVERAGE(Table1[[#This Row],[Interview Score]:[Personality Score]])</f>
        <v>49.666666666666664</v>
      </c>
      <c r="O1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87" s="2" t="str">
        <f t="shared" si="2"/>
        <v>20-30</v>
      </c>
    </row>
    <row r="188" spans="1:16" x14ac:dyDescent="0.25">
      <c r="A188">
        <v>33</v>
      </c>
      <c r="B188" s="2">
        <v>0</v>
      </c>
      <c r="C188" s="2">
        <v>1</v>
      </c>
      <c r="D188" s="2">
        <v>13</v>
      </c>
      <c r="E188" s="2">
        <v>1</v>
      </c>
      <c r="F188" s="1">
        <v>32.727823389999998</v>
      </c>
      <c r="G188" s="2">
        <v>73</v>
      </c>
      <c r="H188" s="2">
        <v>83</v>
      </c>
      <c r="I188" s="2">
        <v>35</v>
      </c>
      <c r="J188" s="2">
        <v>1</v>
      </c>
      <c r="K188" s="2">
        <v>1</v>
      </c>
      <c r="L18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88" s="2" t="str">
        <f>IF(Table1[[#This Row],[Experience Years]]&lt;=2,"Entry Level",IF(Table1[[#This Row],[Experience Years]]&lt;=7,"Mid Level",IF(Table1[[#This Row],[Experience Years]]&lt;=15,"Senior Level")))</f>
        <v>Senior Level</v>
      </c>
      <c r="N188" s="1">
        <f>AVERAGE(Table1[[#This Row],[Interview Score]:[Personality Score]])</f>
        <v>63.666666666666664</v>
      </c>
      <c r="O1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88" s="2" t="str">
        <f t="shared" si="2"/>
        <v>30-40</v>
      </c>
    </row>
    <row r="189" spans="1:16" x14ac:dyDescent="0.25">
      <c r="A189">
        <v>26</v>
      </c>
      <c r="B189" s="2">
        <v>1</v>
      </c>
      <c r="C189" s="2">
        <v>2</v>
      </c>
      <c r="D189" s="2">
        <v>4</v>
      </c>
      <c r="E189" s="2">
        <v>4</v>
      </c>
      <c r="F189" s="1">
        <v>32.059316109999997</v>
      </c>
      <c r="G189" s="2">
        <v>73</v>
      </c>
      <c r="H189" s="2">
        <v>71</v>
      </c>
      <c r="I189" s="2">
        <v>12</v>
      </c>
      <c r="J189" s="2">
        <v>1</v>
      </c>
      <c r="K189" s="2">
        <v>1</v>
      </c>
      <c r="L18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89" t="str">
        <f>IF(Table1[[#This Row],[Experience Years]]&lt;=2,"Entry Level",IF(Table1[[#This Row],[Experience Years]]&lt;=7,"Mid Level",IF(Table1[[#This Row],[Experience Years]]&lt;=15,"Senior Level")))</f>
        <v>Mid Level</v>
      </c>
      <c r="N189" s="1">
        <f>AVERAGE(Table1[[#This Row],[Interview Score]:[Personality Score]])</f>
        <v>52</v>
      </c>
      <c r="O1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89" s="2" t="str">
        <f t="shared" si="2"/>
        <v>30-40</v>
      </c>
    </row>
    <row r="190" spans="1:16" x14ac:dyDescent="0.25">
      <c r="A190">
        <v>46</v>
      </c>
      <c r="B190" s="2">
        <v>1</v>
      </c>
      <c r="C190" s="2">
        <v>2</v>
      </c>
      <c r="D190" s="2">
        <v>10</v>
      </c>
      <c r="E190" s="2">
        <v>2</v>
      </c>
      <c r="F190" s="1">
        <v>7.0373317950000001</v>
      </c>
      <c r="G190" s="2">
        <v>69</v>
      </c>
      <c r="H190" s="2">
        <v>41</v>
      </c>
      <c r="I190" s="2">
        <v>90</v>
      </c>
      <c r="J190" s="2">
        <v>1</v>
      </c>
      <c r="K190" s="2">
        <v>1</v>
      </c>
      <c r="L19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90" t="str">
        <f>IF(Table1[[#This Row],[Experience Years]]&lt;=2,"Entry Level",IF(Table1[[#This Row],[Experience Years]]&lt;=7,"Mid Level",IF(Table1[[#This Row],[Experience Years]]&lt;=15,"Senior Level")))</f>
        <v>Senior Level</v>
      </c>
      <c r="N190" s="1">
        <f>AVERAGE(Table1[[#This Row],[Interview Score]:[Personality Score]])</f>
        <v>66.666666666666671</v>
      </c>
      <c r="O1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90" s="2" t="str">
        <f t="shared" si="2"/>
        <v>0-10</v>
      </c>
    </row>
    <row r="191" spans="1:16" x14ac:dyDescent="0.25">
      <c r="A191">
        <v>28</v>
      </c>
      <c r="B191" s="2">
        <v>1</v>
      </c>
      <c r="C191" s="2">
        <v>3</v>
      </c>
      <c r="D191" s="2">
        <v>15</v>
      </c>
      <c r="E191" s="2">
        <v>5</v>
      </c>
      <c r="F191" s="1">
        <v>49.84827731</v>
      </c>
      <c r="G191" s="2">
        <v>99</v>
      </c>
      <c r="H191" s="2">
        <v>100</v>
      </c>
      <c r="I191" s="2">
        <v>43</v>
      </c>
      <c r="J191" s="2">
        <v>2</v>
      </c>
      <c r="K191" s="2">
        <v>1</v>
      </c>
      <c r="L19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91" t="str">
        <f>IF(Table1[[#This Row],[Experience Years]]&lt;=2,"Entry Level",IF(Table1[[#This Row],[Experience Years]]&lt;=7,"Mid Level",IF(Table1[[#This Row],[Experience Years]]&lt;=15,"Senior Level")))</f>
        <v>Senior Level</v>
      </c>
      <c r="N191" s="1">
        <f>AVERAGE(Table1[[#This Row],[Interview Score]:[Personality Score]])</f>
        <v>80.666666666666671</v>
      </c>
      <c r="O1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91" s="2" t="str">
        <f t="shared" si="2"/>
        <v>40-50</v>
      </c>
    </row>
    <row r="192" spans="1:16" x14ac:dyDescent="0.25">
      <c r="A192">
        <v>34</v>
      </c>
      <c r="B192" s="2">
        <v>0</v>
      </c>
      <c r="C192" s="2">
        <v>2</v>
      </c>
      <c r="D192" s="2">
        <v>1</v>
      </c>
      <c r="E192" s="2">
        <v>1</v>
      </c>
      <c r="F192" s="1">
        <v>10.346571470000001</v>
      </c>
      <c r="G192" s="2">
        <v>87</v>
      </c>
      <c r="H192" s="2">
        <v>8</v>
      </c>
      <c r="I192" s="2">
        <v>100</v>
      </c>
      <c r="J192" s="2">
        <v>1</v>
      </c>
      <c r="K192" s="2">
        <v>1</v>
      </c>
      <c r="L19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92" s="2" t="str">
        <f>IF(Table1[[#This Row],[Experience Years]]&lt;=2,"Entry Level",IF(Table1[[#This Row],[Experience Years]]&lt;=7,"Mid Level",IF(Table1[[#This Row],[Experience Years]]&lt;=15,"Senior Level")))</f>
        <v>Entry Level</v>
      </c>
      <c r="N192" s="1">
        <f>AVERAGE(Table1[[#This Row],[Interview Score]:[Personality Score]])</f>
        <v>65</v>
      </c>
      <c r="O1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92" s="2" t="str">
        <f t="shared" si="2"/>
        <v>10-20</v>
      </c>
    </row>
    <row r="193" spans="1:16" x14ac:dyDescent="0.25">
      <c r="A193">
        <v>34</v>
      </c>
      <c r="B193" s="2">
        <v>1</v>
      </c>
      <c r="C193" s="2">
        <v>2</v>
      </c>
      <c r="D193" s="2">
        <v>7</v>
      </c>
      <c r="E193" s="2">
        <v>2</v>
      </c>
      <c r="F193" s="1">
        <v>23.26370124</v>
      </c>
      <c r="G193" s="2">
        <v>75</v>
      </c>
      <c r="H193" s="2">
        <v>24</v>
      </c>
      <c r="I193" s="2">
        <v>70</v>
      </c>
      <c r="J193" s="2">
        <v>3</v>
      </c>
      <c r="K193" s="2">
        <v>0</v>
      </c>
      <c r="L19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93" t="str">
        <f>IF(Table1[[#This Row],[Experience Years]]&lt;=2,"Entry Level",IF(Table1[[#This Row],[Experience Years]]&lt;=7,"Mid Level",IF(Table1[[#This Row],[Experience Years]]&lt;=15,"Senior Level")))</f>
        <v>Mid Level</v>
      </c>
      <c r="N193" s="1">
        <f>AVERAGE(Table1[[#This Row],[Interview Score]:[Personality Score]])</f>
        <v>56.333333333333336</v>
      </c>
      <c r="O1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93" s="2" t="str">
        <f t="shared" si="2"/>
        <v>20-30</v>
      </c>
    </row>
    <row r="194" spans="1:16" x14ac:dyDescent="0.25">
      <c r="A194">
        <v>45</v>
      </c>
      <c r="B194" s="2">
        <v>1</v>
      </c>
      <c r="C194" s="2">
        <v>2</v>
      </c>
      <c r="D194" s="2">
        <v>10</v>
      </c>
      <c r="E194" s="2">
        <v>2</v>
      </c>
      <c r="F194" s="1">
        <v>25.40587717</v>
      </c>
      <c r="G194" s="2">
        <v>42</v>
      </c>
      <c r="H194" s="2">
        <v>88</v>
      </c>
      <c r="I194" s="2">
        <v>71</v>
      </c>
      <c r="J194" s="2">
        <v>1</v>
      </c>
      <c r="K194" s="2">
        <v>1</v>
      </c>
      <c r="L19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94" t="str">
        <f>IF(Table1[[#This Row],[Experience Years]]&lt;=2,"Entry Level",IF(Table1[[#This Row],[Experience Years]]&lt;=7,"Mid Level",IF(Table1[[#This Row],[Experience Years]]&lt;=15,"Senior Level")))</f>
        <v>Senior Level</v>
      </c>
      <c r="N194" s="1">
        <f>AVERAGE(Table1[[#This Row],[Interview Score]:[Personality Score]])</f>
        <v>67</v>
      </c>
      <c r="O1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94" s="2" t="str">
        <f t="shared" ref="P194:P257" si="3">IF(F194&lt;10,"0-10",IF(F194&lt;20,"10-20",IF(F194&lt;30,"20-30",IF(F194&lt;40,"30-40",IF(F194&lt;50,"40-50","50+")))))</f>
        <v>20-30</v>
      </c>
    </row>
    <row r="195" spans="1:16" x14ac:dyDescent="0.25">
      <c r="A195">
        <v>29</v>
      </c>
      <c r="B195" s="2">
        <v>1</v>
      </c>
      <c r="C195" s="2">
        <v>1</v>
      </c>
      <c r="D195" s="2">
        <v>12</v>
      </c>
      <c r="E195" s="2">
        <v>1</v>
      </c>
      <c r="F195" s="1">
        <v>41.653139860000003</v>
      </c>
      <c r="G195" s="2">
        <v>22</v>
      </c>
      <c r="H195" s="2">
        <v>96</v>
      </c>
      <c r="I195" s="2">
        <v>100</v>
      </c>
      <c r="J195" s="2">
        <v>2</v>
      </c>
      <c r="K195" s="2">
        <v>0</v>
      </c>
      <c r="L19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95" t="str">
        <f>IF(Table1[[#This Row],[Experience Years]]&lt;=2,"Entry Level",IF(Table1[[#This Row],[Experience Years]]&lt;=7,"Mid Level",IF(Table1[[#This Row],[Experience Years]]&lt;=15,"Senior Level")))</f>
        <v>Senior Level</v>
      </c>
      <c r="N195" s="1">
        <f>AVERAGE(Table1[[#This Row],[Interview Score]:[Personality Score]])</f>
        <v>72.666666666666671</v>
      </c>
      <c r="O1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95" s="2" t="str">
        <f t="shared" si="3"/>
        <v>40-50</v>
      </c>
    </row>
    <row r="196" spans="1:16" x14ac:dyDescent="0.25">
      <c r="A196">
        <v>47</v>
      </c>
      <c r="B196" s="2">
        <v>0</v>
      </c>
      <c r="C196" s="2">
        <v>1</v>
      </c>
      <c r="D196" s="2">
        <v>1</v>
      </c>
      <c r="E196" s="2">
        <v>2</v>
      </c>
      <c r="F196" s="1">
        <v>5.9614798049999997</v>
      </c>
      <c r="G196" s="2">
        <v>26</v>
      </c>
      <c r="H196" s="2">
        <v>1</v>
      </c>
      <c r="I196" s="2">
        <v>77</v>
      </c>
      <c r="J196" s="2">
        <v>3</v>
      </c>
      <c r="K196" s="2">
        <v>0</v>
      </c>
      <c r="L19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96" s="2" t="str">
        <f>IF(Table1[[#This Row],[Experience Years]]&lt;=2,"Entry Level",IF(Table1[[#This Row],[Experience Years]]&lt;=7,"Mid Level",IF(Table1[[#This Row],[Experience Years]]&lt;=15,"Senior Level")))</f>
        <v>Entry Level</v>
      </c>
      <c r="N196" s="1">
        <f>AVERAGE(Table1[[#This Row],[Interview Score]:[Personality Score]])</f>
        <v>34.666666666666664</v>
      </c>
      <c r="O1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96" s="2" t="str">
        <f t="shared" si="3"/>
        <v>0-10</v>
      </c>
    </row>
    <row r="197" spans="1:16" x14ac:dyDescent="0.25">
      <c r="A197">
        <v>32</v>
      </c>
      <c r="B197" s="2">
        <v>0</v>
      </c>
      <c r="C197" s="2">
        <v>3</v>
      </c>
      <c r="D197" s="2">
        <v>2</v>
      </c>
      <c r="E197" s="2">
        <v>1</v>
      </c>
      <c r="F197" s="1">
        <v>22.432213959999999</v>
      </c>
      <c r="G197" s="2">
        <v>57</v>
      </c>
      <c r="H197" s="2">
        <v>18</v>
      </c>
      <c r="I197" s="2">
        <v>75</v>
      </c>
      <c r="J197" s="2">
        <v>1</v>
      </c>
      <c r="K197" s="2">
        <v>1</v>
      </c>
      <c r="L19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97" s="2" t="str">
        <f>IF(Table1[[#This Row],[Experience Years]]&lt;=2,"Entry Level",IF(Table1[[#This Row],[Experience Years]]&lt;=7,"Mid Level",IF(Table1[[#This Row],[Experience Years]]&lt;=15,"Senior Level")))</f>
        <v>Entry Level</v>
      </c>
      <c r="N197" s="1">
        <f>AVERAGE(Table1[[#This Row],[Interview Score]:[Personality Score]])</f>
        <v>50</v>
      </c>
      <c r="O1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97" s="2" t="str">
        <f t="shared" si="3"/>
        <v>20-30</v>
      </c>
    </row>
    <row r="198" spans="1:16" x14ac:dyDescent="0.25">
      <c r="A198">
        <v>38</v>
      </c>
      <c r="B198" s="2">
        <v>0</v>
      </c>
      <c r="C198" s="2">
        <v>2</v>
      </c>
      <c r="D198" s="2">
        <v>13</v>
      </c>
      <c r="E198" s="2">
        <v>1</v>
      </c>
      <c r="F198" s="1">
        <v>32.425108510000001</v>
      </c>
      <c r="G198" s="2">
        <v>36</v>
      </c>
      <c r="H198" s="2">
        <v>19</v>
      </c>
      <c r="I198" s="2">
        <v>35</v>
      </c>
      <c r="J198" s="2">
        <v>1</v>
      </c>
      <c r="K198" s="2">
        <v>0</v>
      </c>
      <c r="L19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98" s="2" t="str">
        <f>IF(Table1[[#This Row],[Experience Years]]&lt;=2,"Entry Level",IF(Table1[[#This Row],[Experience Years]]&lt;=7,"Mid Level",IF(Table1[[#This Row],[Experience Years]]&lt;=15,"Senior Level")))</f>
        <v>Senior Level</v>
      </c>
      <c r="N198" s="1">
        <f>AVERAGE(Table1[[#This Row],[Interview Score]:[Personality Score]])</f>
        <v>30</v>
      </c>
      <c r="O1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98" s="2" t="str">
        <f t="shared" si="3"/>
        <v>30-40</v>
      </c>
    </row>
    <row r="199" spans="1:16" x14ac:dyDescent="0.25">
      <c r="A199">
        <v>50</v>
      </c>
      <c r="B199" s="2">
        <v>1</v>
      </c>
      <c r="C199" s="2">
        <v>1</v>
      </c>
      <c r="D199" s="2">
        <v>9</v>
      </c>
      <c r="E199" s="2">
        <v>3</v>
      </c>
      <c r="F199" s="1">
        <v>11.757781080000001</v>
      </c>
      <c r="G199" s="2">
        <v>5</v>
      </c>
      <c r="H199" s="2">
        <v>92</v>
      </c>
      <c r="I199" s="2">
        <v>60</v>
      </c>
      <c r="J199" s="2">
        <v>2</v>
      </c>
      <c r="K199" s="2">
        <v>0</v>
      </c>
      <c r="L19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99" t="str">
        <f>IF(Table1[[#This Row],[Experience Years]]&lt;=2,"Entry Level",IF(Table1[[#This Row],[Experience Years]]&lt;=7,"Mid Level",IF(Table1[[#This Row],[Experience Years]]&lt;=15,"Senior Level")))</f>
        <v>Senior Level</v>
      </c>
      <c r="N199" s="1">
        <f>AVERAGE(Table1[[#This Row],[Interview Score]:[Personality Score]])</f>
        <v>52.333333333333336</v>
      </c>
      <c r="O1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99" s="2" t="str">
        <f t="shared" si="3"/>
        <v>10-20</v>
      </c>
    </row>
    <row r="200" spans="1:16" x14ac:dyDescent="0.25">
      <c r="A200">
        <v>26</v>
      </c>
      <c r="B200" s="2">
        <v>1</v>
      </c>
      <c r="C200" s="2">
        <v>2</v>
      </c>
      <c r="D200" s="2">
        <v>0</v>
      </c>
      <c r="E200" s="2">
        <v>4</v>
      </c>
      <c r="F200" s="1">
        <v>32.373394939999997</v>
      </c>
      <c r="G200" s="2">
        <v>64</v>
      </c>
      <c r="H200" s="2">
        <v>69</v>
      </c>
      <c r="I200" s="2">
        <v>80</v>
      </c>
      <c r="J200" s="2">
        <v>1</v>
      </c>
      <c r="K200" s="2">
        <v>1</v>
      </c>
      <c r="L20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00" t="str">
        <f>IF(Table1[[#This Row],[Experience Years]]&lt;=2,"Entry Level",IF(Table1[[#This Row],[Experience Years]]&lt;=7,"Mid Level",IF(Table1[[#This Row],[Experience Years]]&lt;=15,"Senior Level")))</f>
        <v>Entry Level</v>
      </c>
      <c r="N200" s="1">
        <f>AVERAGE(Table1[[#This Row],[Interview Score]:[Personality Score]])</f>
        <v>71</v>
      </c>
      <c r="O2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200" s="2" t="str">
        <f t="shared" si="3"/>
        <v>30-40</v>
      </c>
    </row>
    <row r="201" spans="1:16" x14ac:dyDescent="0.25">
      <c r="A201">
        <v>36</v>
      </c>
      <c r="B201" s="2">
        <v>1</v>
      </c>
      <c r="C201" s="2">
        <v>2</v>
      </c>
      <c r="D201" s="2">
        <v>10</v>
      </c>
      <c r="E201" s="2">
        <v>2</v>
      </c>
      <c r="F201" s="1">
        <v>47.183241879999997</v>
      </c>
      <c r="G201" s="2">
        <v>5</v>
      </c>
      <c r="H201" s="2">
        <v>16</v>
      </c>
      <c r="I201" s="2">
        <v>39</v>
      </c>
      <c r="J201" s="2">
        <v>1</v>
      </c>
      <c r="K201" s="2">
        <v>0</v>
      </c>
      <c r="L20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01" t="str">
        <f>IF(Table1[[#This Row],[Experience Years]]&lt;=2,"Entry Level",IF(Table1[[#This Row],[Experience Years]]&lt;=7,"Mid Level",IF(Table1[[#This Row],[Experience Years]]&lt;=15,"Senior Level")))</f>
        <v>Senior Level</v>
      </c>
      <c r="N201" s="1">
        <f>AVERAGE(Table1[[#This Row],[Interview Score]:[Personality Score]])</f>
        <v>20</v>
      </c>
      <c r="O2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01" s="2" t="str">
        <f t="shared" si="3"/>
        <v>40-50</v>
      </c>
    </row>
    <row r="202" spans="1:16" x14ac:dyDescent="0.25">
      <c r="A202">
        <v>39</v>
      </c>
      <c r="B202" s="2">
        <v>0</v>
      </c>
      <c r="C202" s="2">
        <v>2</v>
      </c>
      <c r="D202" s="2">
        <v>15</v>
      </c>
      <c r="E202" s="2">
        <v>2</v>
      </c>
      <c r="F202" s="1">
        <v>50.875906559999997</v>
      </c>
      <c r="G202" s="2">
        <v>49</v>
      </c>
      <c r="H202" s="2">
        <v>88</v>
      </c>
      <c r="I202" s="2">
        <v>92</v>
      </c>
      <c r="J202" s="2">
        <v>1</v>
      </c>
      <c r="K202" s="2">
        <v>1</v>
      </c>
      <c r="L20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02" s="2" t="str">
        <f>IF(Table1[[#This Row],[Experience Years]]&lt;=2,"Entry Level",IF(Table1[[#This Row],[Experience Years]]&lt;=7,"Mid Level",IF(Table1[[#This Row],[Experience Years]]&lt;=15,"Senior Level")))</f>
        <v>Senior Level</v>
      </c>
      <c r="N202" s="1">
        <f>AVERAGE(Table1[[#This Row],[Interview Score]:[Personality Score]])</f>
        <v>76.333333333333329</v>
      </c>
      <c r="O2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202" s="2" t="str">
        <f t="shared" si="3"/>
        <v>50+</v>
      </c>
    </row>
    <row r="203" spans="1:16" x14ac:dyDescent="0.25">
      <c r="A203">
        <v>48</v>
      </c>
      <c r="B203" s="2">
        <v>0</v>
      </c>
      <c r="C203" s="2">
        <v>2</v>
      </c>
      <c r="D203" s="2">
        <v>1</v>
      </c>
      <c r="E203" s="2">
        <v>3</v>
      </c>
      <c r="F203" s="1">
        <v>2.6225538400000001</v>
      </c>
      <c r="G203" s="2">
        <v>21</v>
      </c>
      <c r="H203" s="2">
        <v>67</v>
      </c>
      <c r="I203" s="2">
        <v>26</v>
      </c>
      <c r="J203" s="2">
        <v>2</v>
      </c>
      <c r="K203" s="2">
        <v>0</v>
      </c>
      <c r="L20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03" s="2" t="str">
        <f>IF(Table1[[#This Row],[Experience Years]]&lt;=2,"Entry Level",IF(Table1[[#This Row],[Experience Years]]&lt;=7,"Mid Level",IF(Table1[[#This Row],[Experience Years]]&lt;=15,"Senior Level")))</f>
        <v>Entry Level</v>
      </c>
      <c r="N203" s="1">
        <f>AVERAGE(Table1[[#This Row],[Interview Score]:[Personality Score]])</f>
        <v>38</v>
      </c>
      <c r="O2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03" s="2" t="str">
        <f t="shared" si="3"/>
        <v>0-10</v>
      </c>
    </row>
    <row r="204" spans="1:16" x14ac:dyDescent="0.25">
      <c r="A204">
        <v>23</v>
      </c>
      <c r="B204" s="2">
        <v>1</v>
      </c>
      <c r="C204" s="2">
        <v>2</v>
      </c>
      <c r="D204" s="2">
        <v>13</v>
      </c>
      <c r="E204" s="2">
        <v>3</v>
      </c>
      <c r="F204" s="1">
        <v>12.77941141</v>
      </c>
      <c r="G204" s="2">
        <v>87</v>
      </c>
      <c r="H204" s="2">
        <v>93</v>
      </c>
      <c r="I204" s="2">
        <v>0</v>
      </c>
      <c r="J204" s="2">
        <v>3</v>
      </c>
      <c r="K204" s="2">
        <v>0</v>
      </c>
      <c r="L20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04" t="str">
        <f>IF(Table1[[#This Row],[Experience Years]]&lt;=2,"Entry Level",IF(Table1[[#This Row],[Experience Years]]&lt;=7,"Mid Level",IF(Table1[[#This Row],[Experience Years]]&lt;=15,"Senior Level")))</f>
        <v>Senior Level</v>
      </c>
      <c r="N204" s="1">
        <f>AVERAGE(Table1[[#This Row],[Interview Score]:[Personality Score]])</f>
        <v>60</v>
      </c>
      <c r="O2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04" s="2" t="str">
        <f t="shared" si="3"/>
        <v>10-20</v>
      </c>
    </row>
    <row r="205" spans="1:16" x14ac:dyDescent="0.25">
      <c r="A205">
        <v>49</v>
      </c>
      <c r="B205" s="2">
        <v>0</v>
      </c>
      <c r="C205" s="2">
        <v>2</v>
      </c>
      <c r="D205" s="2">
        <v>15</v>
      </c>
      <c r="E205" s="2">
        <v>3</v>
      </c>
      <c r="F205" s="1">
        <v>16.515355790000001</v>
      </c>
      <c r="G205" s="2">
        <v>24</v>
      </c>
      <c r="H205" s="2">
        <v>83</v>
      </c>
      <c r="I205" s="2">
        <v>33</v>
      </c>
      <c r="J205" s="2">
        <v>3</v>
      </c>
      <c r="K205" s="2">
        <v>0</v>
      </c>
      <c r="L20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05" s="2" t="str">
        <f>IF(Table1[[#This Row],[Experience Years]]&lt;=2,"Entry Level",IF(Table1[[#This Row],[Experience Years]]&lt;=7,"Mid Level",IF(Table1[[#This Row],[Experience Years]]&lt;=15,"Senior Level")))</f>
        <v>Senior Level</v>
      </c>
      <c r="N205" s="1">
        <f>AVERAGE(Table1[[#This Row],[Interview Score]:[Personality Score]])</f>
        <v>46.666666666666664</v>
      </c>
      <c r="O2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05" s="2" t="str">
        <f t="shared" si="3"/>
        <v>10-20</v>
      </c>
    </row>
    <row r="206" spans="1:16" x14ac:dyDescent="0.25">
      <c r="A206">
        <v>24</v>
      </c>
      <c r="B206" s="2">
        <v>0</v>
      </c>
      <c r="C206" s="2">
        <v>1</v>
      </c>
      <c r="D206" s="2">
        <v>6</v>
      </c>
      <c r="E206" s="2">
        <v>5</v>
      </c>
      <c r="F206" s="1">
        <v>20.956305019999999</v>
      </c>
      <c r="G206" s="2">
        <v>78</v>
      </c>
      <c r="H206" s="2">
        <v>2</v>
      </c>
      <c r="I206" s="2">
        <v>67</v>
      </c>
      <c r="J206" s="2">
        <v>1</v>
      </c>
      <c r="K206" s="2">
        <v>1</v>
      </c>
      <c r="L20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06" s="2" t="str">
        <f>IF(Table1[[#This Row],[Experience Years]]&lt;=2,"Entry Level",IF(Table1[[#This Row],[Experience Years]]&lt;=7,"Mid Level",IF(Table1[[#This Row],[Experience Years]]&lt;=15,"Senior Level")))</f>
        <v>Mid Level</v>
      </c>
      <c r="N206" s="1">
        <f>AVERAGE(Table1[[#This Row],[Interview Score]:[Personality Score]])</f>
        <v>49</v>
      </c>
      <c r="O2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06" s="2" t="str">
        <f t="shared" si="3"/>
        <v>20-30</v>
      </c>
    </row>
    <row r="207" spans="1:16" x14ac:dyDescent="0.25">
      <c r="A207">
        <v>42</v>
      </c>
      <c r="B207" s="2">
        <v>0</v>
      </c>
      <c r="C207" s="2">
        <v>2</v>
      </c>
      <c r="D207" s="2">
        <v>9</v>
      </c>
      <c r="E207" s="2">
        <v>5</v>
      </c>
      <c r="F207" s="1">
        <v>13.11285788</v>
      </c>
      <c r="G207" s="2">
        <v>89</v>
      </c>
      <c r="H207" s="2">
        <v>86</v>
      </c>
      <c r="I207" s="2">
        <v>87</v>
      </c>
      <c r="J207" s="2">
        <v>2</v>
      </c>
      <c r="K207" s="2">
        <v>1</v>
      </c>
      <c r="L20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07" s="2" t="str">
        <f>IF(Table1[[#This Row],[Experience Years]]&lt;=2,"Entry Level",IF(Table1[[#This Row],[Experience Years]]&lt;=7,"Mid Level",IF(Table1[[#This Row],[Experience Years]]&lt;=15,"Senior Level")))</f>
        <v>Senior Level</v>
      </c>
      <c r="N207" s="1">
        <f>AVERAGE(Table1[[#This Row],[Interview Score]:[Personality Score]])</f>
        <v>87.333333333333329</v>
      </c>
      <c r="O2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207" s="2" t="str">
        <f t="shared" si="3"/>
        <v>10-20</v>
      </c>
    </row>
    <row r="208" spans="1:16" x14ac:dyDescent="0.25">
      <c r="A208">
        <v>26</v>
      </c>
      <c r="B208" s="2">
        <v>0</v>
      </c>
      <c r="C208" s="2">
        <v>3</v>
      </c>
      <c r="D208" s="2">
        <v>1</v>
      </c>
      <c r="E208" s="2">
        <v>5</v>
      </c>
      <c r="F208" s="1">
        <v>11.174399729999999</v>
      </c>
      <c r="G208" s="2">
        <v>71</v>
      </c>
      <c r="H208" s="2">
        <v>50</v>
      </c>
      <c r="I208" s="2">
        <v>20</v>
      </c>
      <c r="J208" s="2">
        <v>2</v>
      </c>
      <c r="K208" s="2">
        <v>0</v>
      </c>
      <c r="L20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08" s="2" t="str">
        <f>IF(Table1[[#This Row],[Experience Years]]&lt;=2,"Entry Level",IF(Table1[[#This Row],[Experience Years]]&lt;=7,"Mid Level",IF(Table1[[#This Row],[Experience Years]]&lt;=15,"Senior Level")))</f>
        <v>Entry Level</v>
      </c>
      <c r="N208" s="1">
        <f>AVERAGE(Table1[[#This Row],[Interview Score]:[Personality Score]])</f>
        <v>47</v>
      </c>
      <c r="O2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08" s="2" t="str">
        <f t="shared" si="3"/>
        <v>10-20</v>
      </c>
    </row>
    <row r="209" spans="1:16" x14ac:dyDescent="0.25">
      <c r="A209">
        <v>32</v>
      </c>
      <c r="B209" s="2">
        <v>1</v>
      </c>
      <c r="C209" s="2">
        <v>3</v>
      </c>
      <c r="D209" s="2">
        <v>5</v>
      </c>
      <c r="E209" s="2">
        <v>1</v>
      </c>
      <c r="F209" s="1">
        <v>48.72769212</v>
      </c>
      <c r="G209" s="2">
        <v>50</v>
      </c>
      <c r="H209" s="2">
        <v>81</v>
      </c>
      <c r="I209" s="2">
        <v>32</v>
      </c>
      <c r="J209" s="2">
        <v>3</v>
      </c>
      <c r="K209" s="2">
        <v>0</v>
      </c>
      <c r="L20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09" t="str">
        <f>IF(Table1[[#This Row],[Experience Years]]&lt;=2,"Entry Level",IF(Table1[[#This Row],[Experience Years]]&lt;=7,"Mid Level",IF(Table1[[#This Row],[Experience Years]]&lt;=15,"Senior Level")))</f>
        <v>Mid Level</v>
      </c>
      <c r="N209" s="1">
        <f>AVERAGE(Table1[[#This Row],[Interview Score]:[Personality Score]])</f>
        <v>54.333333333333336</v>
      </c>
      <c r="O2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09" s="2" t="str">
        <f t="shared" si="3"/>
        <v>40-50</v>
      </c>
    </row>
    <row r="210" spans="1:16" x14ac:dyDescent="0.25">
      <c r="A210">
        <v>34</v>
      </c>
      <c r="B210" s="2">
        <v>0</v>
      </c>
      <c r="C210" s="2">
        <v>3</v>
      </c>
      <c r="D210" s="2">
        <v>14</v>
      </c>
      <c r="E210" s="2">
        <v>2</v>
      </c>
      <c r="F210" s="1">
        <v>46.926080140000003</v>
      </c>
      <c r="G210" s="2">
        <v>87</v>
      </c>
      <c r="H210" s="2">
        <v>25</v>
      </c>
      <c r="I210" s="2">
        <v>6</v>
      </c>
      <c r="J210" s="2">
        <v>1</v>
      </c>
      <c r="K210" s="2">
        <v>1</v>
      </c>
      <c r="L21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10" s="2" t="str">
        <f>IF(Table1[[#This Row],[Experience Years]]&lt;=2,"Entry Level",IF(Table1[[#This Row],[Experience Years]]&lt;=7,"Mid Level",IF(Table1[[#This Row],[Experience Years]]&lt;=15,"Senior Level")))</f>
        <v>Senior Level</v>
      </c>
      <c r="N210" s="1">
        <f>AVERAGE(Table1[[#This Row],[Interview Score]:[Personality Score]])</f>
        <v>39.333333333333336</v>
      </c>
      <c r="O2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10" s="2" t="str">
        <f t="shared" si="3"/>
        <v>40-50</v>
      </c>
    </row>
    <row r="211" spans="1:16" x14ac:dyDescent="0.25">
      <c r="A211">
        <v>30</v>
      </c>
      <c r="B211" s="2">
        <v>0</v>
      </c>
      <c r="C211" s="2">
        <v>2</v>
      </c>
      <c r="D211" s="2">
        <v>2</v>
      </c>
      <c r="E211" s="2">
        <v>4</v>
      </c>
      <c r="F211" s="1">
        <v>3.3496250500000002</v>
      </c>
      <c r="G211" s="2">
        <v>47</v>
      </c>
      <c r="H211" s="2">
        <v>55</v>
      </c>
      <c r="I211" s="2">
        <v>64</v>
      </c>
      <c r="J211" s="2">
        <v>2</v>
      </c>
      <c r="K211" s="2">
        <v>0</v>
      </c>
      <c r="L21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11" s="2" t="str">
        <f>IF(Table1[[#This Row],[Experience Years]]&lt;=2,"Entry Level",IF(Table1[[#This Row],[Experience Years]]&lt;=7,"Mid Level",IF(Table1[[#This Row],[Experience Years]]&lt;=15,"Senior Level")))</f>
        <v>Entry Level</v>
      </c>
      <c r="N211" s="1">
        <f>AVERAGE(Table1[[#This Row],[Interview Score]:[Personality Score]])</f>
        <v>55.333333333333336</v>
      </c>
      <c r="O2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11" s="2" t="str">
        <f t="shared" si="3"/>
        <v>0-10</v>
      </c>
    </row>
    <row r="212" spans="1:16" x14ac:dyDescent="0.25">
      <c r="A212">
        <v>48</v>
      </c>
      <c r="B212" s="2">
        <v>0</v>
      </c>
      <c r="C212" s="2">
        <v>2</v>
      </c>
      <c r="D212" s="2">
        <v>3</v>
      </c>
      <c r="E212" s="2">
        <v>1</v>
      </c>
      <c r="F212" s="1">
        <v>17.940651079999999</v>
      </c>
      <c r="G212" s="2">
        <v>69</v>
      </c>
      <c r="H212" s="2">
        <v>99</v>
      </c>
      <c r="I212" s="2">
        <v>2</v>
      </c>
      <c r="J212" s="2">
        <v>2</v>
      </c>
      <c r="K212" s="2">
        <v>0</v>
      </c>
      <c r="L21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12" s="2" t="str">
        <f>IF(Table1[[#This Row],[Experience Years]]&lt;=2,"Entry Level",IF(Table1[[#This Row],[Experience Years]]&lt;=7,"Mid Level",IF(Table1[[#This Row],[Experience Years]]&lt;=15,"Senior Level")))</f>
        <v>Mid Level</v>
      </c>
      <c r="N212" s="1">
        <f>AVERAGE(Table1[[#This Row],[Interview Score]:[Personality Score]])</f>
        <v>56.666666666666664</v>
      </c>
      <c r="O2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12" s="2" t="str">
        <f t="shared" si="3"/>
        <v>10-20</v>
      </c>
    </row>
    <row r="213" spans="1:16" x14ac:dyDescent="0.25">
      <c r="A213">
        <v>23</v>
      </c>
      <c r="B213" s="2">
        <v>0</v>
      </c>
      <c r="C213" s="2">
        <v>2</v>
      </c>
      <c r="D213" s="2">
        <v>10</v>
      </c>
      <c r="E213" s="2">
        <v>2</v>
      </c>
      <c r="F213" s="1">
        <v>21.257427679999999</v>
      </c>
      <c r="G213" s="2">
        <v>98</v>
      </c>
      <c r="H213" s="2">
        <v>63</v>
      </c>
      <c r="I213" s="2">
        <v>50</v>
      </c>
      <c r="J213" s="2">
        <v>3</v>
      </c>
      <c r="K213" s="2">
        <v>0</v>
      </c>
      <c r="L21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13" s="2" t="str">
        <f>IF(Table1[[#This Row],[Experience Years]]&lt;=2,"Entry Level",IF(Table1[[#This Row],[Experience Years]]&lt;=7,"Mid Level",IF(Table1[[#This Row],[Experience Years]]&lt;=15,"Senior Level")))</f>
        <v>Senior Level</v>
      </c>
      <c r="N213" s="1">
        <f>AVERAGE(Table1[[#This Row],[Interview Score]:[Personality Score]])</f>
        <v>70.333333333333329</v>
      </c>
      <c r="O2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213" s="2" t="str">
        <f t="shared" si="3"/>
        <v>20-30</v>
      </c>
    </row>
    <row r="214" spans="1:16" x14ac:dyDescent="0.25">
      <c r="A214">
        <v>32</v>
      </c>
      <c r="B214" s="2">
        <v>1</v>
      </c>
      <c r="C214" s="2">
        <v>2</v>
      </c>
      <c r="D214" s="2">
        <v>14</v>
      </c>
      <c r="E214" s="2">
        <v>2</v>
      </c>
      <c r="F214" s="1">
        <v>12.95072673</v>
      </c>
      <c r="G214" s="2">
        <v>64</v>
      </c>
      <c r="H214" s="2">
        <v>7</v>
      </c>
      <c r="I214" s="2">
        <v>78</v>
      </c>
      <c r="J214" s="2">
        <v>1</v>
      </c>
      <c r="K214" s="2">
        <v>1</v>
      </c>
      <c r="L21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14" t="str">
        <f>IF(Table1[[#This Row],[Experience Years]]&lt;=2,"Entry Level",IF(Table1[[#This Row],[Experience Years]]&lt;=7,"Mid Level",IF(Table1[[#This Row],[Experience Years]]&lt;=15,"Senior Level")))</f>
        <v>Senior Level</v>
      </c>
      <c r="N214" s="1">
        <f>AVERAGE(Table1[[#This Row],[Interview Score]:[Personality Score]])</f>
        <v>49.666666666666664</v>
      </c>
      <c r="O2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14" s="2" t="str">
        <f t="shared" si="3"/>
        <v>10-20</v>
      </c>
    </row>
    <row r="215" spans="1:16" x14ac:dyDescent="0.25">
      <c r="A215">
        <v>26</v>
      </c>
      <c r="B215" s="2">
        <v>1</v>
      </c>
      <c r="C215" s="2">
        <v>2</v>
      </c>
      <c r="D215" s="2">
        <v>12</v>
      </c>
      <c r="E215" s="2">
        <v>3</v>
      </c>
      <c r="F215" s="1">
        <v>32.443644849999998</v>
      </c>
      <c r="G215" s="2">
        <v>59</v>
      </c>
      <c r="H215" s="2">
        <v>80</v>
      </c>
      <c r="I215" s="2">
        <v>94</v>
      </c>
      <c r="J215" s="2">
        <v>1</v>
      </c>
      <c r="K215" s="2">
        <v>1</v>
      </c>
      <c r="L21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15" t="str">
        <f>IF(Table1[[#This Row],[Experience Years]]&lt;=2,"Entry Level",IF(Table1[[#This Row],[Experience Years]]&lt;=7,"Mid Level",IF(Table1[[#This Row],[Experience Years]]&lt;=15,"Senior Level")))</f>
        <v>Senior Level</v>
      </c>
      <c r="N215" s="1">
        <f>AVERAGE(Table1[[#This Row],[Interview Score]:[Personality Score]])</f>
        <v>77.666666666666671</v>
      </c>
      <c r="O2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215" s="2" t="str">
        <f t="shared" si="3"/>
        <v>30-40</v>
      </c>
    </row>
    <row r="216" spans="1:16" x14ac:dyDescent="0.25">
      <c r="A216">
        <v>46</v>
      </c>
      <c r="B216" s="2">
        <v>0</v>
      </c>
      <c r="C216" s="2">
        <v>1</v>
      </c>
      <c r="D216" s="2">
        <v>7</v>
      </c>
      <c r="E216" s="2">
        <v>3</v>
      </c>
      <c r="F216" s="1">
        <v>33.019037330000003</v>
      </c>
      <c r="G216" s="2">
        <v>45</v>
      </c>
      <c r="H216" s="2">
        <v>94</v>
      </c>
      <c r="I216" s="2">
        <v>53</v>
      </c>
      <c r="J216" s="2">
        <v>1</v>
      </c>
      <c r="K216" s="2">
        <v>1</v>
      </c>
      <c r="L21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16" s="2" t="str">
        <f>IF(Table1[[#This Row],[Experience Years]]&lt;=2,"Entry Level",IF(Table1[[#This Row],[Experience Years]]&lt;=7,"Mid Level",IF(Table1[[#This Row],[Experience Years]]&lt;=15,"Senior Level")))</f>
        <v>Mid Level</v>
      </c>
      <c r="N216" s="1">
        <f>AVERAGE(Table1[[#This Row],[Interview Score]:[Personality Score]])</f>
        <v>64</v>
      </c>
      <c r="O2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16" s="2" t="str">
        <f t="shared" si="3"/>
        <v>30-40</v>
      </c>
    </row>
    <row r="217" spans="1:16" x14ac:dyDescent="0.25">
      <c r="A217">
        <v>38</v>
      </c>
      <c r="B217" s="2">
        <v>0</v>
      </c>
      <c r="C217" s="2">
        <v>2</v>
      </c>
      <c r="D217" s="2">
        <v>13</v>
      </c>
      <c r="E217" s="2">
        <v>1</v>
      </c>
      <c r="F217" s="1">
        <v>43.525211419999998</v>
      </c>
      <c r="G217" s="2">
        <v>35</v>
      </c>
      <c r="H217" s="2">
        <v>36</v>
      </c>
      <c r="I217" s="2">
        <v>79</v>
      </c>
      <c r="J217" s="2">
        <v>1</v>
      </c>
      <c r="K217" s="2">
        <v>1</v>
      </c>
      <c r="L21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17" s="2" t="str">
        <f>IF(Table1[[#This Row],[Experience Years]]&lt;=2,"Entry Level",IF(Table1[[#This Row],[Experience Years]]&lt;=7,"Mid Level",IF(Table1[[#This Row],[Experience Years]]&lt;=15,"Senior Level")))</f>
        <v>Senior Level</v>
      </c>
      <c r="N217" s="1">
        <f>AVERAGE(Table1[[#This Row],[Interview Score]:[Personality Score]])</f>
        <v>50</v>
      </c>
      <c r="O2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17" s="2" t="str">
        <f t="shared" si="3"/>
        <v>40-50</v>
      </c>
    </row>
    <row r="218" spans="1:16" x14ac:dyDescent="0.25">
      <c r="A218">
        <v>41</v>
      </c>
      <c r="B218" s="2">
        <v>0</v>
      </c>
      <c r="C218" s="2">
        <v>4</v>
      </c>
      <c r="D218" s="2">
        <v>2</v>
      </c>
      <c r="E218" s="2">
        <v>3</v>
      </c>
      <c r="F218" s="1">
        <v>38.043463420000002</v>
      </c>
      <c r="G218" s="2">
        <v>57</v>
      </c>
      <c r="H218" s="2">
        <v>96</v>
      </c>
      <c r="I218" s="2">
        <v>73</v>
      </c>
      <c r="J218" s="2">
        <v>2</v>
      </c>
      <c r="K218" s="2">
        <v>0</v>
      </c>
      <c r="L21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18" s="2" t="str">
        <f>IF(Table1[[#This Row],[Experience Years]]&lt;=2,"Entry Level",IF(Table1[[#This Row],[Experience Years]]&lt;=7,"Mid Level",IF(Table1[[#This Row],[Experience Years]]&lt;=15,"Senior Level")))</f>
        <v>Entry Level</v>
      </c>
      <c r="N218" s="1">
        <f>AVERAGE(Table1[[#This Row],[Interview Score]:[Personality Score]])</f>
        <v>75.333333333333329</v>
      </c>
      <c r="O2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218" s="2" t="str">
        <f t="shared" si="3"/>
        <v>30-40</v>
      </c>
    </row>
    <row r="219" spans="1:16" x14ac:dyDescent="0.25">
      <c r="A219">
        <v>47</v>
      </c>
      <c r="B219" s="2">
        <v>0</v>
      </c>
      <c r="C219" s="2">
        <v>2</v>
      </c>
      <c r="D219" s="2">
        <v>9</v>
      </c>
      <c r="E219" s="2">
        <v>2</v>
      </c>
      <c r="F219" s="1">
        <v>28.12866635</v>
      </c>
      <c r="G219" s="2">
        <v>75</v>
      </c>
      <c r="H219" s="2">
        <v>26</v>
      </c>
      <c r="I219" s="2">
        <v>92</v>
      </c>
      <c r="J219" s="2">
        <v>2</v>
      </c>
      <c r="K219" s="2">
        <v>0</v>
      </c>
      <c r="L21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19" s="2" t="str">
        <f>IF(Table1[[#This Row],[Experience Years]]&lt;=2,"Entry Level",IF(Table1[[#This Row],[Experience Years]]&lt;=7,"Mid Level",IF(Table1[[#This Row],[Experience Years]]&lt;=15,"Senior Level")))</f>
        <v>Senior Level</v>
      </c>
      <c r="N219" s="1">
        <f>AVERAGE(Table1[[#This Row],[Interview Score]:[Personality Score]])</f>
        <v>64.333333333333329</v>
      </c>
      <c r="O2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19" s="2" t="str">
        <f t="shared" si="3"/>
        <v>20-30</v>
      </c>
    </row>
    <row r="220" spans="1:16" x14ac:dyDescent="0.25">
      <c r="A220">
        <v>21</v>
      </c>
      <c r="B220" s="2">
        <v>0</v>
      </c>
      <c r="C220" s="2">
        <v>1</v>
      </c>
      <c r="D220" s="2">
        <v>5</v>
      </c>
      <c r="E220" s="2">
        <v>3</v>
      </c>
      <c r="F220" s="1">
        <v>33.6793385</v>
      </c>
      <c r="G220" s="2">
        <v>37</v>
      </c>
      <c r="H220" s="2">
        <v>44</v>
      </c>
      <c r="I220" s="2">
        <v>58</v>
      </c>
      <c r="J220" s="2">
        <v>2</v>
      </c>
      <c r="K220" s="2">
        <v>0</v>
      </c>
      <c r="L22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20" s="2" t="str">
        <f>IF(Table1[[#This Row],[Experience Years]]&lt;=2,"Entry Level",IF(Table1[[#This Row],[Experience Years]]&lt;=7,"Mid Level",IF(Table1[[#This Row],[Experience Years]]&lt;=15,"Senior Level")))</f>
        <v>Mid Level</v>
      </c>
      <c r="N220" s="1">
        <f>AVERAGE(Table1[[#This Row],[Interview Score]:[Personality Score]])</f>
        <v>46.333333333333336</v>
      </c>
      <c r="O2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20" s="2" t="str">
        <f t="shared" si="3"/>
        <v>30-40</v>
      </c>
    </row>
    <row r="221" spans="1:16" x14ac:dyDescent="0.25">
      <c r="A221">
        <v>29</v>
      </c>
      <c r="B221" s="2">
        <v>0</v>
      </c>
      <c r="C221" s="2">
        <v>2</v>
      </c>
      <c r="D221" s="2">
        <v>0</v>
      </c>
      <c r="E221" s="2">
        <v>5</v>
      </c>
      <c r="F221" s="1">
        <v>14.699439079999999</v>
      </c>
      <c r="G221" s="2">
        <v>10</v>
      </c>
      <c r="H221" s="2">
        <v>3</v>
      </c>
      <c r="I221" s="2">
        <v>5</v>
      </c>
      <c r="J221" s="2">
        <v>1</v>
      </c>
      <c r="K221" s="2">
        <v>0</v>
      </c>
      <c r="L22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21" s="2" t="str">
        <f>IF(Table1[[#This Row],[Experience Years]]&lt;=2,"Entry Level",IF(Table1[[#This Row],[Experience Years]]&lt;=7,"Mid Level",IF(Table1[[#This Row],[Experience Years]]&lt;=15,"Senior Level")))</f>
        <v>Entry Level</v>
      </c>
      <c r="N221" s="1">
        <f>AVERAGE(Table1[[#This Row],[Interview Score]:[Personality Score]])</f>
        <v>6</v>
      </c>
      <c r="O2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21" s="2" t="str">
        <f t="shared" si="3"/>
        <v>10-20</v>
      </c>
    </row>
    <row r="222" spans="1:16" x14ac:dyDescent="0.25">
      <c r="A222">
        <v>32</v>
      </c>
      <c r="B222" s="2">
        <v>1</v>
      </c>
      <c r="C222" s="2">
        <v>3</v>
      </c>
      <c r="D222" s="2">
        <v>6</v>
      </c>
      <c r="E222" s="2">
        <v>3</v>
      </c>
      <c r="F222" s="1">
        <v>30.6528095</v>
      </c>
      <c r="G222" s="2">
        <v>11</v>
      </c>
      <c r="H222" s="2">
        <v>85</v>
      </c>
      <c r="I222" s="2">
        <v>28</v>
      </c>
      <c r="J222" s="2">
        <v>1</v>
      </c>
      <c r="K222" s="2">
        <v>1</v>
      </c>
      <c r="L22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22" t="str">
        <f>IF(Table1[[#This Row],[Experience Years]]&lt;=2,"Entry Level",IF(Table1[[#This Row],[Experience Years]]&lt;=7,"Mid Level",IF(Table1[[#This Row],[Experience Years]]&lt;=15,"Senior Level")))</f>
        <v>Mid Level</v>
      </c>
      <c r="N222" s="1">
        <f>AVERAGE(Table1[[#This Row],[Interview Score]:[Personality Score]])</f>
        <v>41.333333333333336</v>
      </c>
      <c r="O2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22" s="2" t="str">
        <f t="shared" si="3"/>
        <v>30-40</v>
      </c>
    </row>
    <row r="223" spans="1:16" x14ac:dyDescent="0.25">
      <c r="A223">
        <v>49</v>
      </c>
      <c r="B223" s="2">
        <v>0</v>
      </c>
      <c r="C223" s="2">
        <v>2</v>
      </c>
      <c r="D223" s="2">
        <v>7</v>
      </c>
      <c r="E223" s="2">
        <v>2</v>
      </c>
      <c r="F223" s="1">
        <v>25.461362739999998</v>
      </c>
      <c r="G223" s="2">
        <v>41</v>
      </c>
      <c r="H223" s="2">
        <v>89</v>
      </c>
      <c r="I223" s="2">
        <v>16</v>
      </c>
      <c r="J223" s="2">
        <v>1</v>
      </c>
      <c r="K223" s="2">
        <v>1</v>
      </c>
      <c r="L22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23" s="2" t="str">
        <f>IF(Table1[[#This Row],[Experience Years]]&lt;=2,"Entry Level",IF(Table1[[#This Row],[Experience Years]]&lt;=7,"Mid Level",IF(Table1[[#This Row],[Experience Years]]&lt;=15,"Senior Level")))</f>
        <v>Mid Level</v>
      </c>
      <c r="N223" s="1">
        <f>AVERAGE(Table1[[#This Row],[Interview Score]:[Personality Score]])</f>
        <v>48.666666666666664</v>
      </c>
      <c r="O2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23" s="2" t="str">
        <f t="shared" si="3"/>
        <v>20-30</v>
      </c>
    </row>
    <row r="224" spans="1:16" x14ac:dyDescent="0.25">
      <c r="A224">
        <v>44</v>
      </c>
      <c r="B224" s="2">
        <v>1</v>
      </c>
      <c r="C224" s="2">
        <v>2</v>
      </c>
      <c r="D224" s="2">
        <v>10</v>
      </c>
      <c r="E224" s="2">
        <v>1</v>
      </c>
      <c r="F224" s="1">
        <v>7.667223366</v>
      </c>
      <c r="G224" s="2">
        <v>38</v>
      </c>
      <c r="H224" s="2">
        <v>95</v>
      </c>
      <c r="I224" s="2">
        <v>59</v>
      </c>
      <c r="J224" s="2">
        <v>1</v>
      </c>
      <c r="K224" s="2">
        <v>1</v>
      </c>
      <c r="L22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24" t="str">
        <f>IF(Table1[[#This Row],[Experience Years]]&lt;=2,"Entry Level",IF(Table1[[#This Row],[Experience Years]]&lt;=7,"Mid Level",IF(Table1[[#This Row],[Experience Years]]&lt;=15,"Senior Level")))</f>
        <v>Senior Level</v>
      </c>
      <c r="N224" s="1">
        <f>AVERAGE(Table1[[#This Row],[Interview Score]:[Personality Score]])</f>
        <v>64</v>
      </c>
      <c r="O2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24" s="2" t="str">
        <f t="shared" si="3"/>
        <v>0-10</v>
      </c>
    </row>
    <row r="225" spans="1:16" x14ac:dyDescent="0.25">
      <c r="A225">
        <v>40</v>
      </c>
      <c r="B225" s="2">
        <v>1</v>
      </c>
      <c r="C225" s="2">
        <v>1</v>
      </c>
      <c r="D225" s="2">
        <v>13</v>
      </c>
      <c r="E225" s="2">
        <v>4</v>
      </c>
      <c r="F225" s="1">
        <v>13.127213830000001</v>
      </c>
      <c r="G225" s="2">
        <v>70</v>
      </c>
      <c r="H225" s="2">
        <v>87</v>
      </c>
      <c r="I225" s="2">
        <v>21</v>
      </c>
      <c r="J225" s="2">
        <v>2</v>
      </c>
      <c r="K225" s="2">
        <v>0</v>
      </c>
      <c r="L22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25" t="str">
        <f>IF(Table1[[#This Row],[Experience Years]]&lt;=2,"Entry Level",IF(Table1[[#This Row],[Experience Years]]&lt;=7,"Mid Level",IF(Table1[[#This Row],[Experience Years]]&lt;=15,"Senior Level")))</f>
        <v>Senior Level</v>
      </c>
      <c r="N225" s="1">
        <f>AVERAGE(Table1[[#This Row],[Interview Score]:[Personality Score]])</f>
        <v>59.333333333333336</v>
      </c>
      <c r="O2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25" s="2" t="str">
        <f t="shared" si="3"/>
        <v>10-20</v>
      </c>
    </row>
    <row r="226" spans="1:16" x14ac:dyDescent="0.25">
      <c r="A226">
        <v>25</v>
      </c>
      <c r="B226" s="2">
        <v>0</v>
      </c>
      <c r="C226" s="2">
        <v>2</v>
      </c>
      <c r="D226" s="2">
        <v>7</v>
      </c>
      <c r="E226" s="2">
        <v>3</v>
      </c>
      <c r="F226" s="1">
        <v>15.58467254</v>
      </c>
      <c r="G226" s="2">
        <v>10</v>
      </c>
      <c r="H226" s="2">
        <v>98</v>
      </c>
      <c r="I226" s="2">
        <v>23</v>
      </c>
      <c r="J226" s="2">
        <v>1</v>
      </c>
      <c r="K226" s="2">
        <v>1</v>
      </c>
      <c r="L22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26" s="2" t="str">
        <f>IF(Table1[[#This Row],[Experience Years]]&lt;=2,"Entry Level",IF(Table1[[#This Row],[Experience Years]]&lt;=7,"Mid Level",IF(Table1[[#This Row],[Experience Years]]&lt;=15,"Senior Level")))</f>
        <v>Mid Level</v>
      </c>
      <c r="N226" s="1">
        <f>AVERAGE(Table1[[#This Row],[Interview Score]:[Personality Score]])</f>
        <v>43.666666666666664</v>
      </c>
      <c r="O2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26" s="2" t="str">
        <f t="shared" si="3"/>
        <v>10-20</v>
      </c>
    </row>
    <row r="227" spans="1:16" x14ac:dyDescent="0.25">
      <c r="A227">
        <v>47</v>
      </c>
      <c r="B227" s="2">
        <v>1</v>
      </c>
      <c r="C227" s="2">
        <v>2</v>
      </c>
      <c r="D227" s="2">
        <v>2</v>
      </c>
      <c r="E227" s="2">
        <v>2</v>
      </c>
      <c r="F227" s="1">
        <v>47.215478349999998</v>
      </c>
      <c r="G227" s="2">
        <v>35</v>
      </c>
      <c r="H227" s="2">
        <v>36</v>
      </c>
      <c r="I227" s="2">
        <v>80</v>
      </c>
      <c r="J227" s="2">
        <v>1</v>
      </c>
      <c r="K227" s="2">
        <v>0</v>
      </c>
      <c r="L22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27" t="str">
        <f>IF(Table1[[#This Row],[Experience Years]]&lt;=2,"Entry Level",IF(Table1[[#This Row],[Experience Years]]&lt;=7,"Mid Level",IF(Table1[[#This Row],[Experience Years]]&lt;=15,"Senior Level")))</f>
        <v>Entry Level</v>
      </c>
      <c r="N227" s="1">
        <f>AVERAGE(Table1[[#This Row],[Interview Score]:[Personality Score]])</f>
        <v>50.333333333333336</v>
      </c>
      <c r="O2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27" s="2" t="str">
        <f t="shared" si="3"/>
        <v>40-50</v>
      </c>
    </row>
    <row r="228" spans="1:16" x14ac:dyDescent="0.25">
      <c r="A228">
        <v>47</v>
      </c>
      <c r="B228" s="2">
        <v>1</v>
      </c>
      <c r="C228" s="2">
        <v>3</v>
      </c>
      <c r="D228" s="2">
        <v>13</v>
      </c>
      <c r="E228" s="2">
        <v>4</v>
      </c>
      <c r="F228" s="1">
        <v>12.51933197</v>
      </c>
      <c r="G228" s="2">
        <v>51</v>
      </c>
      <c r="H228" s="2">
        <v>95</v>
      </c>
      <c r="I228" s="2">
        <v>84</v>
      </c>
      <c r="J228" s="2">
        <v>2</v>
      </c>
      <c r="K228" s="2">
        <v>1</v>
      </c>
      <c r="L22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28" t="str">
        <f>IF(Table1[[#This Row],[Experience Years]]&lt;=2,"Entry Level",IF(Table1[[#This Row],[Experience Years]]&lt;=7,"Mid Level",IF(Table1[[#This Row],[Experience Years]]&lt;=15,"Senior Level")))</f>
        <v>Senior Level</v>
      </c>
      <c r="N228" s="1">
        <f>AVERAGE(Table1[[#This Row],[Interview Score]:[Personality Score]])</f>
        <v>76.666666666666671</v>
      </c>
      <c r="O2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228" s="2" t="str">
        <f t="shared" si="3"/>
        <v>10-20</v>
      </c>
    </row>
    <row r="229" spans="1:16" x14ac:dyDescent="0.25">
      <c r="A229">
        <v>31</v>
      </c>
      <c r="B229" s="2">
        <v>1</v>
      </c>
      <c r="C229" s="2">
        <v>2</v>
      </c>
      <c r="D229" s="2">
        <v>9</v>
      </c>
      <c r="E229" s="2">
        <v>4</v>
      </c>
      <c r="F229" s="1">
        <v>15.46219514</v>
      </c>
      <c r="G229" s="2">
        <v>30</v>
      </c>
      <c r="H229" s="2">
        <v>70</v>
      </c>
      <c r="I229" s="2">
        <v>50</v>
      </c>
      <c r="J229" s="2">
        <v>2</v>
      </c>
      <c r="K229" s="2">
        <v>0</v>
      </c>
      <c r="L22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29" t="str">
        <f>IF(Table1[[#This Row],[Experience Years]]&lt;=2,"Entry Level",IF(Table1[[#This Row],[Experience Years]]&lt;=7,"Mid Level",IF(Table1[[#This Row],[Experience Years]]&lt;=15,"Senior Level")))</f>
        <v>Senior Level</v>
      </c>
      <c r="N229" s="1">
        <f>AVERAGE(Table1[[#This Row],[Interview Score]:[Personality Score]])</f>
        <v>50</v>
      </c>
      <c r="O2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29" s="2" t="str">
        <f t="shared" si="3"/>
        <v>10-20</v>
      </c>
    </row>
    <row r="230" spans="1:16" x14ac:dyDescent="0.25">
      <c r="A230">
        <v>31</v>
      </c>
      <c r="B230" s="2">
        <v>1</v>
      </c>
      <c r="C230" s="2">
        <v>1</v>
      </c>
      <c r="D230" s="2">
        <v>0</v>
      </c>
      <c r="E230" s="2">
        <v>5</v>
      </c>
      <c r="F230" s="1">
        <v>19.467706499999998</v>
      </c>
      <c r="G230" s="2">
        <v>32</v>
      </c>
      <c r="H230" s="2">
        <v>32</v>
      </c>
      <c r="I230" s="2">
        <v>49</v>
      </c>
      <c r="J230" s="2">
        <v>2</v>
      </c>
      <c r="K230" s="2">
        <v>0</v>
      </c>
      <c r="L23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30" t="str">
        <f>IF(Table1[[#This Row],[Experience Years]]&lt;=2,"Entry Level",IF(Table1[[#This Row],[Experience Years]]&lt;=7,"Mid Level",IF(Table1[[#This Row],[Experience Years]]&lt;=15,"Senior Level")))</f>
        <v>Entry Level</v>
      </c>
      <c r="N230" s="1">
        <f>AVERAGE(Table1[[#This Row],[Interview Score]:[Personality Score]])</f>
        <v>37.666666666666664</v>
      </c>
      <c r="O2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30" s="2" t="str">
        <f t="shared" si="3"/>
        <v>10-20</v>
      </c>
    </row>
    <row r="231" spans="1:16" x14ac:dyDescent="0.25">
      <c r="A231">
        <v>39</v>
      </c>
      <c r="B231" s="2">
        <v>1</v>
      </c>
      <c r="C231" s="2">
        <v>1</v>
      </c>
      <c r="D231" s="2">
        <v>8</v>
      </c>
      <c r="E231" s="2">
        <v>4</v>
      </c>
      <c r="F231" s="1">
        <v>34.187136930000001</v>
      </c>
      <c r="G231" s="2">
        <v>12</v>
      </c>
      <c r="H231" s="2">
        <v>30</v>
      </c>
      <c r="I231" s="2">
        <v>10</v>
      </c>
      <c r="J231" s="2">
        <v>3</v>
      </c>
      <c r="K231" s="2">
        <v>0</v>
      </c>
      <c r="L23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31" t="str">
        <f>IF(Table1[[#This Row],[Experience Years]]&lt;=2,"Entry Level",IF(Table1[[#This Row],[Experience Years]]&lt;=7,"Mid Level",IF(Table1[[#This Row],[Experience Years]]&lt;=15,"Senior Level")))</f>
        <v>Senior Level</v>
      </c>
      <c r="N231" s="1">
        <f>AVERAGE(Table1[[#This Row],[Interview Score]:[Personality Score]])</f>
        <v>17.333333333333332</v>
      </c>
      <c r="O2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31" s="2" t="str">
        <f t="shared" si="3"/>
        <v>30-40</v>
      </c>
    </row>
    <row r="232" spans="1:16" x14ac:dyDescent="0.25">
      <c r="A232">
        <v>49</v>
      </c>
      <c r="B232" s="2">
        <v>1</v>
      </c>
      <c r="C232" s="2">
        <v>1</v>
      </c>
      <c r="D232" s="2">
        <v>12</v>
      </c>
      <c r="E232" s="2">
        <v>2</v>
      </c>
      <c r="F232" s="1">
        <v>6.9119196240000003</v>
      </c>
      <c r="G232" s="2">
        <v>17</v>
      </c>
      <c r="H232" s="2">
        <v>54</v>
      </c>
      <c r="I232" s="2">
        <v>55</v>
      </c>
      <c r="J232" s="2">
        <v>1</v>
      </c>
      <c r="K232" s="2">
        <v>1</v>
      </c>
      <c r="L23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32" t="str">
        <f>IF(Table1[[#This Row],[Experience Years]]&lt;=2,"Entry Level",IF(Table1[[#This Row],[Experience Years]]&lt;=7,"Mid Level",IF(Table1[[#This Row],[Experience Years]]&lt;=15,"Senior Level")))</f>
        <v>Senior Level</v>
      </c>
      <c r="N232" s="1">
        <f>AVERAGE(Table1[[#This Row],[Interview Score]:[Personality Score]])</f>
        <v>42</v>
      </c>
      <c r="O2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32" s="2" t="str">
        <f t="shared" si="3"/>
        <v>0-10</v>
      </c>
    </row>
    <row r="233" spans="1:16" x14ac:dyDescent="0.25">
      <c r="A233">
        <v>49</v>
      </c>
      <c r="B233" s="2">
        <v>0</v>
      </c>
      <c r="C233" s="2">
        <v>2</v>
      </c>
      <c r="D233" s="2">
        <v>5</v>
      </c>
      <c r="E233" s="2">
        <v>2</v>
      </c>
      <c r="F233" s="1">
        <v>48.697260620000002</v>
      </c>
      <c r="G233" s="2">
        <v>40</v>
      </c>
      <c r="H233" s="2">
        <v>11</v>
      </c>
      <c r="I233" s="2">
        <v>70</v>
      </c>
      <c r="J233" s="2">
        <v>2</v>
      </c>
      <c r="K233" s="2">
        <v>0</v>
      </c>
      <c r="L23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33" s="2" t="str">
        <f>IF(Table1[[#This Row],[Experience Years]]&lt;=2,"Entry Level",IF(Table1[[#This Row],[Experience Years]]&lt;=7,"Mid Level",IF(Table1[[#This Row],[Experience Years]]&lt;=15,"Senior Level")))</f>
        <v>Mid Level</v>
      </c>
      <c r="N233" s="1">
        <f>AVERAGE(Table1[[#This Row],[Interview Score]:[Personality Score]])</f>
        <v>40.333333333333336</v>
      </c>
      <c r="O2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33" s="2" t="str">
        <f t="shared" si="3"/>
        <v>40-50</v>
      </c>
    </row>
    <row r="234" spans="1:16" x14ac:dyDescent="0.25">
      <c r="A234">
        <v>30</v>
      </c>
      <c r="B234" s="2">
        <v>1</v>
      </c>
      <c r="C234" s="2">
        <v>2</v>
      </c>
      <c r="D234" s="2">
        <v>10</v>
      </c>
      <c r="E234" s="2">
        <v>3</v>
      </c>
      <c r="F234" s="1">
        <v>44.278561000000003</v>
      </c>
      <c r="G234" s="2">
        <v>57</v>
      </c>
      <c r="H234" s="2">
        <v>10</v>
      </c>
      <c r="I234" s="2">
        <v>41</v>
      </c>
      <c r="J234" s="2">
        <v>2</v>
      </c>
      <c r="K234" s="2">
        <v>0</v>
      </c>
      <c r="L23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34" t="str">
        <f>IF(Table1[[#This Row],[Experience Years]]&lt;=2,"Entry Level",IF(Table1[[#This Row],[Experience Years]]&lt;=7,"Mid Level",IF(Table1[[#This Row],[Experience Years]]&lt;=15,"Senior Level")))</f>
        <v>Senior Level</v>
      </c>
      <c r="N234" s="1">
        <f>AVERAGE(Table1[[#This Row],[Interview Score]:[Personality Score]])</f>
        <v>36</v>
      </c>
      <c r="O2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34" s="2" t="str">
        <f t="shared" si="3"/>
        <v>40-50</v>
      </c>
    </row>
    <row r="235" spans="1:16" x14ac:dyDescent="0.25">
      <c r="A235">
        <v>45</v>
      </c>
      <c r="B235" s="2">
        <v>1</v>
      </c>
      <c r="C235" s="2">
        <v>2</v>
      </c>
      <c r="D235" s="2">
        <v>8</v>
      </c>
      <c r="E235" s="2">
        <v>3</v>
      </c>
      <c r="F235" s="1">
        <v>29.860803650000001</v>
      </c>
      <c r="G235" s="2">
        <v>55</v>
      </c>
      <c r="H235" s="2">
        <v>87</v>
      </c>
      <c r="I235" s="2">
        <v>38</v>
      </c>
      <c r="J235" s="2">
        <v>2</v>
      </c>
      <c r="K235" s="2">
        <v>0</v>
      </c>
      <c r="L23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35" t="str">
        <f>IF(Table1[[#This Row],[Experience Years]]&lt;=2,"Entry Level",IF(Table1[[#This Row],[Experience Years]]&lt;=7,"Mid Level",IF(Table1[[#This Row],[Experience Years]]&lt;=15,"Senior Level")))</f>
        <v>Senior Level</v>
      </c>
      <c r="N235" s="1">
        <f>AVERAGE(Table1[[#This Row],[Interview Score]:[Personality Score]])</f>
        <v>60</v>
      </c>
      <c r="O2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35" s="2" t="str">
        <f t="shared" si="3"/>
        <v>20-30</v>
      </c>
    </row>
    <row r="236" spans="1:16" x14ac:dyDescent="0.25">
      <c r="A236">
        <v>42</v>
      </c>
      <c r="B236" s="2">
        <v>1</v>
      </c>
      <c r="C236" s="2">
        <v>2</v>
      </c>
      <c r="D236" s="2">
        <v>6</v>
      </c>
      <c r="E236" s="2">
        <v>3</v>
      </c>
      <c r="F236" s="1">
        <v>34.701893370000001</v>
      </c>
      <c r="G236" s="2">
        <v>23</v>
      </c>
      <c r="H236" s="2">
        <v>71</v>
      </c>
      <c r="I236" s="2">
        <v>68</v>
      </c>
      <c r="J236" s="2">
        <v>3</v>
      </c>
      <c r="K236" s="2">
        <v>0</v>
      </c>
      <c r="L23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36" t="str">
        <f>IF(Table1[[#This Row],[Experience Years]]&lt;=2,"Entry Level",IF(Table1[[#This Row],[Experience Years]]&lt;=7,"Mid Level",IF(Table1[[#This Row],[Experience Years]]&lt;=15,"Senior Level")))</f>
        <v>Mid Level</v>
      </c>
      <c r="N236" s="1">
        <f>AVERAGE(Table1[[#This Row],[Interview Score]:[Personality Score]])</f>
        <v>54</v>
      </c>
      <c r="O2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36" s="2" t="str">
        <f t="shared" si="3"/>
        <v>30-40</v>
      </c>
    </row>
    <row r="237" spans="1:16" x14ac:dyDescent="0.25">
      <c r="A237">
        <v>47</v>
      </c>
      <c r="B237" s="2">
        <v>0</v>
      </c>
      <c r="C237" s="2">
        <v>2</v>
      </c>
      <c r="D237" s="2">
        <v>0</v>
      </c>
      <c r="E237" s="2">
        <v>4</v>
      </c>
      <c r="F237" s="1">
        <v>1.8330235619999999</v>
      </c>
      <c r="G237" s="2">
        <v>72</v>
      </c>
      <c r="H237" s="2">
        <v>31</v>
      </c>
      <c r="I237" s="2">
        <v>47</v>
      </c>
      <c r="J237" s="2">
        <v>1</v>
      </c>
      <c r="K237" s="2">
        <v>0</v>
      </c>
      <c r="L23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37" s="2" t="str">
        <f>IF(Table1[[#This Row],[Experience Years]]&lt;=2,"Entry Level",IF(Table1[[#This Row],[Experience Years]]&lt;=7,"Mid Level",IF(Table1[[#This Row],[Experience Years]]&lt;=15,"Senior Level")))</f>
        <v>Entry Level</v>
      </c>
      <c r="N237" s="1">
        <f>AVERAGE(Table1[[#This Row],[Interview Score]:[Personality Score]])</f>
        <v>50</v>
      </c>
      <c r="O2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37" s="2" t="str">
        <f t="shared" si="3"/>
        <v>0-10</v>
      </c>
    </row>
    <row r="238" spans="1:16" x14ac:dyDescent="0.25">
      <c r="A238">
        <v>44</v>
      </c>
      <c r="B238" s="2">
        <v>1</v>
      </c>
      <c r="C238" s="2">
        <v>1</v>
      </c>
      <c r="D238" s="2">
        <v>11</v>
      </c>
      <c r="E238" s="2">
        <v>4</v>
      </c>
      <c r="F238" s="1">
        <v>17.947238769999998</v>
      </c>
      <c r="G238" s="2">
        <v>30</v>
      </c>
      <c r="H238" s="2">
        <v>56</v>
      </c>
      <c r="I238" s="2">
        <v>56</v>
      </c>
      <c r="J238" s="2">
        <v>2</v>
      </c>
      <c r="K238" s="2">
        <v>0</v>
      </c>
      <c r="L23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38" t="str">
        <f>IF(Table1[[#This Row],[Experience Years]]&lt;=2,"Entry Level",IF(Table1[[#This Row],[Experience Years]]&lt;=7,"Mid Level",IF(Table1[[#This Row],[Experience Years]]&lt;=15,"Senior Level")))</f>
        <v>Senior Level</v>
      </c>
      <c r="N238" s="1">
        <f>AVERAGE(Table1[[#This Row],[Interview Score]:[Personality Score]])</f>
        <v>47.333333333333336</v>
      </c>
      <c r="O2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38" s="2" t="str">
        <f t="shared" si="3"/>
        <v>10-20</v>
      </c>
    </row>
    <row r="239" spans="1:16" x14ac:dyDescent="0.25">
      <c r="A239">
        <v>26</v>
      </c>
      <c r="B239" s="2">
        <v>0</v>
      </c>
      <c r="C239" s="2">
        <v>1</v>
      </c>
      <c r="D239" s="2">
        <v>11</v>
      </c>
      <c r="E239" s="2">
        <v>5</v>
      </c>
      <c r="F239" s="1">
        <v>40.783011530000003</v>
      </c>
      <c r="G239" s="2">
        <v>54</v>
      </c>
      <c r="H239" s="2">
        <v>37</v>
      </c>
      <c r="I239" s="2">
        <v>20</v>
      </c>
      <c r="J239" s="2">
        <v>1</v>
      </c>
      <c r="K239" s="2">
        <v>0</v>
      </c>
      <c r="L23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39" s="2" t="str">
        <f>IF(Table1[[#This Row],[Experience Years]]&lt;=2,"Entry Level",IF(Table1[[#This Row],[Experience Years]]&lt;=7,"Mid Level",IF(Table1[[#This Row],[Experience Years]]&lt;=15,"Senior Level")))</f>
        <v>Senior Level</v>
      </c>
      <c r="N239" s="1">
        <f>AVERAGE(Table1[[#This Row],[Interview Score]:[Personality Score]])</f>
        <v>37</v>
      </c>
      <c r="O2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39" s="2" t="str">
        <f t="shared" si="3"/>
        <v>40-50</v>
      </c>
    </row>
    <row r="240" spans="1:16" x14ac:dyDescent="0.25">
      <c r="A240">
        <v>49</v>
      </c>
      <c r="B240" s="2">
        <v>1</v>
      </c>
      <c r="C240" s="2">
        <v>3</v>
      </c>
      <c r="D240" s="2">
        <v>0</v>
      </c>
      <c r="E240" s="2">
        <v>3</v>
      </c>
      <c r="F240" s="1">
        <v>4.8741486900000002</v>
      </c>
      <c r="G240" s="2">
        <v>9</v>
      </c>
      <c r="H240" s="2">
        <v>59</v>
      </c>
      <c r="I240" s="2">
        <v>81</v>
      </c>
      <c r="J240" s="2">
        <v>2</v>
      </c>
      <c r="K240" s="2">
        <v>0</v>
      </c>
      <c r="L24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40" t="str">
        <f>IF(Table1[[#This Row],[Experience Years]]&lt;=2,"Entry Level",IF(Table1[[#This Row],[Experience Years]]&lt;=7,"Mid Level",IF(Table1[[#This Row],[Experience Years]]&lt;=15,"Senior Level")))</f>
        <v>Entry Level</v>
      </c>
      <c r="N240" s="1">
        <f>AVERAGE(Table1[[#This Row],[Interview Score]:[Personality Score]])</f>
        <v>49.666666666666664</v>
      </c>
      <c r="O2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40" s="2" t="str">
        <f t="shared" si="3"/>
        <v>0-10</v>
      </c>
    </row>
    <row r="241" spans="1:16" x14ac:dyDescent="0.25">
      <c r="A241">
        <v>20</v>
      </c>
      <c r="B241" s="2">
        <v>0</v>
      </c>
      <c r="C241" s="2">
        <v>2</v>
      </c>
      <c r="D241" s="2">
        <v>5</v>
      </c>
      <c r="E241" s="2">
        <v>1</v>
      </c>
      <c r="F241" s="1">
        <v>15.11569171</v>
      </c>
      <c r="G241" s="2">
        <v>59</v>
      </c>
      <c r="H241" s="2">
        <v>85</v>
      </c>
      <c r="I241" s="2">
        <v>98</v>
      </c>
      <c r="J241" s="2">
        <v>2</v>
      </c>
      <c r="K241" s="2">
        <v>0</v>
      </c>
      <c r="L24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41" s="2" t="str">
        <f>IF(Table1[[#This Row],[Experience Years]]&lt;=2,"Entry Level",IF(Table1[[#This Row],[Experience Years]]&lt;=7,"Mid Level",IF(Table1[[#This Row],[Experience Years]]&lt;=15,"Senior Level")))</f>
        <v>Mid Level</v>
      </c>
      <c r="N241" s="1">
        <f>AVERAGE(Table1[[#This Row],[Interview Score]:[Personality Score]])</f>
        <v>80.666666666666671</v>
      </c>
      <c r="O2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241" s="2" t="str">
        <f t="shared" si="3"/>
        <v>10-20</v>
      </c>
    </row>
    <row r="242" spans="1:16" x14ac:dyDescent="0.25">
      <c r="A242">
        <v>20</v>
      </c>
      <c r="B242" s="2">
        <v>0</v>
      </c>
      <c r="C242" s="2">
        <v>2</v>
      </c>
      <c r="D242" s="2">
        <v>4</v>
      </c>
      <c r="E242" s="2">
        <v>5</v>
      </c>
      <c r="F242" s="1">
        <v>30.26484142</v>
      </c>
      <c r="G242" s="2">
        <v>1</v>
      </c>
      <c r="H242" s="2">
        <v>97</v>
      </c>
      <c r="I242" s="2">
        <v>19</v>
      </c>
      <c r="J242" s="2">
        <v>3</v>
      </c>
      <c r="K242" s="2">
        <v>0</v>
      </c>
      <c r="L24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42" s="2" t="str">
        <f>IF(Table1[[#This Row],[Experience Years]]&lt;=2,"Entry Level",IF(Table1[[#This Row],[Experience Years]]&lt;=7,"Mid Level",IF(Table1[[#This Row],[Experience Years]]&lt;=15,"Senior Level")))</f>
        <v>Mid Level</v>
      </c>
      <c r="N242" s="1">
        <f>AVERAGE(Table1[[#This Row],[Interview Score]:[Personality Score]])</f>
        <v>39</v>
      </c>
      <c r="O2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42" s="2" t="str">
        <f t="shared" si="3"/>
        <v>30-40</v>
      </c>
    </row>
    <row r="243" spans="1:16" x14ac:dyDescent="0.25">
      <c r="A243">
        <v>44</v>
      </c>
      <c r="B243" s="2">
        <v>1</v>
      </c>
      <c r="C243" s="2">
        <v>3</v>
      </c>
      <c r="D243" s="2">
        <v>8</v>
      </c>
      <c r="E243" s="2">
        <v>1</v>
      </c>
      <c r="F243" s="1">
        <v>13.820651379999999</v>
      </c>
      <c r="G243" s="2">
        <v>14</v>
      </c>
      <c r="H243" s="2">
        <v>18</v>
      </c>
      <c r="I243" s="2">
        <v>14</v>
      </c>
      <c r="J243" s="2">
        <v>3</v>
      </c>
      <c r="K243" s="2">
        <v>0</v>
      </c>
      <c r="L24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43" t="str">
        <f>IF(Table1[[#This Row],[Experience Years]]&lt;=2,"Entry Level",IF(Table1[[#This Row],[Experience Years]]&lt;=7,"Mid Level",IF(Table1[[#This Row],[Experience Years]]&lt;=15,"Senior Level")))</f>
        <v>Senior Level</v>
      </c>
      <c r="N243" s="1">
        <f>AVERAGE(Table1[[#This Row],[Interview Score]:[Personality Score]])</f>
        <v>15.333333333333334</v>
      </c>
      <c r="O2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43" s="2" t="str">
        <f t="shared" si="3"/>
        <v>10-20</v>
      </c>
    </row>
    <row r="244" spans="1:16" x14ac:dyDescent="0.25">
      <c r="A244">
        <v>46</v>
      </c>
      <c r="B244" s="2">
        <v>1</v>
      </c>
      <c r="C244" s="2">
        <v>2</v>
      </c>
      <c r="D244" s="2">
        <v>1</v>
      </c>
      <c r="E244" s="2">
        <v>4</v>
      </c>
      <c r="F244" s="1">
        <v>47.698898710000002</v>
      </c>
      <c r="G244" s="2">
        <v>2</v>
      </c>
      <c r="H244" s="2">
        <v>83</v>
      </c>
      <c r="I244" s="2">
        <v>68</v>
      </c>
      <c r="J244" s="2">
        <v>2</v>
      </c>
      <c r="K244" s="2">
        <v>0</v>
      </c>
      <c r="L24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44" t="str">
        <f>IF(Table1[[#This Row],[Experience Years]]&lt;=2,"Entry Level",IF(Table1[[#This Row],[Experience Years]]&lt;=7,"Mid Level",IF(Table1[[#This Row],[Experience Years]]&lt;=15,"Senior Level")))</f>
        <v>Entry Level</v>
      </c>
      <c r="N244" s="1">
        <f>AVERAGE(Table1[[#This Row],[Interview Score]:[Personality Score]])</f>
        <v>51</v>
      </c>
      <c r="O2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44" s="2" t="str">
        <f t="shared" si="3"/>
        <v>40-50</v>
      </c>
    </row>
    <row r="245" spans="1:16" x14ac:dyDescent="0.25">
      <c r="A245">
        <v>49</v>
      </c>
      <c r="B245" s="2">
        <v>0</v>
      </c>
      <c r="C245" s="2">
        <v>3</v>
      </c>
      <c r="D245" s="2">
        <v>7</v>
      </c>
      <c r="E245" s="2">
        <v>5</v>
      </c>
      <c r="F245" s="1">
        <v>7.5529315400000003</v>
      </c>
      <c r="G245" s="2">
        <v>42</v>
      </c>
      <c r="H245" s="2">
        <v>55</v>
      </c>
      <c r="I245" s="2">
        <v>76</v>
      </c>
      <c r="J245" s="2">
        <v>1</v>
      </c>
      <c r="K245" s="2">
        <v>1</v>
      </c>
      <c r="L24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45" s="2" t="str">
        <f>IF(Table1[[#This Row],[Experience Years]]&lt;=2,"Entry Level",IF(Table1[[#This Row],[Experience Years]]&lt;=7,"Mid Level",IF(Table1[[#This Row],[Experience Years]]&lt;=15,"Senior Level")))</f>
        <v>Mid Level</v>
      </c>
      <c r="N245" s="1">
        <f>AVERAGE(Table1[[#This Row],[Interview Score]:[Personality Score]])</f>
        <v>57.666666666666664</v>
      </c>
      <c r="O2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45" s="2" t="str">
        <f t="shared" si="3"/>
        <v>0-10</v>
      </c>
    </row>
    <row r="246" spans="1:16" x14ac:dyDescent="0.25">
      <c r="A246">
        <v>44</v>
      </c>
      <c r="B246" s="2">
        <v>1</v>
      </c>
      <c r="C246" s="2">
        <v>2</v>
      </c>
      <c r="D246" s="2">
        <v>10</v>
      </c>
      <c r="E246" s="2">
        <v>5</v>
      </c>
      <c r="F246" s="1">
        <v>40.869717899999998</v>
      </c>
      <c r="G246" s="2">
        <v>30</v>
      </c>
      <c r="H246" s="2">
        <v>13</v>
      </c>
      <c r="I246" s="2">
        <v>50</v>
      </c>
      <c r="J246" s="2">
        <v>2</v>
      </c>
      <c r="K246" s="2">
        <v>0</v>
      </c>
      <c r="L24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46" t="str">
        <f>IF(Table1[[#This Row],[Experience Years]]&lt;=2,"Entry Level",IF(Table1[[#This Row],[Experience Years]]&lt;=7,"Mid Level",IF(Table1[[#This Row],[Experience Years]]&lt;=15,"Senior Level")))</f>
        <v>Senior Level</v>
      </c>
      <c r="N246" s="1">
        <f>AVERAGE(Table1[[#This Row],[Interview Score]:[Personality Score]])</f>
        <v>31</v>
      </c>
      <c r="O2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46" s="2" t="str">
        <f t="shared" si="3"/>
        <v>40-50</v>
      </c>
    </row>
    <row r="247" spans="1:16" x14ac:dyDescent="0.25">
      <c r="A247">
        <v>39</v>
      </c>
      <c r="B247" s="2">
        <v>0</v>
      </c>
      <c r="C247" s="2">
        <v>4</v>
      </c>
      <c r="D247" s="2">
        <v>4</v>
      </c>
      <c r="E247" s="2">
        <v>2</v>
      </c>
      <c r="F247" s="1">
        <v>26.3974346</v>
      </c>
      <c r="G247" s="2">
        <v>69</v>
      </c>
      <c r="H247" s="2">
        <v>32</v>
      </c>
      <c r="I247" s="2">
        <v>75</v>
      </c>
      <c r="J247" s="2">
        <v>2</v>
      </c>
      <c r="K247" s="2">
        <v>0</v>
      </c>
      <c r="L24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47" s="2" t="str">
        <f>IF(Table1[[#This Row],[Experience Years]]&lt;=2,"Entry Level",IF(Table1[[#This Row],[Experience Years]]&lt;=7,"Mid Level",IF(Table1[[#This Row],[Experience Years]]&lt;=15,"Senior Level")))</f>
        <v>Mid Level</v>
      </c>
      <c r="N247" s="1">
        <f>AVERAGE(Table1[[#This Row],[Interview Score]:[Personality Score]])</f>
        <v>58.666666666666664</v>
      </c>
      <c r="O2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47" s="2" t="str">
        <f t="shared" si="3"/>
        <v>20-30</v>
      </c>
    </row>
    <row r="248" spans="1:16" x14ac:dyDescent="0.25">
      <c r="A248">
        <v>32</v>
      </c>
      <c r="B248" s="2">
        <v>0</v>
      </c>
      <c r="C248" s="2">
        <v>1</v>
      </c>
      <c r="D248" s="2">
        <v>1</v>
      </c>
      <c r="E248" s="2">
        <v>4</v>
      </c>
      <c r="F248" s="1">
        <v>38.516538789999998</v>
      </c>
      <c r="G248" s="2">
        <v>66</v>
      </c>
      <c r="H248" s="2">
        <v>9</v>
      </c>
      <c r="I248" s="2">
        <v>61</v>
      </c>
      <c r="J248" s="2">
        <v>1</v>
      </c>
      <c r="K248" s="2">
        <v>0</v>
      </c>
      <c r="L24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48" s="2" t="str">
        <f>IF(Table1[[#This Row],[Experience Years]]&lt;=2,"Entry Level",IF(Table1[[#This Row],[Experience Years]]&lt;=7,"Mid Level",IF(Table1[[#This Row],[Experience Years]]&lt;=15,"Senior Level")))</f>
        <v>Entry Level</v>
      </c>
      <c r="N248" s="1">
        <f>AVERAGE(Table1[[#This Row],[Interview Score]:[Personality Score]])</f>
        <v>45.333333333333336</v>
      </c>
      <c r="O2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48" s="2" t="str">
        <f t="shared" si="3"/>
        <v>30-40</v>
      </c>
    </row>
    <row r="249" spans="1:16" x14ac:dyDescent="0.25">
      <c r="A249">
        <v>28</v>
      </c>
      <c r="B249" s="2">
        <v>0</v>
      </c>
      <c r="C249" s="2">
        <v>1</v>
      </c>
      <c r="D249" s="2">
        <v>12</v>
      </c>
      <c r="E249" s="2">
        <v>4</v>
      </c>
      <c r="F249" s="1">
        <v>16.535766420000002</v>
      </c>
      <c r="G249" s="2">
        <v>55</v>
      </c>
      <c r="H249" s="2">
        <v>79</v>
      </c>
      <c r="I249" s="2">
        <v>84</v>
      </c>
      <c r="J249" s="2">
        <v>2</v>
      </c>
      <c r="K249" s="2">
        <v>0</v>
      </c>
      <c r="L24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49" s="2" t="str">
        <f>IF(Table1[[#This Row],[Experience Years]]&lt;=2,"Entry Level",IF(Table1[[#This Row],[Experience Years]]&lt;=7,"Mid Level",IF(Table1[[#This Row],[Experience Years]]&lt;=15,"Senior Level")))</f>
        <v>Senior Level</v>
      </c>
      <c r="N249" s="1">
        <f>AVERAGE(Table1[[#This Row],[Interview Score]:[Personality Score]])</f>
        <v>72.666666666666671</v>
      </c>
      <c r="O2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249" s="2" t="str">
        <f t="shared" si="3"/>
        <v>10-20</v>
      </c>
    </row>
    <row r="250" spans="1:16" x14ac:dyDescent="0.25">
      <c r="A250">
        <v>22</v>
      </c>
      <c r="B250" s="2">
        <v>0</v>
      </c>
      <c r="C250" s="2">
        <v>2</v>
      </c>
      <c r="D250" s="2">
        <v>9</v>
      </c>
      <c r="E250" s="2">
        <v>5</v>
      </c>
      <c r="F250" s="1">
        <v>26.724480119999999</v>
      </c>
      <c r="G250" s="2">
        <v>62</v>
      </c>
      <c r="H250" s="2">
        <v>63</v>
      </c>
      <c r="I250" s="2">
        <v>36</v>
      </c>
      <c r="J250" s="2">
        <v>3</v>
      </c>
      <c r="K250" s="2">
        <v>0</v>
      </c>
      <c r="L25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50" s="2" t="str">
        <f>IF(Table1[[#This Row],[Experience Years]]&lt;=2,"Entry Level",IF(Table1[[#This Row],[Experience Years]]&lt;=7,"Mid Level",IF(Table1[[#This Row],[Experience Years]]&lt;=15,"Senior Level")))</f>
        <v>Senior Level</v>
      </c>
      <c r="N250" s="1">
        <f>AVERAGE(Table1[[#This Row],[Interview Score]:[Personality Score]])</f>
        <v>53.666666666666664</v>
      </c>
      <c r="O2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50" s="2" t="str">
        <f t="shared" si="3"/>
        <v>20-30</v>
      </c>
    </row>
    <row r="251" spans="1:16" x14ac:dyDescent="0.25">
      <c r="A251">
        <v>26</v>
      </c>
      <c r="B251" s="2">
        <v>0</v>
      </c>
      <c r="C251" s="2">
        <v>4</v>
      </c>
      <c r="D251" s="2">
        <v>10</v>
      </c>
      <c r="E251" s="2">
        <v>4</v>
      </c>
      <c r="F251" s="1">
        <v>43.841767490000002</v>
      </c>
      <c r="G251" s="2">
        <v>74</v>
      </c>
      <c r="H251" s="2">
        <v>63</v>
      </c>
      <c r="I251" s="2">
        <v>5</v>
      </c>
      <c r="J251" s="2">
        <v>2</v>
      </c>
      <c r="K251" s="2">
        <v>1</v>
      </c>
      <c r="L25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51" s="2" t="str">
        <f>IF(Table1[[#This Row],[Experience Years]]&lt;=2,"Entry Level",IF(Table1[[#This Row],[Experience Years]]&lt;=7,"Mid Level",IF(Table1[[#This Row],[Experience Years]]&lt;=15,"Senior Level")))</f>
        <v>Senior Level</v>
      </c>
      <c r="N251" s="1">
        <f>AVERAGE(Table1[[#This Row],[Interview Score]:[Personality Score]])</f>
        <v>47.333333333333336</v>
      </c>
      <c r="O2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51" s="2" t="str">
        <f t="shared" si="3"/>
        <v>40-50</v>
      </c>
    </row>
    <row r="252" spans="1:16" x14ac:dyDescent="0.25">
      <c r="A252">
        <v>25</v>
      </c>
      <c r="B252" s="2">
        <v>1</v>
      </c>
      <c r="C252" s="2">
        <v>3</v>
      </c>
      <c r="D252" s="2">
        <v>10</v>
      </c>
      <c r="E252" s="2">
        <v>5</v>
      </c>
      <c r="F252" s="1">
        <v>24.34390496</v>
      </c>
      <c r="G252" s="2">
        <v>14</v>
      </c>
      <c r="H252" s="2">
        <v>61</v>
      </c>
      <c r="I252" s="2">
        <v>70</v>
      </c>
      <c r="J252" s="2">
        <v>2</v>
      </c>
      <c r="K252" s="2">
        <v>1</v>
      </c>
      <c r="L25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52" t="str">
        <f>IF(Table1[[#This Row],[Experience Years]]&lt;=2,"Entry Level",IF(Table1[[#This Row],[Experience Years]]&lt;=7,"Mid Level",IF(Table1[[#This Row],[Experience Years]]&lt;=15,"Senior Level")))</f>
        <v>Senior Level</v>
      </c>
      <c r="N252" s="1">
        <f>AVERAGE(Table1[[#This Row],[Interview Score]:[Personality Score]])</f>
        <v>48.333333333333336</v>
      </c>
      <c r="O2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52" s="2" t="str">
        <f t="shared" si="3"/>
        <v>20-30</v>
      </c>
    </row>
    <row r="253" spans="1:16" x14ac:dyDescent="0.25">
      <c r="A253">
        <v>27</v>
      </c>
      <c r="B253" s="2">
        <v>0</v>
      </c>
      <c r="C253" s="2">
        <v>1</v>
      </c>
      <c r="D253" s="2">
        <v>11</v>
      </c>
      <c r="E253" s="2">
        <v>2</v>
      </c>
      <c r="F253" s="1">
        <v>18.985993100000002</v>
      </c>
      <c r="G253" s="2">
        <v>91</v>
      </c>
      <c r="H253" s="2">
        <v>67</v>
      </c>
      <c r="I253" s="2">
        <v>25</v>
      </c>
      <c r="J253" s="2">
        <v>3</v>
      </c>
      <c r="K253" s="2">
        <v>0</v>
      </c>
      <c r="L25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53" s="2" t="str">
        <f>IF(Table1[[#This Row],[Experience Years]]&lt;=2,"Entry Level",IF(Table1[[#This Row],[Experience Years]]&lt;=7,"Mid Level",IF(Table1[[#This Row],[Experience Years]]&lt;=15,"Senior Level")))</f>
        <v>Senior Level</v>
      </c>
      <c r="N253" s="1">
        <f>AVERAGE(Table1[[#This Row],[Interview Score]:[Personality Score]])</f>
        <v>61</v>
      </c>
      <c r="O2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53" s="2" t="str">
        <f t="shared" si="3"/>
        <v>10-20</v>
      </c>
    </row>
    <row r="254" spans="1:16" x14ac:dyDescent="0.25">
      <c r="A254">
        <v>46</v>
      </c>
      <c r="B254" s="2">
        <v>0</v>
      </c>
      <c r="C254" s="2">
        <v>2</v>
      </c>
      <c r="D254" s="2">
        <v>5</v>
      </c>
      <c r="E254" s="2">
        <v>5</v>
      </c>
      <c r="F254" s="1">
        <v>27.807769310000001</v>
      </c>
      <c r="G254" s="2">
        <v>9</v>
      </c>
      <c r="H254" s="2">
        <v>90</v>
      </c>
      <c r="I254" s="2">
        <v>7</v>
      </c>
      <c r="J254" s="2">
        <v>1</v>
      </c>
      <c r="K254" s="2">
        <v>0</v>
      </c>
      <c r="L25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54" s="2" t="str">
        <f>IF(Table1[[#This Row],[Experience Years]]&lt;=2,"Entry Level",IF(Table1[[#This Row],[Experience Years]]&lt;=7,"Mid Level",IF(Table1[[#This Row],[Experience Years]]&lt;=15,"Senior Level")))</f>
        <v>Mid Level</v>
      </c>
      <c r="N254" s="1">
        <f>AVERAGE(Table1[[#This Row],[Interview Score]:[Personality Score]])</f>
        <v>35.333333333333336</v>
      </c>
      <c r="O2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54" s="2" t="str">
        <f t="shared" si="3"/>
        <v>20-30</v>
      </c>
    </row>
    <row r="255" spans="1:16" x14ac:dyDescent="0.25">
      <c r="A255">
        <v>28</v>
      </c>
      <c r="B255" s="2">
        <v>1</v>
      </c>
      <c r="C255" s="2">
        <v>4</v>
      </c>
      <c r="D255" s="2">
        <v>9</v>
      </c>
      <c r="E255" s="2">
        <v>4</v>
      </c>
      <c r="F255" s="1">
        <v>36.868137650000001</v>
      </c>
      <c r="G255" s="2">
        <v>37</v>
      </c>
      <c r="H255" s="2">
        <v>91</v>
      </c>
      <c r="I255" s="2">
        <v>72</v>
      </c>
      <c r="J255" s="2">
        <v>1</v>
      </c>
      <c r="K255" s="2">
        <v>1</v>
      </c>
      <c r="L25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55" t="str">
        <f>IF(Table1[[#This Row],[Experience Years]]&lt;=2,"Entry Level",IF(Table1[[#This Row],[Experience Years]]&lt;=7,"Mid Level",IF(Table1[[#This Row],[Experience Years]]&lt;=15,"Senior Level")))</f>
        <v>Senior Level</v>
      </c>
      <c r="N255" s="1">
        <f>AVERAGE(Table1[[#This Row],[Interview Score]:[Personality Score]])</f>
        <v>66.666666666666671</v>
      </c>
      <c r="O2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55" s="2" t="str">
        <f t="shared" si="3"/>
        <v>30-40</v>
      </c>
    </row>
    <row r="256" spans="1:16" x14ac:dyDescent="0.25">
      <c r="A256">
        <v>49</v>
      </c>
      <c r="B256" s="2">
        <v>0</v>
      </c>
      <c r="C256" s="2">
        <v>2</v>
      </c>
      <c r="D256" s="2">
        <v>7</v>
      </c>
      <c r="E256" s="2">
        <v>4</v>
      </c>
      <c r="F256" s="1">
        <v>23.178167269999999</v>
      </c>
      <c r="G256" s="2">
        <v>46</v>
      </c>
      <c r="H256" s="2">
        <v>42</v>
      </c>
      <c r="I256" s="2">
        <v>90</v>
      </c>
      <c r="J256" s="2">
        <v>2</v>
      </c>
      <c r="K256" s="2">
        <v>0</v>
      </c>
      <c r="L25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56" s="2" t="str">
        <f>IF(Table1[[#This Row],[Experience Years]]&lt;=2,"Entry Level",IF(Table1[[#This Row],[Experience Years]]&lt;=7,"Mid Level",IF(Table1[[#This Row],[Experience Years]]&lt;=15,"Senior Level")))</f>
        <v>Mid Level</v>
      </c>
      <c r="N256" s="1">
        <f>AVERAGE(Table1[[#This Row],[Interview Score]:[Personality Score]])</f>
        <v>59.333333333333336</v>
      </c>
      <c r="O2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56" s="2" t="str">
        <f t="shared" si="3"/>
        <v>20-30</v>
      </c>
    </row>
    <row r="257" spans="1:16" x14ac:dyDescent="0.25">
      <c r="A257">
        <v>24</v>
      </c>
      <c r="B257" s="2">
        <v>1</v>
      </c>
      <c r="C257" s="2">
        <v>3</v>
      </c>
      <c r="D257" s="2">
        <v>3</v>
      </c>
      <c r="E257" s="2">
        <v>5</v>
      </c>
      <c r="F257" s="1">
        <v>47.943848760000002</v>
      </c>
      <c r="G257" s="2">
        <v>56</v>
      </c>
      <c r="H257" s="2">
        <v>79</v>
      </c>
      <c r="I257" s="2">
        <v>3</v>
      </c>
      <c r="J257" s="2">
        <v>2</v>
      </c>
      <c r="K257" s="2">
        <v>0</v>
      </c>
      <c r="L25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57" t="str">
        <f>IF(Table1[[#This Row],[Experience Years]]&lt;=2,"Entry Level",IF(Table1[[#This Row],[Experience Years]]&lt;=7,"Mid Level",IF(Table1[[#This Row],[Experience Years]]&lt;=15,"Senior Level")))</f>
        <v>Mid Level</v>
      </c>
      <c r="N257" s="1">
        <f>AVERAGE(Table1[[#This Row],[Interview Score]:[Personality Score]])</f>
        <v>46</v>
      </c>
      <c r="O2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57" s="2" t="str">
        <f t="shared" si="3"/>
        <v>40-50</v>
      </c>
    </row>
    <row r="258" spans="1:16" x14ac:dyDescent="0.25">
      <c r="A258">
        <v>20</v>
      </c>
      <c r="B258" s="2">
        <v>1</v>
      </c>
      <c r="C258" s="2">
        <v>3</v>
      </c>
      <c r="D258" s="2">
        <v>1</v>
      </c>
      <c r="E258" s="2">
        <v>5</v>
      </c>
      <c r="F258" s="1">
        <v>15.747291199999999</v>
      </c>
      <c r="G258" s="2">
        <v>49</v>
      </c>
      <c r="H258" s="2">
        <v>58</v>
      </c>
      <c r="I258" s="2">
        <v>20</v>
      </c>
      <c r="J258" s="2">
        <v>2</v>
      </c>
      <c r="K258" s="2">
        <v>0</v>
      </c>
      <c r="L25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58" t="str">
        <f>IF(Table1[[#This Row],[Experience Years]]&lt;=2,"Entry Level",IF(Table1[[#This Row],[Experience Years]]&lt;=7,"Mid Level",IF(Table1[[#This Row],[Experience Years]]&lt;=15,"Senior Level")))</f>
        <v>Entry Level</v>
      </c>
      <c r="N258" s="1">
        <f>AVERAGE(Table1[[#This Row],[Interview Score]:[Personality Score]])</f>
        <v>42.333333333333336</v>
      </c>
      <c r="O2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58" s="2" t="str">
        <f t="shared" ref="P258:P321" si="4">IF(F258&lt;10,"0-10",IF(F258&lt;20,"10-20",IF(F258&lt;30,"20-30",IF(F258&lt;40,"30-40",IF(F258&lt;50,"40-50","50+")))))</f>
        <v>10-20</v>
      </c>
    </row>
    <row r="259" spans="1:16" x14ac:dyDescent="0.25">
      <c r="A259">
        <v>38</v>
      </c>
      <c r="B259" s="2">
        <v>1</v>
      </c>
      <c r="C259" s="2">
        <v>2</v>
      </c>
      <c r="D259" s="2">
        <v>11</v>
      </c>
      <c r="E259" s="2">
        <v>5</v>
      </c>
      <c r="F259" s="1">
        <v>24.773180310000001</v>
      </c>
      <c r="G259" s="2">
        <v>70</v>
      </c>
      <c r="H259" s="2">
        <v>51</v>
      </c>
      <c r="I259" s="2">
        <v>30</v>
      </c>
      <c r="J259" s="2">
        <v>1</v>
      </c>
      <c r="K259" s="2">
        <v>1</v>
      </c>
      <c r="L25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59" t="str">
        <f>IF(Table1[[#This Row],[Experience Years]]&lt;=2,"Entry Level",IF(Table1[[#This Row],[Experience Years]]&lt;=7,"Mid Level",IF(Table1[[#This Row],[Experience Years]]&lt;=15,"Senior Level")))</f>
        <v>Senior Level</v>
      </c>
      <c r="N259" s="1">
        <f>AVERAGE(Table1[[#This Row],[Interview Score]:[Personality Score]])</f>
        <v>50.333333333333336</v>
      </c>
      <c r="O2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59" s="2" t="str">
        <f t="shared" si="4"/>
        <v>20-30</v>
      </c>
    </row>
    <row r="260" spans="1:16" x14ac:dyDescent="0.25">
      <c r="A260">
        <v>29</v>
      </c>
      <c r="B260" s="2">
        <v>0</v>
      </c>
      <c r="C260" s="2">
        <v>2</v>
      </c>
      <c r="D260" s="2">
        <v>10</v>
      </c>
      <c r="E260" s="2">
        <v>3</v>
      </c>
      <c r="F260" s="1">
        <v>38.846382970000001</v>
      </c>
      <c r="G260" s="2">
        <v>14</v>
      </c>
      <c r="H260" s="2">
        <v>96</v>
      </c>
      <c r="I260" s="2">
        <v>20</v>
      </c>
      <c r="J260" s="2">
        <v>1</v>
      </c>
      <c r="K260" s="2">
        <v>1</v>
      </c>
      <c r="L26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60" s="2" t="str">
        <f>IF(Table1[[#This Row],[Experience Years]]&lt;=2,"Entry Level",IF(Table1[[#This Row],[Experience Years]]&lt;=7,"Mid Level",IF(Table1[[#This Row],[Experience Years]]&lt;=15,"Senior Level")))</f>
        <v>Senior Level</v>
      </c>
      <c r="N260" s="1">
        <f>AVERAGE(Table1[[#This Row],[Interview Score]:[Personality Score]])</f>
        <v>43.333333333333336</v>
      </c>
      <c r="O2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60" s="2" t="str">
        <f t="shared" si="4"/>
        <v>30-40</v>
      </c>
    </row>
    <row r="261" spans="1:16" x14ac:dyDescent="0.25">
      <c r="A261">
        <v>31</v>
      </c>
      <c r="B261" s="2">
        <v>0</v>
      </c>
      <c r="C261" s="2">
        <v>2</v>
      </c>
      <c r="D261" s="2">
        <v>4</v>
      </c>
      <c r="E261" s="2">
        <v>4</v>
      </c>
      <c r="F261" s="1">
        <v>35.456054520000002</v>
      </c>
      <c r="G261" s="2">
        <v>17</v>
      </c>
      <c r="H261" s="2">
        <v>18</v>
      </c>
      <c r="I261" s="2">
        <v>24</v>
      </c>
      <c r="J261" s="2">
        <v>1</v>
      </c>
      <c r="K261" s="2">
        <v>0</v>
      </c>
      <c r="L26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61" s="2" t="str">
        <f>IF(Table1[[#This Row],[Experience Years]]&lt;=2,"Entry Level",IF(Table1[[#This Row],[Experience Years]]&lt;=7,"Mid Level",IF(Table1[[#This Row],[Experience Years]]&lt;=15,"Senior Level")))</f>
        <v>Mid Level</v>
      </c>
      <c r="N261" s="1">
        <f>AVERAGE(Table1[[#This Row],[Interview Score]:[Personality Score]])</f>
        <v>19.666666666666668</v>
      </c>
      <c r="O2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61" s="2" t="str">
        <f t="shared" si="4"/>
        <v>30-40</v>
      </c>
    </row>
    <row r="262" spans="1:16" x14ac:dyDescent="0.25">
      <c r="A262">
        <v>43</v>
      </c>
      <c r="B262" s="2">
        <v>0</v>
      </c>
      <c r="C262" s="2">
        <v>2</v>
      </c>
      <c r="D262" s="2">
        <v>14</v>
      </c>
      <c r="E262" s="2">
        <v>4</v>
      </c>
      <c r="F262" s="1">
        <v>44.18205262</v>
      </c>
      <c r="G262" s="2">
        <v>81</v>
      </c>
      <c r="H262" s="2">
        <v>20</v>
      </c>
      <c r="I262" s="2">
        <v>14</v>
      </c>
      <c r="J262" s="2">
        <v>3</v>
      </c>
      <c r="K262" s="2">
        <v>0</v>
      </c>
      <c r="L26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62" s="2" t="str">
        <f>IF(Table1[[#This Row],[Experience Years]]&lt;=2,"Entry Level",IF(Table1[[#This Row],[Experience Years]]&lt;=7,"Mid Level",IF(Table1[[#This Row],[Experience Years]]&lt;=15,"Senior Level")))</f>
        <v>Senior Level</v>
      </c>
      <c r="N262" s="1">
        <f>AVERAGE(Table1[[#This Row],[Interview Score]:[Personality Score]])</f>
        <v>38.333333333333336</v>
      </c>
      <c r="O2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62" s="2" t="str">
        <f t="shared" si="4"/>
        <v>40-50</v>
      </c>
    </row>
    <row r="263" spans="1:16" x14ac:dyDescent="0.25">
      <c r="A263">
        <v>34</v>
      </c>
      <c r="B263" s="2">
        <v>1</v>
      </c>
      <c r="C263" s="2">
        <v>3</v>
      </c>
      <c r="D263" s="2">
        <v>11</v>
      </c>
      <c r="E263" s="2">
        <v>3</v>
      </c>
      <c r="F263" s="1">
        <v>50.840459029999998</v>
      </c>
      <c r="G263" s="2">
        <v>87</v>
      </c>
      <c r="H263" s="2">
        <v>21</v>
      </c>
      <c r="I263" s="2">
        <v>34</v>
      </c>
      <c r="J263" s="2">
        <v>2</v>
      </c>
      <c r="K263" s="2">
        <v>0</v>
      </c>
      <c r="L26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63" t="str">
        <f>IF(Table1[[#This Row],[Experience Years]]&lt;=2,"Entry Level",IF(Table1[[#This Row],[Experience Years]]&lt;=7,"Mid Level",IF(Table1[[#This Row],[Experience Years]]&lt;=15,"Senior Level")))</f>
        <v>Senior Level</v>
      </c>
      <c r="N263" s="1">
        <f>AVERAGE(Table1[[#This Row],[Interview Score]:[Personality Score]])</f>
        <v>47.333333333333336</v>
      </c>
      <c r="O2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63" s="2" t="str">
        <f t="shared" si="4"/>
        <v>50+</v>
      </c>
    </row>
    <row r="264" spans="1:16" x14ac:dyDescent="0.25">
      <c r="A264">
        <v>46</v>
      </c>
      <c r="B264" s="2">
        <v>0</v>
      </c>
      <c r="C264" s="2">
        <v>2</v>
      </c>
      <c r="D264" s="2">
        <v>1</v>
      </c>
      <c r="E264" s="2">
        <v>5</v>
      </c>
      <c r="F264" s="1">
        <v>22.34291644</v>
      </c>
      <c r="G264" s="2">
        <v>1</v>
      </c>
      <c r="H264" s="2">
        <v>8</v>
      </c>
      <c r="I264" s="2">
        <v>48</v>
      </c>
      <c r="J264" s="2">
        <v>2</v>
      </c>
      <c r="K264" s="2">
        <v>0</v>
      </c>
      <c r="L26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64" s="2" t="str">
        <f>IF(Table1[[#This Row],[Experience Years]]&lt;=2,"Entry Level",IF(Table1[[#This Row],[Experience Years]]&lt;=7,"Mid Level",IF(Table1[[#This Row],[Experience Years]]&lt;=15,"Senior Level")))</f>
        <v>Entry Level</v>
      </c>
      <c r="N264" s="1">
        <f>AVERAGE(Table1[[#This Row],[Interview Score]:[Personality Score]])</f>
        <v>19</v>
      </c>
      <c r="O2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64" s="2" t="str">
        <f t="shared" si="4"/>
        <v>20-30</v>
      </c>
    </row>
    <row r="265" spans="1:16" x14ac:dyDescent="0.25">
      <c r="A265">
        <v>41</v>
      </c>
      <c r="B265" s="2">
        <v>1</v>
      </c>
      <c r="C265" s="2">
        <v>3</v>
      </c>
      <c r="D265" s="2">
        <v>1</v>
      </c>
      <c r="E265" s="2">
        <v>2</v>
      </c>
      <c r="F265" s="1">
        <v>6.557543989</v>
      </c>
      <c r="G265" s="2">
        <v>83</v>
      </c>
      <c r="H265" s="2">
        <v>8</v>
      </c>
      <c r="I265" s="2">
        <v>42</v>
      </c>
      <c r="J265" s="2">
        <v>1</v>
      </c>
      <c r="K265" s="2">
        <v>1</v>
      </c>
      <c r="L26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65" t="str">
        <f>IF(Table1[[#This Row],[Experience Years]]&lt;=2,"Entry Level",IF(Table1[[#This Row],[Experience Years]]&lt;=7,"Mid Level",IF(Table1[[#This Row],[Experience Years]]&lt;=15,"Senior Level")))</f>
        <v>Entry Level</v>
      </c>
      <c r="N265" s="1">
        <f>AVERAGE(Table1[[#This Row],[Interview Score]:[Personality Score]])</f>
        <v>44.333333333333336</v>
      </c>
      <c r="O2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65" s="2" t="str">
        <f t="shared" si="4"/>
        <v>0-10</v>
      </c>
    </row>
    <row r="266" spans="1:16" x14ac:dyDescent="0.25">
      <c r="A266">
        <v>43</v>
      </c>
      <c r="B266" s="2">
        <v>0</v>
      </c>
      <c r="C266" s="2">
        <v>1</v>
      </c>
      <c r="D266" s="2">
        <v>14</v>
      </c>
      <c r="E266" s="2">
        <v>5</v>
      </c>
      <c r="F266" s="1">
        <v>2.5207940400000002</v>
      </c>
      <c r="G266" s="2">
        <v>97</v>
      </c>
      <c r="H266" s="2">
        <v>72</v>
      </c>
      <c r="I266" s="2">
        <v>40</v>
      </c>
      <c r="J266" s="2">
        <v>1</v>
      </c>
      <c r="K266" s="2">
        <v>1</v>
      </c>
      <c r="L26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66" s="2" t="str">
        <f>IF(Table1[[#This Row],[Experience Years]]&lt;=2,"Entry Level",IF(Table1[[#This Row],[Experience Years]]&lt;=7,"Mid Level",IF(Table1[[#This Row],[Experience Years]]&lt;=15,"Senior Level")))</f>
        <v>Senior Level</v>
      </c>
      <c r="N266" s="1">
        <f>AVERAGE(Table1[[#This Row],[Interview Score]:[Personality Score]])</f>
        <v>69.666666666666671</v>
      </c>
      <c r="O2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66" s="2" t="str">
        <f t="shared" si="4"/>
        <v>0-10</v>
      </c>
    </row>
    <row r="267" spans="1:16" x14ac:dyDescent="0.25">
      <c r="A267">
        <v>28</v>
      </c>
      <c r="B267" s="2">
        <v>1</v>
      </c>
      <c r="C267" s="2">
        <v>4</v>
      </c>
      <c r="D267" s="2">
        <v>5</v>
      </c>
      <c r="E267" s="2">
        <v>5</v>
      </c>
      <c r="F267" s="1">
        <v>37.343845309999999</v>
      </c>
      <c r="G267" s="2">
        <v>42</v>
      </c>
      <c r="H267" s="2">
        <v>26</v>
      </c>
      <c r="I267" s="2">
        <v>36</v>
      </c>
      <c r="J267" s="2">
        <v>2</v>
      </c>
      <c r="K267" s="2">
        <v>0</v>
      </c>
      <c r="L26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67" t="str">
        <f>IF(Table1[[#This Row],[Experience Years]]&lt;=2,"Entry Level",IF(Table1[[#This Row],[Experience Years]]&lt;=7,"Mid Level",IF(Table1[[#This Row],[Experience Years]]&lt;=15,"Senior Level")))</f>
        <v>Mid Level</v>
      </c>
      <c r="N267" s="1">
        <f>AVERAGE(Table1[[#This Row],[Interview Score]:[Personality Score]])</f>
        <v>34.666666666666664</v>
      </c>
      <c r="O2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67" s="2" t="str">
        <f t="shared" si="4"/>
        <v>30-40</v>
      </c>
    </row>
    <row r="268" spans="1:16" x14ac:dyDescent="0.25">
      <c r="A268">
        <v>39</v>
      </c>
      <c r="B268" s="2">
        <v>0</v>
      </c>
      <c r="C268" s="2">
        <v>2</v>
      </c>
      <c r="D268" s="2">
        <v>15</v>
      </c>
      <c r="E268" s="2">
        <v>3</v>
      </c>
      <c r="F268" s="1">
        <v>44.700683570000002</v>
      </c>
      <c r="G268" s="2">
        <v>25</v>
      </c>
      <c r="H268" s="2">
        <v>16</v>
      </c>
      <c r="I268" s="2">
        <v>56</v>
      </c>
      <c r="J268" s="2">
        <v>1</v>
      </c>
      <c r="K268" s="2">
        <v>0</v>
      </c>
      <c r="L26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68" s="2" t="str">
        <f>IF(Table1[[#This Row],[Experience Years]]&lt;=2,"Entry Level",IF(Table1[[#This Row],[Experience Years]]&lt;=7,"Mid Level",IF(Table1[[#This Row],[Experience Years]]&lt;=15,"Senior Level")))</f>
        <v>Senior Level</v>
      </c>
      <c r="N268" s="1">
        <f>AVERAGE(Table1[[#This Row],[Interview Score]:[Personality Score]])</f>
        <v>32.333333333333336</v>
      </c>
      <c r="O2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68" s="2" t="str">
        <f t="shared" si="4"/>
        <v>40-50</v>
      </c>
    </row>
    <row r="269" spans="1:16" x14ac:dyDescent="0.25">
      <c r="A269">
        <v>36</v>
      </c>
      <c r="B269" s="2">
        <v>0</v>
      </c>
      <c r="C269" s="2">
        <v>1</v>
      </c>
      <c r="D269" s="2">
        <v>10</v>
      </c>
      <c r="E269" s="2">
        <v>4</v>
      </c>
      <c r="F269" s="1">
        <v>12.0356293</v>
      </c>
      <c r="G269" s="2">
        <v>70</v>
      </c>
      <c r="H269" s="2">
        <v>43</v>
      </c>
      <c r="I269" s="2">
        <v>41</v>
      </c>
      <c r="J269" s="2">
        <v>2</v>
      </c>
      <c r="K269" s="2">
        <v>0</v>
      </c>
      <c r="L26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69" s="2" t="str">
        <f>IF(Table1[[#This Row],[Experience Years]]&lt;=2,"Entry Level",IF(Table1[[#This Row],[Experience Years]]&lt;=7,"Mid Level",IF(Table1[[#This Row],[Experience Years]]&lt;=15,"Senior Level")))</f>
        <v>Senior Level</v>
      </c>
      <c r="N269" s="1">
        <f>AVERAGE(Table1[[#This Row],[Interview Score]:[Personality Score]])</f>
        <v>51.333333333333336</v>
      </c>
      <c r="O2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69" s="2" t="str">
        <f t="shared" si="4"/>
        <v>10-20</v>
      </c>
    </row>
    <row r="270" spans="1:16" x14ac:dyDescent="0.25">
      <c r="A270">
        <v>49</v>
      </c>
      <c r="B270" s="2">
        <v>0</v>
      </c>
      <c r="C270" s="2">
        <v>1</v>
      </c>
      <c r="D270" s="2">
        <v>9</v>
      </c>
      <c r="E270" s="2">
        <v>5</v>
      </c>
      <c r="F270" s="1">
        <v>8.9224018590000007</v>
      </c>
      <c r="G270" s="2">
        <v>37</v>
      </c>
      <c r="H270" s="2">
        <v>44</v>
      </c>
      <c r="I270" s="2">
        <v>46</v>
      </c>
      <c r="J270" s="2">
        <v>2</v>
      </c>
      <c r="K270" s="2">
        <v>0</v>
      </c>
      <c r="L27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70" s="2" t="str">
        <f>IF(Table1[[#This Row],[Experience Years]]&lt;=2,"Entry Level",IF(Table1[[#This Row],[Experience Years]]&lt;=7,"Mid Level",IF(Table1[[#This Row],[Experience Years]]&lt;=15,"Senior Level")))</f>
        <v>Senior Level</v>
      </c>
      <c r="N270" s="1">
        <f>AVERAGE(Table1[[#This Row],[Interview Score]:[Personality Score]])</f>
        <v>42.333333333333336</v>
      </c>
      <c r="O2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70" s="2" t="str">
        <f t="shared" si="4"/>
        <v>0-10</v>
      </c>
    </row>
    <row r="271" spans="1:16" x14ac:dyDescent="0.25">
      <c r="A271">
        <v>36</v>
      </c>
      <c r="B271" s="2">
        <v>1</v>
      </c>
      <c r="C271" s="2">
        <v>3</v>
      </c>
      <c r="D271" s="2">
        <v>8</v>
      </c>
      <c r="E271" s="2">
        <v>4</v>
      </c>
      <c r="F271" s="1">
        <v>4.110254576</v>
      </c>
      <c r="G271" s="2">
        <v>93</v>
      </c>
      <c r="H271" s="2">
        <v>7</v>
      </c>
      <c r="I271" s="2">
        <v>91</v>
      </c>
      <c r="J271" s="2">
        <v>2</v>
      </c>
      <c r="K271" s="2">
        <v>1</v>
      </c>
      <c r="L27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71" t="str">
        <f>IF(Table1[[#This Row],[Experience Years]]&lt;=2,"Entry Level",IF(Table1[[#This Row],[Experience Years]]&lt;=7,"Mid Level",IF(Table1[[#This Row],[Experience Years]]&lt;=15,"Senior Level")))</f>
        <v>Senior Level</v>
      </c>
      <c r="N271" s="1">
        <f>AVERAGE(Table1[[#This Row],[Interview Score]:[Personality Score]])</f>
        <v>63.666666666666664</v>
      </c>
      <c r="O2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71" s="2" t="str">
        <f t="shared" si="4"/>
        <v>0-10</v>
      </c>
    </row>
    <row r="272" spans="1:16" x14ac:dyDescent="0.25">
      <c r="A272">
        <v>45</v>
      </c>
      <c r="B272" s="2">
        <v>1</v>
      </c>
      <c r="C272" s="2">
        <v>2</v>
      </c>
      <c r="D272" s="2">
        <v>12</v>
      </c>
      <c r="E272" s="2">
        <v>1</v>
      </c>
      <c r="F272" s="1">
        <v>42.135146089999999</v>
      </c>
      <c r="G272" s="2">
        <v>41</v>
      </c>
      <c r="H272" s="2">
        <v>79</v>
      </c>
      <c r="I272" s="2">
        <v>60</v>
      </c>
      <c r="J272" s="2">
        <v>2</v>
      </c>
      <c r="K272" s="2">
        <v>0</v>
      </c>
      <c r="L27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72" t="str">
        <f>IF(Table1[[#This Row],[Experience Years]]&lt;=2,"Entry Level",IF(Table1[[#This Row],[Experience Years]]&lt;=7,"Mid Level",IF(Table1[[#This Row],[Experience Years]]&lt;=15,"Senior Level")))</f>
        <v>Senior Level</v>
      </c>
      <c r="N272" s="1">
        <f>AVERAGE(Table1[[#This Row],[Interview Score]:[Personality Score]])</f>
        <v>60</v>
      </c>
      <c r="O2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72" s="2" t="str">
        <f t="shared" si="4"/>
        <v>40-50</v>
      </c>
    </row>
    <row r="273" spans="1:16" x14ac:dyDescent="0.25">
      <c r="A273">
        <v>39</v>
      </c>
      <c r="B273" s="2">
        <v>0</v>
      </c>
      <c r="C273" s="2">
        <v>3</v>
      </c>
      <c r="D273" s="2">
        <v>3</v>
      </c>
      <c r="E273" s="2">
        <v>4</v>
      </c>
      <c r="F273" s="1">
        <v>16.569096989999998</v>
      </c>
      <c r="G273" s="2">
        <v>4</v>
      </c>
      <c r="H273" s="2">
        <v>17</v>
      </c>
      <c r="I273" s="2">
        <v>13</v>
      </c>
      <c r="J273" s="2">
        <v>2</v>
      </c>
      <c r="K273" s="2">
        <v>0</v>
      </c>
      <c r="L27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73" s="2" t="str">
        <f>IF(Table1[[#This Row],[Experience Years]]&lt;=2,"Entry Level",IF(Table1[[#This Row],[Experience Years]]&lt;=7,"Mid Level",IF(Table1[[#This Row],[Experience Years]]&lt;=15,"Senior Level")))</f>
        <v>Mid Level</v>
      </c>
      <c r="N273" s="1">
        <f>AVERAGE(Table1[[#This Row],[Interview Score]:[Personality Score]])</f>
        <v>11.333333333333334</v>
      </c>
      <c r="O2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73" s="2" t="str">
        <f t="shared" si="4"/>
        <v>10-20</v>
      </c>
    </row>
    <row r="274" spans="1:16" x14ac:dyDescent="0.25">
      <c r="A274">
        <v>31</v>
      </c>
      <c r="B274" s="2">
        <v>0</v>
      </c>
      <c r="C274" s="2">
        <v>1</v>
      </c>
      <c r="D274" s="2">
        <v>5</v>
      </c>
      <c r="E274" s="2">
        <v>2</v>
      </c>
      <c r="F274" s="1">
        <v>21.08484464</v>
      </c>
      <c r="G274" s="2">
        <v>10</v>
      </c>
      <c r="H274" s="2">
        <v>32</v>
      </c>
      <c r="I274" s="2">
        <v>67</v>
      </c>
      <c r="J274" s="2">
        <v>1</v>
      </c>
      <c r="K274" s="2">
        <v>0</v>
      </c>
      <c r="L27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74" s="2" t="str">
        <f>IF(Table1[[#This Row],[Experience Years]]&lt;=2,"Entry Level",IF(Table1[[#This Row],[Experience Years]]&lt;=7,"Mid Level",IF(Table1[[#This Row],[Experience Years]]&lt;=15,"Senior Level")))</f>
        <v>Mid Level</v>
      </c>
      <c r="N274" s="1">
        <f>AVERAGE(Table1[[#This Row],[Interview Score]:[Personality Score]])</f>
        <v>36.333333333333336</v>
      </c>
      <c r="O2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74" s="2" t="str">
        <f t="shared" si="4"/>
        <v>20-30</v>
      </c>
    </row>
    <row r="275" spans="1:16" x14ac:dyDescent="0.25">
      <c r="A275">
        <v>49</v>
      </c>
      <c r="B275" s="2">
        <v>1</v>
      </c>
      <c r="C275" s="2">
        <v>1</v>
      </c>
      <c r="D275" s="2">
        <v>15</v>
      </c>
      <c r="E275" s="2">
        <v>2</v>
      </c>
      <c r="F275" s="1">
        <v>26.13750958</v>
      </c>
      <c r="G275" s="2">
        <v>64</v>
      </c>
      <c r="H275" s="2">
        <v>0</v>
      </c>
      <c r="I275" s="2">
        <v>52</v>
      </c>
      <c r="J275" s="2">
        <v>2</v>
      </c>
      <c r="K275" s="2">
        <v>0</v>
      </c>
      <c r="L27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75" t="str">
        <f>IF(Table1[[#This Row],[Experience Years]]&lt;=2,"Entry Level",IF(Table1[[#This Row],[Experience Years]]&lt;=7,"Mid Level",IF(Table1[[#This Row],[Experience Years]]&lt;=15,"Senior Level")))</f>
        <v>Senior Level</v>
      </c>
      <c r="N275" s="1">
        <f>AVERAGE(Table1[[#This Row],[Interview Score]:[Personality Score]])</f>
        <v>38.666666666666664</v>
      </c>
      <c r="O2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75" s="2" t="str">
        <f t="shared" si="4"/>
        <v>20-30</v>
      </c>
    </row>
    <row r="276" spans="1:16" x14ac:dyDescent="0.25">
      <c r="A276">
        <v>26</v>
      </c>
      <c r="B276" s="2">
        <v>1</v>
      </c>
      <c r="C276" s="2">
        <v>2</v>
      </c>
      <c r="D276" s="2">
        <v>6</v>
      </c>
      <c r="E276" s="2">
        <v>5</v>
      </c>
      <c r="F276" s="1">
        <v>42.972661709999997</v>
      </c>
      <c r="G276" s="2">
        <v>33</v>
      </c>
      <c r="H276" s="2">
        <v>75</v>
      </c>
      <c r="I276" s="2">
        <v>83</v>
      </c>
      <c r="J276" s="2">
        <v>2</v>
      </c>
      <c r="K276" s="2">
        <v>0</v>
      </c>
      <c r="L27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276" t="str">
        <f>IF(Table1[[#This Row],[Experience Years]]&lt;=2,"Entry Level",IF(Table1[[#This Row],[Experience Years]]&lt;=7,"Mid Level",IF(Table1[[#This Row],[Experience Years]]&lt;=15,"Senior Level")))</f>
        <v>Mid Level</v>
      </c>
      <c r="N276" s="1">
        <f>AVERAGE(Table1[[#This Row],[Interview Score]:[Personality Score]])</f>
        <v>63.666666666666664</v>
      </c>
      <c r="O2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76" s="2" t="str">
        <f t="shared" si="4"/>
        <v>40-50</v>
      </c>
    </row>
    <row r="277" spans="1:16" x14ac:dyDescent="0.25">
      <c r="A277">
        <v>21</v>
      </c>
      <c r="B277" s="2">
        <v>1</v>
      </c>
      <c r="C277" s="2">
        <v>2</v>
      </c>
      <c r="D277" s="2">
        <v>12</v>
      </c>
      <c r="E277" s="2">
        <v>4</v>
      </c>
      <c r="F277" s="1">
        <v>33.541661079999997</v>
      </c>
      <c r="G277" s="2">
        <v>0</v>
      </c>
      <c r="H277" s="2">
        <v>5</v>
      </c>
      <c r="I277" s="2">
        <v>33</v>
      </c>
      <c r="J277" s="2">
        <v>1</v>
      </c>
      <c r="K277" s="2">
        <v>0</v>
      </c>
      <c r="L27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77" t="str">
        <f>IF(Table1[[#This Row],[Experience Years]]&lt;=2,"Entry Level",IF(Table1[[#This Row],[Experience Years]]&lt;=7,"Mid Level",IF(Table1[[#This Row],[Experience Years]]&lt;=15,"Senior Level")))</f>
        <v>Senior Level</v>
      </c>
      <c r="N277" s="1">
        <f>AVERAGE(Table1[[#This Row],[Interview Score]:[Personality Score]])</f>
        <v>12.666666666666666</v>
      </c>
      <c r="O2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77" s="2" t="str">
        <f t="shared" si="4"/>
        <v>30-40</v>
      </c>
    </row>
    <row r="278" spans="1:16" x14ac:dyDescent="0.25">
      <c r="A278">
        <v>22</v>
      </c>
      <c r="B278" s="2">
        <v>0</v>
      </c>
      <c r="C278" s="2">
        <v>2</v>
      </c>
      <c r="D278" s="2">
        <v>10</v>
      </c>
      <c r="E278" s="2">
        <v>5</v>
      </c>
      <c r="F278" s="1">
        <v>31.753231490000001</v>
      </c>
      <c r="G278" s="2">
        <v>82</v>
      </c>
      <c r="H278" s="2">
        <v>40</v>
      </c>
      <c r="I278" s="2">
        <v>75</v>
      </c>
      <c r="J278" s="2">
        <v>3</v>
      </c>
      <c r="K278" s="2">
        <v>0</v>
      </c>
      <c r="L27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78" s="2" t="str">
        <f>IF(Table1[[#This Row],[Experience Years]]&lt;=2,"Entry Level",IF(Table1[[#This Row],[Experience Years]]&lt;=7,"Mid Level",IF(Table1[[#This Row],[Experience Years]]&lt;=15,"Senior Level")))</f>
        <v>Senior Level</v>
      </c>
      <c r="N278" s="1">
        <f>AVERAGE(Table1[[#This Row],[Interview Score]:[Personality Score]])</f>
        <v>65.666666666666671</v>
      </c>
      <c r="O2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78" s="2" t="str">
        <f t="shared" si="4"/>
        <v>30-40</v>
      </c>
    </row>
    <row r="279" spans="1:16" x14ac:dyDescent="0.25">
      <c r="A279">
        <v>36</v>
      </c>
      <c r="B279" s="2">
        <v>1</v>
      </c>
      <c r="C279" s="2">
        <v>4</v>
      </c>
      <c r="D279" s="2">
        <v>5</v>
      </c>
      <c r="E279" s="2">
        <v>3</v>
      </c>
      <c r="F279" s="1">
        <v>9.7836049979999995</v>
      </c>
      <c r="G279" s="2">
        <v>1</v>
      </c>
      <c r="H279" s="2">
        <v>54</v>
      </c>
      <c r="I279" s="2">
        <v>96</v>
      </c>
      <c r="J279" s="2">
        <v>1</v>
      </c>
      <c r="K279" s="2">
        <v>1</v>
      </c>
      <c r="L27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79" t="str">
        <f>IF(Table1[[#This Row],[Experience Years]]&lt;=2,"Entry Level",IF(Table1[[#This Row],[Experience Years]]&lt;=7,"Mid Level",IF(Table1[[#This Row],[Experience Years]]&lt;=15,"Senior Level")))</f>
        <v>Mid Level</v>
      </c>
      <c r="N279" s="1">
        <f>AVERAGE(Table1[[#This Row],[Interview Score]:[Personality Score]])</f>
        <v>50.333333333333336</v>
      </c>
      <c r="O2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79" s="2" t="str">
        <f t="shared" si="4"/>
        <v>0-10</v>
      </c>
    </row>
    <row r="280" spans="1:16" x14ac:dyDescent="0.25">
      <c r="A280">
        <v>24</v>
      </c>
      <c r="B280" s="2">
        <v>0</v>
      </c>
      <c r="C280" s="2">
        <v>4</v>
      </c>
      <c r="D280" s="2">
        <v>7</v>
      </c>
      <c r="E280" s="2">
        <v>2</v>
      </c>
      <c r="F280" s="1">
        <v>26.659494590000001</v>
      </c>
      <c r="G280" s="2">
        <v>84</v>
      </c>
      <c r="H280" s="2">
        <v>4</v>
      </c>
      <c r="I280" s="2">
        <v>23</v>
      </c>
      <c r="J280" s="2">
        <v>1</v>
      </c>
      <c r="K280" s="2">
        <v>1</v>
      </c>
      <c r="L28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80" s="2" t="str">
        <f>IF(Table1[[#This Row],[Experience Years]]&lt;=2,"Entry Level",IF(Table1[[#This Row],[Experience Years]]&lt;=7,"Mid Level",IF(Table1[[#This Row],[Experience Years]]&lt;=15,"Senior Level")))</f>
        <v>Mid Level</v>
      </c>
      <c r="N280" s="1">
        <f>AVERAGE(Table1[[#This Row],[Interview Score]:[Personality Score]])</f>
        <v>37</v>
      </c>
      <c r="O2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80" s="2" t="str">
        <f t="shared" si="4"/>
        <v>20-30</v>
      </c>
    </row>
    <row r="281" spans="1:16" x14ac:dyDescent="0.25">
      <c r="A281">
        <v>36</v>
      </c>
      <c r="B281" s="2">
        <v>1</v>
      </c>
      <c r="C281" s="2">
        <v>4</v>
      </c>
      <c r="D281" s="2">
        <v>3</v>
      </c>
      <c r="E281" s="2">
        <v>5</v>
      </c>
      <c r="F281" s="1">
        <v>36.76905086</v>
      </c>
      <c r="G281" s="2">
        <v>19</v>
      </c>
      <c r="H281" s="2">
        <v>58</v>
      </c>
      <c r="I281" s="2">
        <v>19</v>
      </c>
      <c r="J281" s="2">
        <v>1</v>
      </c>
      <c r="K281" s="2">
        <v>1</v>
      </c>
      <c r="L28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81" t="str">
        <f>IF(Table1[[#This Row],[Experience Years]]&lt;=2,"Entry Level",IF(Table1[[#This Row],[Experience Years]]&lt;=7,"Mid Level",IF(Table1[[#This Row],[Experience Years]]&lt;=15,"Senior Level")))</f>
        <v>Mid Level</v>
      </c>
      <c r="N281" s="1">
        <f>AVERAGE(Table1[[#This Row],[Interview Score]:[Personality Score]])</f>
        <v>32</v>
      </c>
      <c r="O2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81" s="2" t="str">
        <f t="shared" si="4"/>
        <v>30-40</v>
      </c>
    </row>
    <row r="282" spans="1:16" x14ac:dyDescent="0.25">
      <c r="A282">
        <v>43</v>
      </c>
      <c r="B282" s="2">
        <v>0</v>
      </c>
      <c r="C282" s="2">
        <v>3</v>
      </c>
      <c r="D282" s="2">
        <v>11</v>
      </c>
      <c r="E282" s="2">
        <v>3</v>
      </c>
      <c r="F282" s="1">
        <v>49.663044149999998</v>
      </c>
      <c r="G282" s="2">
        <v>60</v>
      </c>
      <c r="H282" s="2">
        <v>79</v>
      </c>
      <c r="I282" s="2">
        <v>68</v>
      </c>
      <c r="J282" s="2">
        <v>3</v>
      </c>
      <c r="K282" s="2">
        <v>1</v>
      </c>
      <c r="L28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82" s="2" t="str">
        <f>IF(Table1[[#This Row],[Experience Years]]&lt;=2,"Entry Level",IF(Table1[[#This Row],[Experience Years]]&lt;=7,"Mid Level",IF(Table1[[#This Row],[Experience Years]]&lt;=15,"Senior Level")))</f>
        <v>Senior Level</v>
      </c>
      <c r="N282" s="1">
        <f>AVERAGE(Table1[[#This Row],[Interview Score]:[Personality Score]])</f>
        <v>69</v>
      </c>
      <c r="O2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282" s="2" t="str">
        <f t="shared" si="4"/>
        <v>40-50</v>
      </c>
    </row>
    <row r="283" spans="1:16" x14ac:dyDescent="0.25">
      <c r="A283">
        <v>36</v>
      </c>
      <c r="B283" s="2">
        <v>1</v>
      </c>
      <c r="C283" s="2">
        <v>2</v>
      </c>
      <c r="D283" s="2">
        <v>14</v>
      </c>
      <c r="E283" s="2">
        <v>5</v>
      </c>
      <c r="F283" s="1">
        <v>11.07031546</v>
      </c>
      <c r="G283" s="2">
        <v>86</v>
      </c>
      <c r="H283" s="2">
        <v>17</v>
      </c>
      <c r="I283" s="2">
        <v>29</v>
      </c>
      <c r="J283" s="2">
        <v>2</v>
      </c>
      <c r="K283" s="2">
        <v>0</v>
      </c>
      <c r="L28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83" t="str">
        <f>IF(Table1[[#This Row],[Experience Years]]&lt;=2,"Entry Level",IF(Table1[[#This Row],[Experience Years]]&lt;=7,"Mid Level",IF(Table1[[#This Row],[Experience Years]]&lt;=15,"Senior Level")))</f>
        <v>Senior Level</v>
      </c>
      <c r="N283" s="1">
        <f>AVERAGE(Table1[[#This Row],[Interview Score]:[Personality Score]])</f>
        <v>44</v>
      </c>
      <c r="O2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83" s="2" t="str">
        <f t="shared" si="4"/>
        <v>10-20</v>
      </c>
    </row>
    <row r="284" spans="1:16" x14ac:dyDescent="0.25">
      <c r="A284">
        <v>46</v>
      </c>
      <c r="B284" s="2">
        <v>1</v>
      </c>
      <c r="C284" s="2">
        <v>2</v>
      </c>
      <c r="D284" s="2">
        <v>0</v>
      </c>
      <c r="E284" s="2">
        <v>4</v>
      </c>
      <c r="F284" s="1">
        <v>1.477167653</v>
      </c>
      <c r="G284" s="2">
        <v>20</v>
      </c>
      <c r="H284" s="2">
        <v>48</v>
      </c>
      <c r="I284" s="2">
        <v>87</v>
      </c>
      <c r="J284" s="2">
        <v>2</v>
      </c>
      <c r="K284" s="2">
        <v>0</v>
      </c>
      <c r="L28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84" t="str">
        <f>IF(Table1[[#This Row],[Experience Years]]&lt;=2,"Entry Level",IF(Table1[[#This Row],[Experience Years]]&lt;=7,"Mid Level",IF(Table1[[#This Row],[Experience Years]]&lt;=15,"Senior Level")))</f>
        <v>Entry Level</v>
      </c>
      <c r="N284" s="1">
        <f>AVERAGE(Table1[[#This Row],[Interview Score]:[Personality Score]])</f>
        <v>51.666666666666664</v>
      </c>
      <c r="O2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84" s="2" t="str">
        <f t="shared" si="4"/>
        <v>0-10</v>
      </c>
    </row>
    <row r="285" spans="1:16" x14ac:dyDescent="0.25">
      <c r="A285">
        <v>36</v>
      </c>
      <c r="B285" s="2">
        <v>1</v>
      </c>
      <c r="C285" s="2">
        <v>2</v>
      </c>
      <c r="D285" s="2">
        <v>6</v>
      </c>
      <c r="E285" s="2">
        <v>4</v>
      </c>
      <c r="F285" s="1">
        <v>4.7650716800000001</v>
      </c>
      <c r="G285" s="2">
        <v>87</v>
      </c>
      <c r="H285" s="2">
        <v>81</v>
      </c>
      <c r="I285" s="2">
        <v>6</v>
      </c>
      <c r="J285" s="2">
        <v>1</v>
      </c>
      <c r="K285" s="2">
        <v>1</v>
      </c>
      <c r="L28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85" t="str">
        <f>IF(Table1[[#This Row],[Experience Years]]&lt;=2,"Entry Level",IF(Table1[[#This Row],[Experience Years]]&lt;=7,"Mid Level",IF(Table1[[#This Row],[Experience Years]]&lt;=15,"Senior Level")))</f>
        <v>Mid Level</v>
      </c>
      <c r="N285" s="1">
        <f>AVERAGE(Table1[[#This Row],[Interview Score]:[Personality Score]])</f>
        <v>58</v>
      </c>
      <c r="O2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85" s="2" t="str">
        <f t="shared" si="4"/>
        <v>0-10</v>
      </c>
    </row>
    <row r="286" spans="1:16" x14ac:dyDescent="0.25">
      <c r="A286">
        <v>21</v>
      </c>
      <c r="B286" s="2">
        <v>1</v>
      </c>
      <c r="C286" s="2">
        <v>3</v>
      </c>
      <c r="D286" s="2">
        <v>2</v>
      </c>
      <c r="E286" s="2">
        <v>4</v>
      </c>
      <c r="F286" s="1">
        <v>19.792623259999999</v>
      </c>
      <c r="G286" s="2">
        <v>67</v>
      </c>
      <c r="H286" s="2">
        <v>64</v>
      </c>
      <c r="I286" s="2">
        <v>35</v>
      </c>
      <c r="J286" s="2">
        <v>2</v>
      </c>
      <c r="K286" s="2">
        <v>0</v>
      </c>
      <c r="L28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86" t="str">
        <f>IF(Table1[[#This Row],[Experience Years]]&lt;=2,"Entry Level",IF(Table1[[#This Row],[Experience Years]]&lt;=7,"Mid Level",IF(Table1[[#This Row],[Experience Years]]&lt;=15,"Senior Level")))</f>
        <v>Entry Level</v>
      </c>
      <c r="N286" s="1">
        <f>AVERAGE(Table1[[#This Row],[Interview Score]:[Personality Score]])</f>
        <v>55.333333333333336</v>
      </c>
      <c r="O2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86" s="2" t="str">
        <f t="shared" si="4"/>
        <v>10-20</v>
      </c>
    </row>
    <row r="287" spans="1:16" x14ac:dyDescent="0.25">
      <c r="A287">
        <v>21</v>
      </c>
      <c r="B287" s="2">
        <v>1</v>
      </c>
      <c r="C287" s="2">
        <v>1</v>
      </c>
      <c r="D287" s="2">
        <v>13</v>
      </c>
      <c r="E287" s="2">
        <v>4</v>
      </c>
      <c r="F287" s="1">
        <v>42.027232390000002</v>
      </c>
      <c r="G287" s="2">
        <v>11</v>
      </c>
      <c r="H287" s="2">
        <v>82</v>
      </c>
      <c r="I287" s="2">
        <v>37</v>
      </c>
      <c r="J287" s="2">
        <v>2</v>
      </c>
      <c r="K287" s="2">
        <v>0</v>
      </c>
      <c r="L28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87" t="str">
        <f>IF(Table1[[#This Row],[Experience Years]]&lt;=2,"Entry Level",IF(Table1[[#This Row],[Experience Years]]&lt;=7,"Mid Level",IF(Table1[[#This Row],[Experience Years]]&lt;=15,"Senior Level")))</f>
        <v>Senior Level</v>
      </c>
      <c r="N287" s="1">
        <f>AVERAGE(Table1[[#This Row],[Interview Score]:[Personality Score]])</f>
        <v>43.333333333333336</v>
      </c>
      <c r="O2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87" s="2" t="str">
        <f t="shared" si="4"/>
        <v>40-50</v>
      </c>
    </row>
    <row r="288" spans="1:16" x14ac:dyDescent="0.25">
      <c r="A288">
        <v>47</v>
      </c>
      <c r="B288" s="2">
        <v>0</v>
      </c>
      <c r="C288" s="2">
        <v>2</v>
      </c>
      <c r="D288" s="2">
        <v>5</v>
      </c>
      <c r="E288" s="2">
        <v>1</v>
      </c>
      <c r="F288" s="1">
        <v>1.357104088</v>
      </c>
      <c r="G288" s="2">
        <v>21</v>
      </c>
      <c r="H288" s="2">
        <v>53</v>
      </c>
      <c r="I288" s="2">
        <v>79</v>
      </c>
      <c r="J288" s="2">
        <v>3</v>
      </c>
      <c r="K288" s="2">
        <v>0</v>
      </c>
      <c r="L28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88" s="2" t="str">
        <f>IF(Table1[[#This Row],[Experience Years]]&lt;=2,"Entry Level",IF(Table1[[#This Row],[Experience Years]]&lt;=7,"Mid Level",IF(Table1[[#This Row],[Experience Years]]&lt;=15,"Senior Level")))</f>
        <v>Mid Level</v>
      </c>
      <c r="N288" s="1">
        <f>AVERAGE(Table1[[#This Row],[Interview Score]:[Personality Score]])</f>
        <v>51</v>
      </c>
      <c r="O2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88" s="2" t="str">
        <f t="shared" si="4"/>
        <v>0-10</v>
      </c>
    </row>
    <row r="289" spans="1:16" x14ac:dyDescent="0.25">
      <c r="A289">
        <v>41</v>
      </c>
      <c r="B289" s="2">
        <v>1</v>
      </c>
      <c r="C289" s="2">
        <v>1</v>
      </c>
      <c r="D289" s="2">
        <v>1</v>
      </c>
      <c r="E289" s="2">
        <v>3</v>
      </c>
      <c r="F289" s="1">
        <v>23.836529639999998</v>
      </c>
      <c r="G289" s="2">
        <v>19</v>
      </c>
      <c r="H289" s="2">
        <v>60</v>
      </c>
      <c r="I289" s="2">
        <v>51</v>
      </c>
      <c r="J289" s="2">
        <v>1</v>
      </c>
      <c r="K289" s="2">
        <v>0</v>
      </c>
      <c r="L28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89" t="str">
        <f>IF(Table1[[#This Row],[Experience Years]]&lt;=2,"Entry Level",IF(Table1[[#This Row],[Experience Years]]&lt;=7,"Mid Level",IF(Table1[[#This Row],[Experience Years]]&lt;=15,"Senior Level")))</f>
        <v>Entry Level</v>
      </c>
      <c r="N289" s="1">
        <f>AVERAGE(Table1[[#This Row],[Interview Score]:[Personality Score]])</f>
        <v>43.333333333333336</v>
      </c>
      <c r="O2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89" s="2" t="str">
        <f t="shared" si="4"/>
        <v>20-30</v>
      </c>
    </row>
    <row r="290" spans="1:16" x14ac:dyDescent="0.25">
      <c r="A290">
        <v>42</v>
      </c>
      <c r="B290" s="2">
        <v>1</v>
      </c>
      <c r="C290" s="2">
        <v>2</v>
      </c>
      <c r="D290" s="2">
        <v>8</v>
      </c>
      <c r="E290" s="2">
        <v>3</v>
      </c>
      <c r="F290" s="1">
        <v>17.46153077</v>
      </c>
      <c r="G290" s="2">
        <v>81</v>
      </c>
      <c r="H290" s="2">
        <v>7</v>
      </c>
      <c r="I290" s="2">
        <v>14</v>
      </c>
      <c r="J290" s="2">
        <v>1</v>
      </c>
      <c r="K290" s="2">
        <v>1</v>
      </c>
      <c r="L29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90" t="str">
        <f>IF(Table1[[#This Row],[Experience Years]]&lt;=2,"Entry Level",IF(Table1[[#This Row],[Experience Years]]&lt;=7,"Mid Level",IF(Table1[[#This Row],[Experience Years]]&lt;=15,"Senior Level")))</f>
        <v>Senior Level</v>
      </c>
      <c r="N290" s="1">
        <f>AVERAGE(Table1[[#This Row],[Interview Score]:[Personality Score]])</f>
        <v>34</v>
      </c>
      <c r="O2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90" s="2" t="str">
        <f t="shared" si="4"/>
        <v>10-20</v>
      </c>
    </row>
    <row r="291" spans="1:16" x14ac:dyDescent="0.25">
      <c r="A291">
        <v>24</v>
      </c>
      <c r="B291" s="2">
        <v>1</v>
      </c>
      <c r="C291" s="2">
        <v>3</v>
      </c>
      <c r="D291" s="2">
        <v>0</v>
      </c>
      <c r="E291" s="2">
        <v>4</v>
      </c>
      <c r="F291" s="1">
        <v>3.624085505</v>
      </c>
      <c r="G291" s="2">
        <v>0</v>
      </c>
      <c r="H291" s="2">
        <v>2</v>
      </c>
      <c r="I291" s="2">
        <v>45</v>
      </c>
      <c r="J291" s="2">
        <v>1</v>
      </c>
      <c r="K291" s="2">
        <v>0</v>
      </c>
      <c r="L29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91" t="str">
        <f>IF(Table1[[#This Row],[Experience Years]]&lt;=2,"Entry Level",IF(Table1[[#This Row],[Experience Years]]&lt;=7,"Mid Level",IF(Table1[[#This Row],[Experience Years]]&lt;=15,"Senior Level")))</f>
        <v>Entry Level</v>
      </c>
      <c r="N291" s="1">
        <f>AVERAGE(Table1[[#This Row],[Interview Score]:[Personality Score]])</f>
        <v>15.666666666666666</v>
      </c>
      <c r="O2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91" s="2" t="str">
        <f t="shared" si="4"/>
        <v>0-10</v>
      </c>
    </row>
    <row r="292" spans="1:16" x14ac:dyDescent="0.25">
      <c r="A292">
        <v>20</v>
      </c>
      <c r="B292" s="2">
        <v>0</v>
      </c>
      <c r="C292" s="2">
        <v>3</v>
      </c>
      <c r="D292" s="2">
        <v>5</v>
      </c>
      <c r="E292" s="2">
        <v>1</v>
      </c>
      <c r="F292" s="1">
        <v>23.51181433</v>
      </c>
      <c r="G292" s="2">
        <v>29</v>
      </c>
      <c r="H292" s="2">
        <v>24</v>
      </c>
      <c r="I292" s="2">
        <v>22</v>
      </c>
      <c r="J292" s="2">
        <v>3</v>
      </c>
      <c r="K292" s="2">
        <v>0</v>
      </c>
      <c r="L29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92" s="2" t="str">
        <f>IF(Table1[[#This Row],[Experience Years]]&lt;=2,"Entry Level",IF(Table1[[#This Row],[Experience Years]]&lt;=7,"Mid Level",IF(Table1[[#This Row],[Experience Years]]&lt;=15,"Senior Level")))</f>
        <v>Mid Level</v>
      </c>
      <c r="N292" s="1">
        <f>AVERAGE(Table1[[#This Row],[Interview Score]:[Personality Score]])</f>
        <v>25</v>
      </c>
      <c r="O2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92" s="2" t="str">
        <f t="shared" si="4"/>
        <v>20-30</v>
      </c>
    </row>
    <row r="293" spans="1:16" x14ac:dyDescent="0.25">
      <c r="A293">
        <v>20</v>
      </c>
      <c r="B293" s="2">
        <v>1</v>
      </c>
      <c r="C293" s="2">
        <v>2</v>
      </c>
      <c r="D293" s="2">
        <v>5</v>
      </c>
      <c r="E293" s="2">
        <v>4</v>
      </c>
      <c r="F293" s="1">
        <v>13.73743537</v>
      </c>
      <c r="G293" s="2">
        <v>96</v>
      </c>
      <c r="H293" s="2">
        <v>68</v>
      </c>
      <c r="I293" s="2">
        <v>11</v>
      </c>
      <c r="J293" s="2">
        <v>2</v>
      </c>
      <c r="K293" s="2">
        <v>0</v>
      </c>
      <c r="L29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93" t="str">
        <f>IF(Table1[[#This Row],[Experience Years]]&lt;=2,"Entry Level",IF(Table1[[#This Row],[Experience Years]]&lt;=7,"Mid Level",IF(Table1[[#This Row],[Experience Years]]&lt;=15,"Senior Level")))</f>
        <v>Mid Level</v>
      </c>
      <c r="N293" s="1">
        <f>AVERAGE(Table1[[#This Row],[Interview Score]:[Personality Score]])</f>
        <v>58.333333333333336</v>
      </c>
      <c r="O2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93" s="2" t="str">
        <f t="shared" si="4"/>
        <v>10-20</v>
      </c>
    </row>
    <row r="294" spans="1:16" x14ac:dyDescent="0.25">
      <c r="A294">
        <v>38</v>
      </c>
      <c r="B294" s="2">
        <v>0</v>
      </c>
      <c r="C294" s="2">
        <v>4</v>
      </c>
      <c r="D294" s="2">
        <v>4</v>
      </c>
      <c r="E294" s="2">
        <v>1</v>
      </c>
      <c r="F294" s="1">
        <v>18.594241719999999</v>
      </c>
      <c r="G294" s="2">
        <v>23</v>
      </c>
      <c r="H294" s="2">
        <v>54</v>
      </c>
      <c r="I294" s="2">
        <v>92</v>
      </c>
      <c r="J294" s="2">
        <v>2</v>
      </c>
      <c r="K294" s="2">
        <v>0</v>
      </c>
      <c r="L29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94" s="2" t="str">
        <f>IF(Table1[[#This Row],[Experience Years]]&lt;=2,"Entry Level",IF(Table1[[#This Row],[Experience Years]]&lt;=7,"Mid Level",IF(Table1[[#This Row],[Experience Years]]&lt;=15,"Senior Level")))</f>
        <v>Mid Level</v>
      </c>
      <c r="N294" s="1">
        <f>AVERAGE(Table1[[#This Row],[Interview Score]:[Personality Score]])</f>
        <v>56.333333333333336</v>
      </c>
      <c r="O2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94" s="2" t="str">
        <f t="shared" si="4"/>
        <v>10-20</v>
      </c>
    </row>
    <row r="295" spans="1:16" x14ac:dyDescent="0.25">
      <c r="A295">
        <v>49</v>
      </c>
      <c r="B295" s="2">
        <v>1</v>
      </c>
      <c r="C295" s="2">
        <v>2</v>
      </c>
      <c r="D295" s="2">
        <v>15</v>
      </c>
      <c r="E295" s="2">
        <v>4</v>
      </c>
      <c r="F295" s="1">
        <v>36.280765240000001</v>
      </c>
      <c r="G295" s="2">
        <v>13</v>
      </c>
      <c r="H295" s="2">
        <v>39</v>
      </c>
      <c r="I295" s="2">
        <v>43</v>
      </c>
      <c r="J295" s="2">
        <v>2</v>
      </c>
      <c r="K295" s="2">
        <v>0</v>
      </c>
      <c r="L29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295" t="str">
        <f>IF(Table1[[#This Row],[Experience Years]]&lt;=2,"Entry Level",IF(Table1[[#This Row],[Experience Years]]&lt;=7,"Mid Level",IF(Table1[[#This Row],[Experience Years]]&lt;=15,"Senior Level")))</f>
        <v>Senior Level</v>
      </c>
      <c r="N295" s="1">
        <f>AVERAGE(Table1[[#This Row],[Interview Score]:[Personality Score]])</f>
        <v>31.666666666666668</v>
      </c>
      <c r="O2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95" s="2" t="str">
        <f t="shared" si="4"/>
        <v>30-40</v>
      </c>
    </row>
    <row r="296" spans="1:16" x14ac:dyDescent="0.25">
      <c r="A296">
        <v>21</v>
      </c>
      <c r="B296" s="2">
        <v>1</v>
      </c>
      <c r="C296" s="2">
        <v>1</v>
      </c>
      <c r="D296" s="2">
        <v>12</v>
      </c>
      <c r="E296" s="2">
        <v>2</v>
      </c>
      <c r="F296" s="1">
        <v>27.0775492</v>
      </c>
      <c r="G296" s="2">
        <v>35</v>
      </c>
      <c r="H296" s="2">
        <v>82</v>
      </c>
      <c r="I296" s="2">
        <v>14</v>
      </c>
      <c r="J296" s="2">
        <v>3</v>
      </c>
      <c r="K296" s="2">
        <v>0</v>
      </c>
      <c r="L29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296" t="str">
        <f>IF(Table1[[#This Row],[Experience Years]]&lt;=2,"Entry Level",IF(Table1[[#This Row],[Experience Years]]&lt;=7,"Mid Level",IF(Table1[[#This Row],[Experience Years]]&lt;=15,"Senior Level")))</f>
        <v>Senior Level</v>
      </c>
      <c r="N296" s="1">
        <f>AVERAGE(Table1[[#This Row],[Interview Score]:[Personality Score]])</f>
        <v>43.666666666666664</v>
      </c>
      <c r="O2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96" s="2" t="str">
        <f t="shared" si="4"/>
        <v>20-30</v>
      </c>
    </row>
    <row r="297" spans="1:16" x14ac:dyDescent="0.25">
      <c r="A297">
        <v>40</v>
      </c>
      <c r="B297" s="2">
        <v>0</v>
      </c>
      <c r="C297" s="2">
        <v>2</v>
      </c>
      <c r="D297" s="2">
        <v>4</v>
      </c>
      <c r="E297" s="2">
        <v>2</v>
      </c>
      <c r="F297" s="1">
        <v>7.2323714499999996</v>
      </c>
      <c r="G297" s="2">
        <v>68</v>
      </c>
      <c r="H297" s="2">
        <v>81</v>
      </c>
      <c r="I297" s="2">
        <v>92</v>
      </c>
      <c r="J297" s="2">
        <v>3</v>
      </c>
      <c r="K297" s="2">
        <v>0</v>
      </c>
      <c r="L29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297" s="2" t="str">
        <f>IF(Table1[[#This Row],[Experience Years]]&lt;=2,"Entry Level",IF(Table1[[#This Row],[Experience Years]]&lt;=7,"Mid Level",IF(Table1[[#This Row],[Experience Years]]&lt;=15,"Senior Level")))</f>
        <v>Mid Level</v>
      </c>
      <c r="N297" s="1">
        <f>AVERAGE(Table1[[#This Row],[Interview Score]:[Personality Score]])</f>
        <v>80.333333333333329</v>
      </c>
      <c r="O2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297" s="2" t="str">
        <f t="shared" si="4"/>
        <v>0-10</v>
      </c>
    </row>
    <row r="298" spans="1:16" x14ac:dyDescent="0.25">
      <c r="A298">
        <v>31</v>
      </c>
      <c r="B298" s="2">
        <v>1</v>
      </c>
      <c r="C298" s="2">
        <v>2</v>
      </c>
      <c r="D298" s="2">
        <v>0</v>
      </c>
      <c r="E298" s="2">
        <v>5</v>
      </c>
      <c r="F298" s="1">
        <v>49.07072702</v>
      </c>
      <c r="G298" s="2">
        <v>74</v>
      </c>
      <c r="H298" s="2">
        <v>49</v>
      </c>
      <c r="I298" s="2">
        <v>48</v>
      </c>
      <c r="J298" s="2">
        <v>2</v>
      </c>
      <c r="K298" s="2">
        <v>0</v>
      </c>
      <c r="L29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298" t="str">
        <f>IF(Table1[[#This Row],[Experience Years]]&lt;=2,"Entry Level",IF(Table1[[#This Row],[Experience Years]]&lt;=7,"Mid Level",IF(Table1[[#This Row],[Experience Years]]&lt;=15,"Senior Level")))</f>
        <v>Entry Level</v>
      </c>
      <c r="N298" s="1">
        <f>AVERAGE(Table1[[#This Row],[Interview Score]:[Personality Score]])</f>
        <v>57</v>
      </c>
      <c r="O2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298" s="2" t="str">
        <f t="shared" si="4"/>
        <v>40-50</v>
      </c>
    </row>
    <row r="299" spans="1:16" x14ac:dyDescent="0.25">
      <c r="A299">
        <v>45</v>
      </c>
      <c r="B299" s="2">
        <v>0</v>
      </c>
      <c r="C299" s="2">
        <v>1</v>
      </c>
      <c r="D299" s="2">
        <v>9</v>
      </c>
      <c r="E299" s="2">
        <v>4</v>
      </c>
      <c r="F299" s="1">
        <v>32.795538290000003</v>
      </c>
      <c r="G299" s="2">
        <v>23</v>
      </c>
      <c r="H299" s="2">
        <v>94</v>
      </c>
      <c r="I299" s="2">
        <v>20</v>
      </c>
      <c r="J299" s="2">
        <v>1</v>
      </c>
      <c r="K299" s="2">
        <v>1</v>
      </c>
      <c r="L29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299" s="2" t="str">
        <f>IF(Table1[[#This Row],[Experience Years]]&lt;=2,"Entry Level",IF(Table1[[#This Row],[Experience Years]]&lt;=7,"Mid Level",IF(Table1[[#This Row],[Experience Years]]&lt;=15,"Senior Level")))</f>
        <v>Senior Level</v>
      </c>
      <c r="N299" s="1">
        <f>AVERAGE(Table1[[#This Row],[Interview Score]:[Personality Score]])</f>
        <v>45.666666666666664</v>
      </c>
      <c r="O2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299" s="2" t="str">
        <f t="shared" si="4"/>
        <v>30-40</v>
      </c>
    </row>
    <row r="300" spans="1:16" x14ac:dyDescent="0.25">
      <c r="A300">
        <v>25</v>
      </c>
      <c r="B300" s="2">
        <v>0</v>
      </c>
      <c r="C300" s="2">
        <v>4</v>
      </c>
      <c r="D300" s="2">
        <v>11</v>
      </c>
      <c r="E300" s="2">
        <v>3</v>
      </c>
      <c r="F300" s="1">
        <v>39.293421279999997</v>
      </c>
      <c r="G300" s="2">
        <v>59</v>
      </c>
      <c r="H300" s="2">
        <v>32</v>
      </c>
      <c r="I300" s="2">
        <v>14</v>
      </c>
      <c r="J300" s="2">
        <v>1</v>
      </c>
      <c r="K300" s="2">
        <v>1</v>
      </c>
      <c r="L30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00" s="2" t="str">
        <f>IF(Table1[[#This Row],[Experience Years]]&lt;=2,"Entry Level",IF(Table1[[#This Row],[Experience Years]]&lt;=7,"Mid Level",IF(Table1[[#This Row],[Experience Years]]&lt;=15,"Senior Level")))</f>
        <v>Senior Level</v>
      </c>
      <c r="N300" s="1">
        <f>AVERAGE(Table1[[#This Row],[Interview Score]:[Personality Score]])</f>
        <v>35</v>
      </c>
      <c r="O3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00" s="2" t="str">
        <f t="shared" si="4"/>
        <v>30-40</v>
      </c>
    </row>
    <row r="301" spans="1:16" x14ac:dyDescent="0.25">
      <c r="A301">
        <v>42</v>
      </c>
      <c r="B301" s="2">
        <v>1</v>
      </c>
      <c r="C301" s="2">
        <v>2</v>
      </c>
      <c r="D301" s="2">
        <v>4</v>
      </c>
      <c r="E301" s="2">
        <v>5</v>
      </c>
      <c r="F301" s="1">
        <v>4.9606574999999999</v>
      </c>
      <c r="G301" s="2">
        <v>94</v>
      </c>
      <c r="H301" s="2">
        <v>17</v>
      </c>
      <c r="I301" s="2">
        <v>13</v>
      </c>
      <c r="J301" s="2">
        <v>3</v>
      </c>
      <c r="K301" s="2">
        <v>0</v>
      </c>
      <c r="L30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01" t="str">
        <f>IF(Table1[[#This Row],[Experience Years]]&lt;=2,"Entry Level",IF(Table1[[#This Row],[Experience Years]]&lt;=7,"Mid Level",IF(Table1[[#This Row],[Experience Years]]&lt;=15,"Senior Level")))</f>
        <v>Mid Level</v>
      </c>
      <c r="N301" s="1">
        <f>AVERAGE(Table1[[#This Row],[Interview Score]:[Personality Score]])</f>
        <v>41.333333333333336</v>
      </c>
      <c r="O3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01" s="2" t="str">
        <f t="shared" si="4"/>
        <v>0-10</v>
      </c>
    </row>
    <row r="302" spans="1:16" x14ac:dyDescent="0.25">
      <c r="A302">
        <v>23</v>
      </c>
      <c r="B302" s="2">
        <v>0</v>
      </c>
      <c r="C302" s="2">
        <v>3</v>
      </c>
      <c r="D302" s="2">
        <v>1</v>
      </c>
      <c r="E302" s="2">
        <v>2</v>
      </c>
      <c r="F302" s="1">
        <v>3.352918973</v>
      </c>
      <c r="G302" s="2">
        <v>54</v>
      </c>
      <c r="H302" s="2">
        <v>56</v>
      </c>
      <c r="I302" s="2">
        <v>41</v>
      </c>
      <c r="J302" s="2">
        <v>2</v>
      </c>
      <c r="K302" s="2">
        <v>0</v>
      </c>
      <c r="L30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02" s="2" t="str">
        <f>IF(Table1[[#This Row],[Experience Years]]&lt;=2,"Entry Level",IF(Table1[[#This Row],[Experience Years]]&lt;=7,"Mid Level",IF(Table1[[#This Row],[Experience Years]]&lt;=15,"Senior Level")))</f>
        <v>Entry Level</v>
      </c>
      <c r="N302" s="1">
        <f>AVERAGE(Table1[[#This Row],[Interview Score]:[Personality Score]])</f>
        <v>50.333333333333336</v>
      </c>
      <c r="O3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02" s="2" t="str">
        <f t="shared" si="4"/>
        <v>0-10</v>
      </c>
    </row>
    <row r="303" spans="1:16" x14ac:dyDescent="0.25">
      <c r="A303">
        <v>42</v>
      </c>
      <c r="B303" s="2">
        <v>1</v>
      </c>
      <c r="C303" s="2">
        <v>2</v>
      </c>
      <c r="D303" s="2">
        <v>6</v>
      </c>
      <c r="E303" s="2">
        <v>4</v>
      </c>
      <c r="F303" s="1">
        <v>1.972402518</v>
      </c>
      <c r="G303" s="2">
        <v>76</v>
      </c>
      <c r="H303" s="2">
        <v>15</v>
      </c>
      <c r="I303" s="2">
        <v>79</v>
      </c>
      <c r="J303" s="2">
        <v>1</v>
      </c>
      <c r="K303" s="2">
        <v>1</v>
      </c>
      <c r="L30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03" t="str">
        <f>IF(Table1[[#This Row],[Experience Years]]&lt;=2,"Entry Level",IF(Table1[[#This Row],[Experience Years]]&lt;=7,"Mid Level",IF(Table1[[#This Row],[Experience Years]]&lt;=15,"Senior Level")))</f>
        <v>Mid Level</v>
      </c>
      <c r="N303" s="1">
        <f>AVERAGE(Table1[[#This Row],[Interview Score]:[Personality Score]])</f>
        <v>56.666666666666664</v>
      </c>
      <c r="O3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03" s="2" t="str">
        <f t="shared" si="4"/>
        <v>0-10</v>
      </c>
    </row>
    <row r="304" spans="1:16" x14ac:dyDescent="0.25">
      <c r="A304">
        <v>30</v>
      </c>
      <c r="B304" s="2">
        <v>1</v>
      </c>
      <c r="C304" s="2">
        <v>1</v>
      </c>
      <c r="D304" s="2">
        <v>2</v>
      </c>
      <c r="E304" s="2">
        <v>5</v>
      </c>
      <c r="F304" s="1">
        <v>10.43970139</v>
      </c>
      <c r="G304" s="2">
        <v>79</v>
      </c>
      <c r="H304" s="2">
        <v>79</v>
      </c>
      <c r="I304" s="2">
        <v>14</v>
      </c>
      <c r="J304" s="2">
        <v>2</v>
      </c>
      <c r="K304" s="2">
        <v>0</v>
      </c>
      <c r="L30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04" t="str">
        <f>IF(Table1[[#This Row],[Experience Years]]&lt;=2,"Entry Level",IF(Table1[[#This Row],[Experience Years]]&lt;=7,"Mid Level",IF(Table1[[#This Row],[Experience Years]]&lt;=15,"Senior Level")))</f>
        <v>Entry Level</v>
      </c>
      <c r="N304" s="1">
        <f>AVERAGE(Table1[[#This Row],[Interview Score]:[Personality Score]])</f>
        <v>57.333333333333336</v>
      </c>
      <c r="O3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04" s="2" t="str">
        <f t="shared" si="4"/>
        <v>10-20</v>
      </c>
    </row>
    <row r="305" spans="1:16" x14ac:dyDescent="0.25">
      <c r="A305">
        <v>43</v>
      </c>
      <c r="B305" s="2">
        <v>0</v>
      </c>
      <c r="C305" s="2">
        <v>2</v>
      </c>
      <c r="D305" s="2">
        <v>12</v>
      </c>
      <c r="E305" s="2">
        <v>4</v>
      </c>
      <c r="F305" s="1">
        <v>21.720419889999999</v>
      </c>
      <c r="G305" s="2">
        <v>23</v>
      </c>
      <c r="H305" s="2">
        <v>37</v>
      </c>
      <c r="I305" s="2">
        <v>62</v>
      </c>
      <c r="J305" s="2">
        <v>3</v>
      </c>
      <c r="K305" s="2">
        <v>0</v>
      </c>
      <c r="L30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05" s="2" t="str">
        <f>IF(Table1[[#This Row],[Experience Years]]&lt;=2,"Entry Level",IF(Table1[[#This Row],[Experience Years]]&lt;=7,"Mid Level",IF(Table1[[#This Row],[Experience Years]]&lt;=15,"Senior Level")))</f>
        <v>Senior Level</v>
      </c>
      <c r="N305" s="1">
        <f>AVERAGE(Table1[[#This Row],[Interview Score]:[Personality Score]])</f>
        <v>40.666666666666664</v>
      </c>
      <c r="O3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05" s="2" t="str">
        <f t="shared" si="4"/>
        <v>20-30</v>
      </c>
    </row>
    <row r="306" spans="1:16" x14ac:dyDescent="0.25">
      <c r="A306">
        <v>46</v>
      </c>
      <c r="B306" s="2">
        <v>0</v>
      </c>
      <c r="C306" s="2">
        <v>1</v>
      </c>
      <c r="D306" s="2">
        <v>14</v>
      </c>
      <c r="E306" s="2">
        <v>2</v>
      </c>
      <c r="F306" s="1">
        <v>47.791306669999997</v>
      </c>
      <c r="G306" s="2">
        <v>76</v>
      </c>
      <c r="H306" s="2">
        <v>40</v>
      </c>
      <c r="I306" s="2">
        <v>67</v>
      </c>
      <c r="J306" s="2">
        <v>2</v>
      </c>
      <c r="K306" s="2">
        <v>0</v>
      </c>
      <c r="L30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06" s="2" t="str">
        <f>IF(Table1[[#This Row],[Experience Years]]&lt;=2,"Entry Level",IF(Table1[[#This Row],[Experience Years]]&lt;=7,"Mid Level",IF(Table1[[#This Row],[Experience Years]]&lt;=15,"Senior Level")))</f>
        <v>Senior Level</v>
      </c>
      <c r="N306" s="1">
        <f>AVERAGE(Table1[[#This Row],[Interview Score]:[Personality Score]])</f>
        <v>61</v>
      </c>
      <c r="O3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06" s="2" t="str">
        <f t="shared" si="4"/>
        <v>40-50</v>
      </c>
    </row>
    <row r="307" spans="1:16" x14ac:dyDescent="0.25">
      <c r="A307">
        <v>36</v>
      </c>
      <c r="B307" s="2">
        <v>0</v>
      </c>
      <c r="C307" s="2">
        <v>2</v>
      </c>
      <c r="D307" s="2">
        <v>3</v>
      </c>
      <c r="E307" s="2">
        <v>5</v>
      </c>
      <c r="F307" s="1">
        <v>23.852982959999999</v>
      </c>
      <c r="G307" s="2">
        <v>23</v>
      </c>
      <c r="H307" s="2">
        <v>6</v>
      </c>
      <c r="I307" s="2">
        <v>26</v>
      </c>
      <c r="J307" s="2">
        <v>2</v>
      </c>
      <c r="K307" s="2">
        <v>0</v>
      </c>
      <c r="L30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07" s="2" t="str">
        <f>IF(Table1[[#This Row],[Experience Years]]&lt;=2,"Entry Level",IF(Table1[[#This Row],[Experience Years]]&lt;=7,"Mid Level",IF(Table1[[#This Row],[Experience Years]]&lt;=15,"Senior Level")))</f>
        <v>Mid Level</v>
      </c>
      <c r="N307" s="1">
        <f>AVERAGE(Table1[[#This Row],[Interview Score]:[Personality Score]])</f>
        <v>18.333333333333332</v>
      </c>
      <c r="O3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07" s="2" t="str">
        <f t="shared" si="4"/>
        <v>20-30</v>
      </c>
    </row>
    <row r="308" spans="1:16" x14ac:dyDescent="0.25">
      <c r="A308">
        <v>50</v>
      </c>
      <c r="B308" s="2">
        <v>0</v>
      </c>
      <c r="C308" s="2">
        <v>4</v>
      </c>
      <c r="D308" s="2">
        <v>2</v>
      </c>
      <c r="E308" s="2">
        <v>2</v>
      </c>
      <c r="F308" s="1">
        <v>15.51275527</v>
      </c>
      <c r="G308" s="2">
        <v>53</v>
      </c>
      <c r="H308" s="2">
        <v>77</v>
      </c>
      <c r="I308" s="2">
        <v>86</v>
      </c>
      <c r="J308" s="2">
        <v>3</v>
      </c>
      <c r="K308" s="2">
        <v>0</v>
      </c>
      <c r="L30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08" s="2" t="str">
        <f>IF(Table1[[#This Row],[Experience Years]]&lt;=2,"Entry Level",IF(Table1[[#This Row],[Experience Years]]&lt;=7,"Mid Level",IF(Table1[[#This Row],[Experience Years]]&lt;=15,"Senior Level")))</f>
        <v>Entry Level</v>
      </c>
      <c r="N308" s="1">
        <f>AVERAGE(Table1[[#This Row],[Interview Score]:[Personality Score]])</f>
        <v>72</v>
      </c>
      <c r="O3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08" s="2" t="str">
        <f t="shared" si="4"/>
        <v>10-20</v>
      </c>
    </row>
    <row r="309" spans="1:16" x14ac:dyDescent="0.25">
      <c r="A309">
        <v>25</v>
      </c>
      <c r="B309" s="2">
        <v>1</v>
      </c>
      <c r="C309" s="2">
        <v>2</v>
      </c>
      <c r="D309" s="2">
        <v>2</v>
      </c>
      <c r="E309" s="2">
        <v>1</v>
      </c>
      <c r="F309" s="1">
        <v>29.096762680000001</v>
      </c>
      <c r="G309" s="2">
        <v>25</v>
      </c>
      <c r="H309" s="2">
        <v>52</v>
      </c>
      <c r="I309" s="2">
        <v>92</v>
      </c>
      <c r="J309" s="2">
        <v>2</v>
      </c>
      <c r="K309" s="2">
        <v>0</v>
      </c>
      <c r="L30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09" t="str">
        <f>IF(Table1[[#This Row],[Experience Years]]&lt;=2,"Entry Level",IF(Table1[[#This Row],[Experience Years]]&lt;=7,"Mid Level",IF(Table1[[#This Row],[Experience Years]]&lt;=15,"Senior Level")))</f>
        <v>Entry Level</v>
      </c>
      <c r="N309" s="1">
        <f>AVERAGE(Table1[[#This Row],[Interview Score]:[Personality Score]])</f>
        <v>56.333333333333336</v>
      </c>
      <c r="O3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09" s="2" t="str">
        <f t="shared" si="4"/>
        <v>20-30</v>
      </c>
    </row>
    <row r="310" spans="1:16" x14ac:dyDescent="0.25">
      <c r="A310">
        <v>43</v>
      </c>
      <c r="B310" s="2">
        <v>1</v>
      </c>
      <c r="C310" s="2">
        <v>2</v>
      </c>
      <c r="D310" s="2">
        <v>3</v>
      </c>
      <c r="E310" s="2">
        <v>2</v>
      </c>
      <c r="F310" s="1">
        <v>6.5967289070000001</v>
      </c>
      <c r="G310" s="2">
        <v>65</v>
      </c>
      <c r="H310" s="2">
        <v>62</v>
      </c>
      <c r="I310" s="2">
        <v>52</v>
      </c>
      <c r="J310" s="2">
        <v>1</v>
      </c>
      <c r="K310" s="2">
        <v>0</v>
      </c>
      <c r="L31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10" t="str">
        <f>IF(Table1[[#This Row],[Experience Years]]&lt;=2,"Entry Level",IF(Table1[[#This Row],[Experience Years]]&lt;=7,"Mid Level",IF(Table1[[#This Row],[Experience Years]]&lt;=15,"Senior Level")))</f>
        <v>Mid Level</v>
      </c>
      <c r="N310" s="1">
        <f>AVERAGE(Table1[[#This Row],[Interview Score]:[Personality Score]])</f>
        <v>59.666666666666664</v>
      </c>
      <c r="O3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10" s="2" t="str">
        <f t="shared" si="4"/>
        <v>0-10</v>
      </c>
    </row>
    <row r="311" spans="1:16" x14ac:dyDescent="0.25">
      <c r="A311">
        <v>24</v>
      </c>
      <c r="B311" s="2">
        <v>0</v>
      </c>
      <c r="C311" s="2">
        <v>1</v>
      </c>
      <c r="D311" s="2">
        <v>4</v>
      </c>
      <c r="E311" s="2">
        <v>4</v>
      </c>
      <c r="F311" s="1">
        <v>31.475294550000001</v>
      </c>
      <c r="G311" s="2">
        <v>79</v>
      </c>
      <c r="H311" s="2">
        <v>88</v>
      </c>
      <c r="I311" s="2">
        <v>51</v>
      </c>
      <c r="J311" s="2">
        <v>3</v>
      </c>
      <c r="K311" s="2">
        <v>0</v>
      </c>
      <c r="L31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11" s="2" t="str">
        <f>IF(Table1[[#This Row],[Experience Years]]&lt;=2,"Entry Level",IF(Table1[[#This Row],[Experience Years]]&lt;=7,"Mid Level",IF(Table1[[#This Row],[Experience Years]]&lt;=15,"Senior Level")))</f>
        <v>Mid Level</v>
      </c>
      <c r="N311" s="1">
        <f>AVERAGE(Table1[[#This Row],[Interview Score]:[Personality Score]])</f>
        <v>72.666666666666671</v>
      </c>
      <c r="O3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11" s="2" t="str">
        <f t="shared" si="4"/>
        <v>30-40</v>
      </c>
    </row>
    <row r="312" spans="1:16" x14ac:dyDescent="0.25">
      <c r="A312">
        <v>39</v>
      </c>
      <c r="B312" s="2">
        <v>1</v>
      </c>
      <c r="C312" s="2">
        <v>1</v>
      </c>
      <c r="D312" s="2">
        <v>0</v>
      </c>
      <c r="E312" s="2">
        <v>3</v>
      </c>
      <c r="F312" s="1">
        <v>29.421597720000001</v>
      </c>
      <c r="G312" s="2">
        <v>37</v>
      </c>
      <c r="H312" s="2">
        <v>31</v>
      </c>
      <c r="I312" s="2">
        <v>62</v>
      </c>
      <c r="J312" s="2">
        <v>3</v>
      </c>
      <c r="K312" s="2">
        <v>0</v>
      </c>
      <c r="L31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12" t="str">
        <f>IF(Table1[[#This Row],[Experience Years]]&lt;=2,"Entry Level",IF(Table1[[#This Row],[Experience Years]]&lt;=7,"Mid Level",IF(Table1[[#This Row],[Experience Years]]&lt;=15,"Senior Level")))</f>
        <v>Entry Level</v>
      </c>
      <c r="N312" s="1">
        <f>AVERAGE(Table1[[#This Row],[Interview Score]:[Personality Score]])</f>
        <v>43.333333333333336</v>
      </c>
      <c r="O3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12" s="2" t="str">
        <f t="shared" si="4"/>
        <v>20-30</v>
      </c>
    </row>
    <row r="313" spans="1:16" x14ac:dyDescent="0.25">
      <c r="A313">
        <v>21</v>
      </c>
      <c r="B313" s="2">
        <v>1</v>
      </c>
      <c r="C313" s="2">
        <v>1</v>
      </c>
      <c r="D313" s="2">
        <v>3</v>
      </c>
      <c r="E313" s="2">
        <v>2</v>
      </c>
      <c r="F313" s="1">
        <v>40.59965167</v>
      </c>
      <c r="G313" s="2">
        <v>64</v>
      </c>
      <c r="H313" s="2">
        <v>37</v>
      </c>
      <c r="I313" s="2">
        <v>72</v>
      </c>
      <c r="J313" s="2">
        <v>3</v>
      </c>
      <c r="K313" s="2">
        <v>0</v>
      </c>
      <c r="L31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13" t="str">
        <f>IF(Table1[[#This Row],[Experience Years]]&lt;=2,"Entry Level",IF(Table1[[#This Row],[Experience Years]]&lt;=7,"Mid Level",IF(Table1[[#This Row],[Experience Years]]&lt;=15,"Senior Level")))</f>
        <v>Mid Level</v>
      </c>
      <c r="N313" s="1">
        <f>AVERAGE(Table1[[#This Row],[Interview Score]:[Personality Score]])</f>
        <v>57.666666666666664</v>
      </c>
      <c r="O3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13" s="2" t="str">
        <f t="shared" si="4"/>
        <v>40-50</v>
      </c>
    </row>
    <row r="314" spans="1:16" x14ac:dyDescent="0.25">
      <c r="A314">
        <v>25</v>
      </c>
      <c r="B314" s="2">
        <v>1</v>
      </c>
      <c r="C314" s="2">
        <v>2</v>
      </c>
      <c r="D314" s="2">
        <v>11</v>
      </c>
      <c r="E314" s="2">
        <v>3</v>
      </c>
      <c r="F314" s="1">
        <v>50.334380580000001</v>
      </c>
      <c r="G314" s="2">
        <v>74</v>
      </c>
      <c r="H314" s="2">
        <v>21</v>
      </c>
      <c r="I314" s="2">
        <v>52</v>
      </c>
      <c r="J314" s="2">
        <v>2</v>
      </c>
      <c r="K314" s="2">
        <v>0</v>
      </c>
      <c r="L31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14" t="str">
        <f>IF(Table1[[#This Row],[Experience Years]]&lt;=2,"Entry Level",IF(Table1[[#This Row],[Experience Years]]&lt;=7,"Mid Level",IF(Table1[[#This Row],[Experience Years]]&lt;=15,"Senior Level")))</f>
        <v>Senior Level</v>
      </c>
      <c r="N314" s="1">
        <f>AVERAGE(Table1[[#This Row],[Interview Score]:[Personality Score]])</f>
        <v>49</v>
      </c>
      <c r="O3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14" s="2" t="str">
        <f t="shared" si="4"/>
        <v>50+</v>
      </c>
    </row>
    <row r="315" spans="1:16" x14ac:dyDescent="0.25">
      <c r="A315">
        <v>41</v>
      </c>
      <c r="B315" s="2">
        <v>1</v>
      </c>
      <c r="C315" s="2">
        <v>1</v>
      </c>
      <c r="D315" s="2">
        <v>11</v>
      </c>
      <c r="E315" s="2">
        <v>1</v>
      </c>
      <c r="F315" s="1">
        <v>13.543673589999999</v>
      </c>
      <c r="G315" s="2">
        <v>50</v>
      </c>
      <c r="H315" s="2">
        <v>15</v>
      </c>
      <c r="I315" s="2">
        <v>56</v>
      </c>
      <c r="J315" s="2">
        <v>1</v>
      </c>
      <c r="K315" s="2">
        <v>0</v>
      </c>
      <c r="L31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15" t="str">
        <f>IF(Table1[[#This Row],[Experience Years]]&lt;=2,"Entry Level",IF(Table1[[#This Row],[Experience Years]]&lt;=7,"Mid Level",IF(Table1[[#This Row],[Experience Years]]&lt;=15,"Senior Level")))</f>
        <v>Senior Level</v>
      </c>
      <c r="N315" s="1">
        <f>AVERAGE(Table1[[#This Row],[Interview Score]:[Personality Score]])</f>
        <v>40.333333333333336</v>
      </c>
      <c r="O3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15" s="2" t="str">
        <f t="shared" si="4"/>
        <v>10-20</v>
      </c>
    </row>
    <row r="316" spans="1:16" x14ac:dyDescent="0.25">
      <c r="A316">
        <v>30</v>
      </c>
      <c r="B316" s="2">
        <v>0</v>
      </c>
      <c r="C316" s="2">
        <v>2</v>
      </c>
      <c r="D316" s="2">
        <v>10</v>
      </c>
      <c r="E316" s="2">
        <v>5</v>
      </c>
      <c r="F316" s="1">
        <v>26.482822540000001</v>
      </c>
      <c r="G316" s="2">
        <v>34</v>
      </c>
      <c r="H316" s="2">
        <v>51</v>
      </c>
      <c r="I316" s="2">
        <v>51</v>
      </c>
      <c r="J316" s="2">
        <v>3</v>
      </c>
      <c r="K316" s="2">
        <v>0</v>
      </c>
      <c r="L31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16" s="2" t="str">
        <f>IF(Table1[[#This Row],[Experience Years]]&lt;=2,"Entry Level",IF(Table1[[#This Row],[Experience Years]]&lt;=7,"Mid Level",IF(Table1[[#This Row],[Experience Years]]&lt;=15,"Senior Level")))</f>
        <v>Senior Level</v>
      </c>
      <c r="N316" s="1">
        <f>AVERAGE(Table1[[#This Row],[Interview Score]:[Personality Score]])</f>
        <v>45.333333333333336</v>
      </c>
      <c r="O3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16" s="2" t="str">
        <f t="shared" si="4"/>
        <v>20-30</v>
      </c>
    </row>
    <row r="317" spans="1:16" x14ac:dyDescent="0.25">
      <c r="A317">
        <v>50</v>
      </c>
      <c r="B317" s="2">
        <v>0</v>
      </c>
      <c r="C317" s="2">
        <v>2</v>
      </c>
      <c r="D317" s="2">
        <v>7</v>
      </c>
      <c r="E317" s="2">
        <v>5</v>
      </c>
      <c r="F317" s="1">
        <v>46.443270320000003</v>
      </c>
      <c r="G317" s="2">
        <v>42</v>
      </c>
      <c r="H317" s="2">
        <v>28</v>
      </c>
      <c r="I317" s="2">
        <v>42</v>
      </c>
      <c r="J317" s="2">
        <v>1</v>
      </c>
      <c r="K317" s="2">
        <v>0</v>
      </c>
      <c r="L31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17" s="2" t="str">
        <f>IF(Table1[[#This Row],[Experience Years]]&lt;=2,"Entry Level",IF(Table1[[#This Row],[Experience Years]]&lt;=7,"Mid Level",IF(Table1[[#This Row],[Experience Years]]&lt;=15,"Senior Level")))</f>
        <v>Mid Level</v>
      </c>
      <c r="N317" s="1">
        <f>AVERAGE(Table1[[#This Row],[Interview Score]:[Personality Score]])</f>
        <v>37.333333333333336</v>
      </c>
      <c r="O3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17" s="2" t="str">
        <f t="shared" si="4"/>
        <v>40-50</v>
      </c>
    </row>
    <row r="318" spans="1:16" x14ac:dyDescent="0.25">
      <c r="A318">
        <v>35</v>
      </c>
      <c r="B318" s="2">
        <v>1</v>
      </c>
      <c r="C318" s="2">
        <v>2</v>
      </c>
      <c r="D318" s="2">
        <v>9</v>
      </c>
      <c r="E318" s="2">
        <v>3</v>
      </c>
      <c r="F318" s="1">
        <v>40.259494220000001</v>
      </c>
      <c r="G318" s="2">
        <v>28</v>
      </c>
      <c r="H318" s="2">
        <v>15</v>
      </c>
      <c r="I318" s="2">
        <v>6</v>
      </c>
      <c r="J318" s="2">
        <v>3</v>
      </c>
      <c r="K318" s="2">
        <v>0</v>
      </c>
      <c r="L31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18" t="str">
        <f>IF(Table1[[#This Row],[Experience Years]]&lt;=2,"Entry Level",IF(Table1[[#This Row],[Experience Years]]&lt;=7,"Mid Level",IF(Table1[[#This Row],[Experience Years]]&lt;=15,"Senior Level")))</f>
        <v>Senior Level</v>
      </c>
      <c r="N318" s="1">
        <f>AVERAGE(Table1[[#This Row],[Interview Score]:[Personality Score]])</f>
        <v>16.333333333333332</v>
      </c>
      <c r="O3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18" s="2" t="str">
        <f t="shared" si="4"/>
        <v>40-50</v>
      </c>
    </row>
    <row r="319" spans="1:16" x14ac:dyDescent="0.25">
      <c r="A319">
        <v>35</v>
      </c>
      <c r="B319" s="2">
        <v>0</v>
      </c>
      <c r="C319" s="2">
        <v>1</v>
      </c>
      <c r="D319" s="2">
        <v>6</v>
      </c>
      <c r="E319" s="2">
        <v>5</v>
      </c>
      <c r="F319" s="1">
        <v>25.370315160000001</v>
      </c>
      <c r="G319" s="2">
        <v>36</v>
      </c>
      <c r="H319" s="2">
        <v>75</v>
      </c>
      <c r="I319" s="2">
        <v>41</v>
      </c>
      <c r="J319" s="2">
        <v>3</v>
      </c>
      <c r="K319" s="2">
        <v>0</v>
      </c>
      <c r="L31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19" s="2" t="str">
        <f>IF(Table1[[#This Row],[Experience Years]]&lt;=2,"Entry Level",IF(Table1[[#This Row],[Experience Years]]&lt;=7,"Mid Level",IF(Table1[[#This Row],[Experience Years]]&lt;=15,"Senior Level")))</f>
        <v>Mid Level</v>
      </c>
      <c r="N319" s="1">
        <f>AVERAGE(Table1[[#This Row],[Interview Score]:[Personality Score]])</f>
        <v>50.666666666666664</v>
      </c>
      <c r="O3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19" s="2" t="str">
        <f t="shared" si="4"/>
        <v>20-30</v>
      </c>
    </row>
    <row r="320" spans="1:16" x14ac:dyDescent="0.25">
      <c r="A320">
        <v>20</v>
      </c>
      <c r="B320" s="2">
        <v>0</v>
      </c>
      <c r="C320" s="2">
        <v>2</v>
      </c>
      <c r="D320" s="2">
        <v>8</v>
      </c>
      <c r="E320" s="2">
        <v>2</v>
      </c>
      <c r="F320" s="1">
        <v>48.268582479999999</v>
      </c>
      <c r="G320" s="2">
        <v>80</v>
      </c>
      <c r="H320" s="2">
        <v>16</v>
      </c>
      <c r="I320" s="2">
        <v>3</v>
      </c>
      <c r="J320" s="2">
        <v>2</v>
      </c>
      <c r="K320" s="2">
        <v>0</v>
      </c>
      <c r="L32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20" s="2" t="str">
        <f>IF(Table1[[#This Row],[Experience Years]]&lt;=2,"Entry Level",IF(Table1[[#This Row],[Experience Years]]&lt;=7,"Mid Level",IF(Table1[[#This Row],[Experience Years]]&lt;=15,"Senior Level")))</f>
        <v>Senior Level</v>
      </c>
      <c r="N320" s="1">
        <f>AVERAGE(Table1[[#This Row],[Interview Score]:[Personality Score]])</f>
        <v>33</v>
      </c>
      <c r="O3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20" s="2" t="str">
        <f t="shared" si="4"/>
        <v>40-50</v>
      </c>
    </row>
    <row r="321" spans="1:16" x14ac:dyDescent="0.25">
      <c r="A321">
        <v>28</v>
      </c>
      <c r="B321" s="2">
        <v>0</v>
      </c>
      <c r="C321" s="2">
        <v>4</v>
      </c>
      <c r="D321" s="2">
        <v>4</v>
      </c>
      <c r="E321" s="2">
        <v>3</v>
      </c>
      <c r="F321" s="1">
        <v>3.861834676</v>
      </c>
      <c r="G321" s="2">
        <v>57</v>
      </c>
      <c r="H321" s="2">
        <v>100</v>
      </c>
      <c r="I321" s="2">
        <v>68</v>
      </c>
      <c r="J321" s="2">
        <v>3</v>
      </c>
      <c r="K321" s="2">
        <v>0</v>
      </c>
      <c r="L32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21" s="2" t="str">
        <f>IF(Table1[[#This Row],[Experience Years]]&lt;=2,"Entry Level",IF(Table1[[#This Row],[Experience Years]]&lt;=7,"Mid Level",IF(Table1[[#This Row],[Experience Years]]&lt;=15,"Senior Level")))</f>
        <v>Mid Level</v>
      </c>
      <c r="N321" s="1">
        <f>AVERAGE(Table1[[#This Row],[Interview Score]:[Personality Score]])</f>
        <v>75</v>
      </c>
      <c r="O3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21" s="2" t="str">
        <f t="shared" si="4"/>
        <v>0-10</v>
      </c>
    </row>
    <row r="322" spans="1:16" x14ac:dyDescent="0.25">
      <c r="A322">
        <v>47</v>
      </c>
      <c r="B322" s="2">
        <v>1</v>
      </c>
      <c r="C322" s="2">
        <v>2</v>
      </c>
      <c r="D322" s="2">
        <v>12</v>
      </c>
      <c r="E322" s="2">
        <v>4</v>
      </c>
      <c r="F322" s="1">
        <v>47.54993099</v>
      </c>
      <c r="G322" s="2">
        <v>53</v>
      </c>
      <c r="H322" s="2">
        <v>63</v>
      </c>
      <c r="I322" s="2">
        <v>4</v>
      </c>
      <c r="J322" s="2">
        <v>2</v>
      </c>
      <c r="K322" s="2">
        <v>0</v>
      </c>
      <c r="L32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22" t="str">
        <f>IF(Table1[[#This Row],[Experience Years]]&lt;=2,"Entry Level",IF(Table1[[#This Row],[Experience Years]]&lt;=7,"Mid Level",IF(Table1[[#This Row],[Experience Years]]&lt;=15,"Senior Level")))</f>
        <v>Senior Level</v>
      </c>
      <c r="N322" s="1">
        <f>AVERAGE(Table1[[#This Row],[Interview Score]:[Personality Score]])</f>
        <v>40</v>
      </c>
      <c r="O3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22" s="2" t="str">
        <f t="shared" ref="P322:P385" si="5">IF(F322&lt;10,"0-10",IF(F322&lt;20,"10-20",IF(F322&lt;30,"20-30",IF(F322&lt;40,"30-40",IF(F322&lt;50,"40-50","50+")))))</f>
        <v>40-50</v>
      </c>
    </row>
    <row r="323" spans="1:16" x14ac:dyDescent="0.25">
      <c r="A323">
        <v>46</v>
      </c>
      <c r="B323" s="2">
        <v>1</v>
      </c>
      <c r="C323" s="2">
        <v>2</v>
      </c>
      <c r="D323" s="2">
        <v>14</v>
      </c>
      <c r="E323" s="2">
        <v>2</v>
      </c>
      <c r="F323" s="1">
        <v>3.5253696190000001</v>
      </c>
      <c r="G323" s="2">
        <v>38</v>
      </c>
      <c r="H323" s="2">
        <v>90</v>
      </c>
      <c r="I323" s="2">
        <v>74</v>
      </c>
      <c r="J323" s="2">
        <v>1</v>
      </c>
      <c r="K323" s="2">
        <v>1</v>
      </c>
      <c r="L32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23" t="str">
        <f>IF(Table1[[#This Row],[Experience Years]]&lt;=2,"Entry Level",IF(Table1[[#This Row],[Experience Years]]&lt;=7,"Mid Level",IF(Table1[[#This Row],[Experience Years]]&lt;=15,"Senior Level")))</f>
        <v>Senior Level</v>
      </c>
      <c r="N323" s="1">
        <f>AVERAGE(Table1[[#This Row],[Interview Score]:[Personality Score]])</f>
        <v>67.333333333333329</v>
      </c>
      <c r="O3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23" s="2" t="str">
        <f t="shared" si="5"/>
        <v>0-10</v>
      </c>
    </row>
    <row r="324" spans="1:16" x14ac:dyDescent="0.25">
      <c r="A324">
        <v>25</v>
      </c>
      <c r="B324" s="2">
        <v>1</v>
      </c>
      <c r="C324" s="2">
        <v>1</v>
      </c>
      <c r="D324" s="2">
        <v>9</v>
      </c>
      <c r="E324" s="2">
        <v>2</v>
      </c>
      <c r="F324" s="1">
        <v>28.36523721</v>
      </c>
      <c r="G324" s="2">
        <v>41</v>
      </c>
      <c r="H324" s="2">
        <v>88</v>
      </c>
      <c r="I324" s="2">
        <v>91</v>
      </c>
      <c r="J324" s="2">
        <v>2</v>
      </c>
      <c r="K324" s="2">
        <v>0</v>
      </c>
      <c r="L32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24" t="str">
        <f>IF(Table1[[#This Row],[Experience Years]]&lt;=2,"Entry Level",IF(Table1[[#This Row],[Experience Years]]&lt;=7,"Mid Level",IF(Table1[[#This Row],[Experience Years]]&lt;=15,"Senior Level")))</f>
        <v>Senior Level</v>
      </c>
      <c r="N324" s="1">
        <f>AVERAGE(Table1[[#This Row],[Interview Score]:[Personality Score]])</f>
        <v>73.333333333333329</v>
      </c>
      <c r="O3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24" s="2" t="str">
        <f t="shared" si="5"/>
        <v>20-30</v>
      </c>
    </row>
    <row r="325" spans="1:16" x14ac:dyDescent="0.25">
      <c r="A325">
        <v>35</v>
      </c>
      <c r="B325" s="2">
        <v>0</v>
      </c>
      <c r="C325" s="2">
        <v>4</v>
      </c>
      <c r="D325" s="2">
        <v>3</v>
      </c>
      <c r="E325" s="2">
        <v>2</v>
      </c>
      <c r="F325" s="1">
        <v>45.522047399999998</v>
      </c>
      <c r="G325" s="2">
        <v>27</v>
      </c>
      <c r="H325" s="2">
        <v>12</v>
      </c>
      <c r="I325" s="2">
        <v>79</v>
      </c>
      <c r="J325" s="2">
        <v>1</v>
      </c>
      <c r="K325" s="2">
        <v>1</v>
      </c>
      <c r="L32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25" s="2" t="str">
        <f>IF(Table1[[#This Row],[Experience Years]]&lt;=2,"Entry Level",IF(Table1[[#This Row],[Experience Years]]&lt;=7,"Mid Level",IF(Table1[[#This Row],[Experience Years]]&lt;=15,"Senior Level")))</f>
        <v>Mid Level</v>
      </c>
      <c r="N325" s="1">
        <f>AVERAGE(Table1[[#This Row],[Interview Score]:[Personality Score]])</f>
        <v>39.333333333333336</v>
      </c>
      <c r="O3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25" s="2" t="str">
        <f t="shared" si="5"/>
        <v>40-50</v>
      </c>
    </row>
    <row r="326" spans="1:16" x14ac:dyDescent="0.25">
      <c r="A326">
        <v>48</v>
      </c>
      <c r="B326" s="2">
        <v>1</v>
      </c>
      <c r="C326" s="2">
        <v>2</v>
      </c>
      <c r="D326" s="2">
        <v>7</v>
      </c>
      <c r="E326" s="2">
        <v>4</v>
      </c>
      <c r="F326" s="1">
        <v>14.13604718</v>
      </c>
      <c r="G326" s="2">
        <v>28</v>
      </c>
      <c r="H326" s="2">
        <v>71</v>
      </c>
      <c r="I326" s="2">
        <v>40</v>
      </c>
      <c r="J326" s="2">
        <v>2</v>
      </c>
      <c r="K326" s="2">
        <v>0</v>
      </c>
      <c r="L32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26" t="str">
        <f>IF(Table1[[#This Row],[Experience Years]]&lt;=2,"Entry Level",IF(Table1[[#This Row],[Experience Years]]&lt;=7,"Mid Level",IF(Table1[[#This Row],[Experience Years]]&lt;=15,"Senior Level")))</f>
        <v>Mid Level</v>
      </c>
      <c r="N326" s="1">
        <f>AVERAGE(Table1[[#This Row],[Interview Score]:[Personality Score]])</f>
        <v>46.333333333333336</v>
      </c>
      <c r="O3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26" s="2" t="str">
        <f t="shared" si="5"/>
        <v>10-20</v>
      </c>
    </row>
    <row r="327" spans="1:16" x14ac:dyDescent="0.25">
      <c r="A327">
        <v>22</v>
      </c>
      <c r="B327" s="2">
        <v>1</v>
      </c>
      <c r="C327" s="2">
        <v>2</v>
      </c>
      <c r="D327" s="2">
        <v>8</v>
      </c>
      <c r="E327" s="2">
        <v>1</v>
      </c>
      <c r="F327" s="1">
        <v>24.612424950000001</v>
      </c>
      <c r="G327" s="2">
        <v>42</v>
      </c>
      <c r="H327" s="2">
        <v>55</v>
      </c>
      <c r="I327" s="2">
        <v>93</v>
      </c>
      <c r="J327" s="2">
        <v>1</v>
      </c>
      <c r="K327" s="2">
        <v>1</v>
      </c>
      <c r="L32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27" t="str">
        <f>IF(Table1[[#This Row],[Experience Years]]&lt;=2,"Entry Level",IF(Table1[[#This Row],[Experience Years]]&lt;=7,"Mid Level",IF(Table1[[#This Row],[Experience Years]]&lt;=15,"Senior Level")))</f>
        <v>Senior Level</v>
      </c>
      <c r="N327" s="1">
        <f>AVERAGE(Table1[[#This Row],[Interview Score]:[Personality Score]])</f>
        <v>63.333333333333336</v>
      </c>
      <c r="O3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27" s="2" t="str">
        <f t="shared" si="5"/>
        <v>20-30</v>
      </c>
    </row>
    <row r="328" spans="1:16" x14ac:dyDescent="0.25">
      <c r="A328">
        <v>39</v>
      </c>
      <c r="B328" s="2">
        <v>0</v>
      </c>
      <c r="C328" s="2">
        <v>3</v>
      </c>
      <c r="D328" s="2">
        <v>12</v>
      </c>
      <c r="E328" s="2">
        <v>5</v>
      </c>
      <c r="F328" s="1">
        <v>17.216443959999999</v>
      </c>
      <c r="G328" s="2">
        <v>2</v>
      </c>
      <c r="H328" s="2">
        <v>4</v>
      </c>
      <c r="I328" s="2">
        <v>3</v>
      </c>
      <c r="J328" s="2">
        <v>2</v>
      </c>
      <c r="K328" s="2">
        <v>0</v>
      </c>
      <c r="L32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28" s="2" t="str">
        <f>IF(Table1[[#This Row],[Experience Years]]&lt;=2,"Entry Level",IF(Table1[[#This Row],[Experience Years]]&lt;=7,"Mid Level",IF(Table1[[#This Row],[Experience Years]]&lt;=15,"Senior Level")))</f>
        <v>Senior Level</v>
      </c>
      <c r="N328" s="1">
        <f>AVERAGE(Table1[[#This Row],[Interview Score]:[Personality Score]])</f>
        <v>3</v>
      </c>
      <c r="O3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28" s="2" t="str">
        <f t="shared" si="5"/>
        <v>10-20</v>
      </c>
    </row>
    <row r="329" spans="1:16" x14ac:dyDescent="0.25">
      <c r="A329">
        <v>47</v>
      </c>
      <c r="B329" s="2">
        <v>1</v>
      </c>
      <c r="C329" s="2">
        <v>2</v>
      </c>
      <c r="D329" s="2">
        <v>6</v>
      </c>
      <c r="E329" s="2">
        <v>3</v>
      </c>
      <c r="F329" s="1">
        <v>48.607195849999997</v>
      </c>
      <c r="G329" s="2">
        <v>9</v>
      </c>
      <c r="H329" s="2">
        <v>11</v>
      </c>
      <c r="I329" s="2">
        <v>1</v>
      </c>
      <c r="J329" s="2">
        <v>3</v>
      </c>
      <c r="K329" s="2">
        <v>0</v>
      </c>
      <c r="L32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29" t="str">
        <f>IF(Table1[[#This Row],[Experience Years]]&lt;=2,"Entry Level",IF(Table1[[#This Row],[Experience Years]]&lt;=7,"Mid Level",IF(Table1[[#This Row],[Experience Years]]&lt;=15,"Senior Level")))</f>
        <v>Mid Level</v>
      </c>
      <c r="N329" s="1">
        <f>AVERAGE(Table1[[#This Row],[Interview Score]:[Personality Score]])</f>
        <v>7</v>
      </c>
      <c r="O3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29" s="2" t="str">
        <f t="shared" si="5"/>
        <v>40-50</v>
      </c>
    </row>
    <row r="330" spans="1:16" x14ac:dyDescent="0.25">
      <c r="A330">
        <v>46</v>
      </c>
      <c r="B330" s="2">
        <v>1</v>
      </c>
      <c r="C330" s="2">
        <v>2</v>
      </c>
      <c r="D330" s="2">
        <v>13</v>
      </c>
      <c r="E330" s="2">
        <v>1</v>
      </c>
      <c r="F330" s="1">
        <v>42.182279739999998</v>
      </c>
      <c r="G330" s="2">
        <v>58</v>
      </c>
      <c r="H330" s="2">
        <v>40</v>
      </c>
      <c r="I330" s="2">
        <v>66</v>
      </c>
      <c r="J330" s="2">
        <v>3</v>
      </c>
      <c r="K330" s="2">
        <v>0</v>
      </c>
      <c r="L33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30" t="str">
        <f>IF(Table1[[#This Row],[Experience Years]]&lt;=2,"Entry Level",IF(Table1[[#This Row],[Experience Years]]&lt;=7,"Mid Level",IF(Table1[[#This Row],[Experience Years]]&lt;=15,"Senior Level")))</f>
        <v>Senior Level</v>
      </c>
      <c r="N330" s="1">
        <f>AVERAGE(Table1[[#This Row],[Interview Score]:[Personality Score]])</f>
        <v>54.666666666666664</v>
      </c>
      <c r="O3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30" s="2" t="str">
        <f t="shared" si="5"/>
        <v>40-50</v>
      </c>
    </row>
    <row r="331" spans="1:16" x14ac:dyDescent="0.25">
      <c r="A331">
        <v>23</v>
      </c>
      <c r="B331" s="2">
        <v>0</v>
      </c>
      <c r="C331" s="2">
        <v>2</v>
      </c>
      <c r="D331" s="2">
        <v>15</v>
      </c>
      <c r="E331" s="2">
        <v>3</v>
      </c>
      <c r="F331" s="1">
        <v>36.450075570000003</v>
      </c>
      <c r="G331" s="2">
        <v>13</v>
      </c>
      <c r="H331" s="2">
        <v>2</v>
      </c>
      <c r="I331" s="2">
        <v>20</v>
      </c>
      <c r="J331" s="2">
        <v>2</v>
      </c>
      <c r="K331" s="2">
        <v>0</v>
      </c>
      <c r="L33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31" s="2" t="str">
        <f>IF(Table1[[#This Row],[Experience Years]]&lt;=2,"Entry Level",IF(Table1[[#This Row],[Experience Years]]&lt;=7,"Mid Level",IF(Table1[[#This Row],[Experience Years]]&lt;=15,"Senior Level")))</f>
        <v>Senior Level</v>
      </c>
      <c r="N331" s="1">
        <f>AVERAGE(Table1[[#This Row],[Interview Score]:[Personality Score]])</f>
        <v>11.666666666666666</v>
      </c>
      <c r="O3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31" s="2" t="str">
        <f t="shared" si="5"/>
        <v>30-40</v>
      </c>
    </row>
    <row r="332" spans="1:16" x14ac:dyDescent="0.25">
      <c r="A332">
        <v>38</v>
      </c>
      <c r="B332" s="2">
        <v>0</v>
      </c>
      <c r="C332" s="2">
        <v>2</v>
      </c>
      <c r="D332" s="2">
        <v>6</v>
      </c>
      <c r="E332" s="2">
        <v>5</v>
      </c>
      <c r="F332" s="1">
        <v>30.381349329999999</v>
      </c>
      <c r="G332" s="2">
        <v>75</v>
      </c>
      <c r="H332" s="2">
        <v>98</v>
      </c>
      <c r="I332" s="2">
        <v>69</v>
      </c>
      <c r="J332" s="2">
        <v>2</v>
      </c>
      <c r="K332" s="2">
        <v>1</v>
      </c>
      <c r="L33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32" s="2" t="str">
        <f>IF(Table1[[#This Row],[Experience Years]]&lt;=2,"Entry Level",IF(Table1[[#This Row],[Experience Years]]&lt;=7,"Mid Level",IF(Table1[[#This Row],[Experience Years]]&lt;=15,"Senior Level")))</f>
        <v>Mid Level</v>
      </c>
      <c r="N332" s="1">
        <f>AVERAGE(Table1[[#This Row],[Interview Score]:[Personality Score]])</f>
        <v>80.666666666666671</v>
      </c>
      <c r="O3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332" s="2" t="str">
        <f t="shared" si="5"/>
        <v>30-40</v>
      </c>
    </row>
    <row r="333" spans="1:16" x14ac:dyDescent="0.25">
      <c r="A333">
        <v>45</v>
      </c>
      <c r="B333" s="2">
        <v>0</v>
      </c>
      <c r="C333" s="2">
        <v>4</v>
      </c>
      <c r="D333" s="2">
        <v>15</v>
      </c>
      <c r="E333" s="2">
        <v>4</v>
      </c>
      <c r="F333" s="1">
        <v>42.029589469999998</v>
      </c>
      <c r="G333" s="2">
        <v>46</v>
      </c>
      <c r="H333" s="2">
        <v>32</v>
      </c>
      <c r="I333" s="2">
        <v>42</v>
      </c>
      <c r="J333" s="2">
        <v>2</v>
      </c>
      <c r="K333" s="2">
        <v>0</v>
      </c>
      <c r="L33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33" s="2" t="str">
        <f>IF(Table1[[#This Row],[Experience Years]]&lt;=2,"Entry Level",IF(Table1[[#This Row],[Experience Years]]&lt;=7,"Mid Level",IF(Table1[[#This Row],[Experience Years]]&lt;=15,"Senior Level")))</f>
        <v>Senior Level</v>
      </c>
      <c r="N333" s="1">
        <f>AVERAGE(Table1[[#This Row],[Interview Score]:[Personality Score]])</f>
        <v>40</v>
      </c>
      <c r="O3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33" s="2" t="str">
        <f t="shared" si="5"/>
        <v>40-50</v>
      </c>
    </row>
    <row r="334" spans="1:16" x14ac:dyDescent="0.25">
      <c r="A334">
        <v>22</v>
      </c>
      <c r="B334" s="2">
        <v>1</v>
      </c>
      <c r="C334" s="2">
        <v>3</v>
      </c>
      <c r="D334" s="2">
        <v>4</v>
      </c>
      <c r="E334" s="2">
        <v>2</v>
      </c>
      <c r="F334" s="1">
        <v>20.613352079999999</v>
      </c>
      <c r="G334" s="2">
        <v>41</v>
      </c>
      <c r="H334" s="2">
        <v>85</v>
      </c>
      <c r="I334" s="2">
        <v>81</v>
      </c>
      <c r="J334" s="2">
        <v>3</v>
      </c>
      <c r="K334" s="2">
        <v>0</v>
      </c>
      <c r="L33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34" t="str">
        <f>IF(Table1[[#This Row],[Experience Years]]&lt;=2,"Entry Level",IF(Table1[[#This Row],[Experience Years]]&lt;=7,"Mid Level",IF(Table1[[#This Row],[Experience Years]]&lt;=15,"Senior Level")))</f>
        <v>Mid Level</v>
      </c>
      <c r="N334" s="1">
        <f>AVERAGE(Table1[[#This Row],[Interview Score]:[Personality Score]])</f>
        <v>69</v>
      </c>
      <c r="O3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34" s="2" t="str">
        <f t="shared" si="5"/>
        <v>20-30</v>
      </c>
    </row>
    <row r="335" spans="1:16" x14ac:dyDescent="0.25">
      <c r="A335">
        <v>50</v>
      </c>
      <c r="B335" s="2">
        <v>1</v>
      </c>
      <c r="C335" s="2">
        <v>2</v>
      </c>
      <c r="D335" s="2">
        <v>3</v>
      </c>
      <c r="E335" s="2">
        <v>2</v>
      </c>
      <c r="F335" s="1">
        <v>23.377592759999999</v>
      </c>
      <c r="G335" s="2">
        <v>93</v>
      </c>
      <c r="H335" s="2">
        <v>49</v>
      </c>
      <c r="I335" s="2">
        <v>68</v>
      </c>
      <c r="J335" s="2">
        <v>2</v>
      </c>
      <c r="K335" s="2">
        <v>0</v>
      </c>
      <c r="L33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35" t="str">
        <f>IF(Table1[[#This Row],[Experience Years]]&lt;=2,"Entry Level",IF(Table1[[#This Row],[Experience Years]]&lt;=7,"Mid Level",IF(Table1[[#This Row],[Experience Years]]&lt;=15,"Senior Level")))</f>
        <v>Mid Level</v>
      </c>
      <c r="N335" s="1">
        <f>AVERAGE(Table1[[#This Row],[Interview Score]:[Personality Score]])</f>
        <v>70</v>
      </c>
      <c r="O3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35" s="2" t="str">
        <f t="shared" si="5"/>
        <v>20-30</v>
      </c>
    </row>
    <row r="336" spans="1:16" x14ac:dyDescent="0.25">
      <c r="A336">
        <v>38</v>
      </c>
      <c r="B336" s="2">
        <v>1</v>
      </c>
      <c r="C336" s="2">
        <v>1</v>
      </c>
      <c r="D336" s="2">
        <v>13</v>
      </c>
      <c r="E336" s="2">
        <v>4</v>
      </c>
      <c r="F336" s="1">
        <v>37.50008605</v>
      </c>
      <c r="G336" s="2">
        <v>31</v>
      </c>
      <c r="H336" s="2">
        <v>55</v>
      </c>
      <c r="I336" s="2">
        <v>8</v>
      </c>
      <c r="J336" s="2">
        <v>2</v>
      </c>
      <c r="K336" s="2">
        <v>0</v>
      </c>
      <c r="L33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36" t="str">
        <f>IF(Table1[[#This Row],[Experience Years]]&lt;=2,"Entry Level",IF(Table1[[#This Row],[Experience Years]]&lt;=7,"Mid Level",IF(Table1[[#This Row],[Experience Years]]&lt;=15,"Senior Level")))</f>
        <v>Senior Level</v>
      </c>
      <c r="N336" s="1">
        <f>AVERAGE(Table1[[#This Row],[Interview Score]:[Personality Score]])</f>
        <v>31.333333333333332</v>
      </c>
      <c r="O3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36" s="2" t="str">
        <f t="shared" si="5"/>
        <v>30-40</v>
      </c>
    </row>
    <row r="337" spans="1:16" x14ac:dyDescent="0.25">
      <c r="A337">
        <v>39</v>
      </c>
      <c r="B337" s="2">
        <v>0</v>
      </c>
      <c r="C337" s="2">
        <v>1</v>
      </c>
      <c r="D337" s="2">
        <v>9</v>
      </c>
      <c r="E337" s="2">
        <v>1</v>
      </c>
      <c r="F337" s="1">
        <v>18.887738160000001</v>
      </c>
      <c r="G337" s="2">
        <v>31</v>
      </c>
      <c r="H337" s="2">
        <v>8</v>
      </c>
      <c r="I337" s="2">
        <v>83</v>
      </c>
      <c r="J337" s="2">
        <v>3</v>
      </c>
      <c r="K337" s="2">
        <v>0</v>
      </c>
      <c r="L33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37" s="2" t="str">
        <f>IF(Table1[[#This Row],[Experience Years]]&lt;=2,"Entry Level",IF(Table1[[#This Row],[Experience Years]]&lt;=7,"Mid Level",IF(Table1[[#This Row],[Experience Years]]&lt;=15,"Senior Level")))</f>
        <v>Senior Level</v>
      </c>
      <c r="N337" s="1">
        <f>AVERAGE(Table1[[#This Row],[Interview Score]:[Personality Score]])</f>
        <v>40.666666666666664</v>
      </c>
      <c r="O3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37" s="2" t="str">
        <f t="shared" si="5"/>
        <v>10-20</v>
      </c>
    </row>
    <row r="338" spans="1:16" x14ac:dyDescent="0.25">
      <c r="A338">
        <v>26</v>
      </c>
      <c r="B338" s="2">
        <v>0</v>
      </c>
      <c r="C338" s="2">
        <v>2</v>
      </c>
      <c r="D338" s="2">
        <v>0</v>
      </c>
      <c r="E338" s="2">
        <v>1</v>
      </c>
      <c r="F338" s="1">
        <v>4.1950471020000002</v>
      </c>
      <c r="G338" s="2">
        <v>41</v>
      </c>
      <c r="H338" s="2">
        <v>81</v>
      </c>
      <c r="I338" s="2">
        <v>27</v>
      </c>
      <c r="J338" s="2">
        <v>2</v>
      </c>
      <c r="K338" s="2">
        <v>0</v>
      </c>
      <c r="L33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38" s="2" t="str">
        <f>IF(Table1[[#This Row],[Experience Years]]&lt;=2,"Entry Level",IF(Table1[[#This Row],[Experience Years]]&lt;=7,"Mid Level",IF(Table1[[#This Row],[Experience Years]]&lt;=15,"Senior Level")))</f>
        <v>Entry Level</v>
      </c>
      <c r="N338" s="1">
        <f>AVERAGE(Table1[[#This Row],[Interview Score]:[Personality Score]])</f>
        <v>49.666666666666664</v>
      </c>
      <c r="O3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38" s="2" t="str">
        <f t="shared" si="5"/>
        <v>0-10</v>
      </c>
    </row>
    <row r="339" spans="1:16" x14ac:dyDescent="0.25">
      <c r="A339">
        <v>39</v>
      </c>
      <c r="B339" s="2">
        <v>1</v>
      </c>
      <c r="C339" s="2">
        <v>3</v>
      </c>
      <c r="D339" s="2">
        <v>9</v>
      </c>
      <c r="E339" s="2">
        <v>3</v>
      </c>
      <c r="F339" s="1">
        <v>4.7167304440000004</v>
      </c>
      <c r="G339" s="2">
        <v>31</v>
      </c>
      <c r="H339" s="2">
        <v>49</v>
      </c>
      <c r="I339" s="2">
        <v>25</v>
      </c>
      <c r="J339" s="2">
        <v>3</v>
      </c>
      <c r="K339" s="2">
        <v>0</v>
      </c>
      <c r="L33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39" t="str">
        <f>IF(Table1[[#This Row],[Experience Years]]&lt;=2,"Entry Level",IF(Table1[[#This Row],[Experience Years]]&lt;=7,"Mid Level",IF(Table1[[#This Row],[Experience Years]]&lt;=15,"Senior Level")))</f>
        <v>Senior Level</v>
      </c>
      <c r="N339" s="1">
        <f>AVERAGE(Table1[[#This Row],[Interview Score]:[Personality Score]])</f>
        <v>35</v>
      </c>
      <c r="O3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39" s="2" t="str">
        <f t="shared" si="5"/>
        <v>0-10</v>
      </c>
    </row>
    <row r="340" spans="1:16" x14ac:dyDescent="0.25">
      <c r="A340">
        <v>28</v>
      </c>
      <c r="B340" s="2">
        <v>1</v>
      </c>
      <c r="C340" s="2">
        <v>2</v>
      </c>
      <c r="D340" s="2">
        <v>9</v>
      </c>
      <c r="E340" s="2">
        <v>4</v>
      </c>
      <c r="F340" s="1">
        <v>6.7681400649999999</v>
      </c>
      <c r="G340" s="2">
        <v>25</v>
      </c>
      <c r="H340" s="2">
        <v>28</v>
      </c>
      <c r="I340" s="2">
        <v>81</v>
      </c>
      <c r="J340" s="2">
        <v>3</v>
      </c>
      <c r="K340" s="2">
        <v>0</v>
      </c>
      <c r="L34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40" t="str">
        <f>IF(Table1[[#This Row],[Experience Years]]&lt;=2,"Entry Level",IF(Table1[[#This Row],[Experience Years]]&lt;=7,"Mid Level",IF(Table1[[#This Row],[Experience Years]]&lt;=15,"Senior Level")))</f>
        <v>Senior Level</v>
      </c>
      <c r="N340" s="1">
        <f>AVERAGE(Table1[[#This Row],[Interview Score]:[Personality Score]])</f>
        <v>44.666666666666664</v>
      </c>
      <c r="O3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40" s="2" t="str">
        <f t="shared" si="5"/>
        <v>0-10</v>
      </c>
    </row>
    <row r="341" spans="1:16" x14ac:dyDescent="0.25">
      <c r="A341">
        <v>20</v>
      </c>
      <c r="B341" s="2">
        <v>0</v>
      </c>
      <c r="C341" s="2">
        <v>2</v>
      </c>
      <c r="D341" s="2">
        <v>6</v>
      </c>
      <c r="E341" s="2">
        <v>1</v>
      </c>
      <c r="F341" s="1">
        <v>44.484066169999998</v>
      </c>
      <c r="G341" s="2">
        <v>0</v>
      </c>
      <c r="H341" s="2">
        <v>38</v>
      </c>
      <c r="I341" s="2">
        <v>82</v>
      </c>
      <c r="J341" s="2">
        <v>3</v>
      </c>
      <c r="K341" s="2">
        <v>0</v>
      </c>
      <c r="L34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41" s="2" t="str">
        <f>IF(Table1[[#This Row],[Experience Years]]&lt;=2,"Entry Level",IF(Table1[[#This Row],[Experience Years]]&lt;=7,"Mid Level",IF(Table1[[#This Row],[Experience Years]]&lt;=15,"Senior Level")))</f>
        <v>Mid Level</v>
      </c>
      <c r="N341" s="1">
        <f>AVERAGE(Table1[[#This Row],[Interview Score]:[Personality Score]])</f>
        <v>40</v>
      </c>
      <c r="O3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41" s="2" t="str">
        <f t="shared" si="5"/>
        <v>40-50</v>
      </c>
    </row>
    <row r="342" spans="1:16" x14ac:dyDescent="0.25">
      <c r="A342">
        <v>27</v>
      </c>
      <c r="B342" s="2">
        <v>0</v>
      </c>
      <c r="C342" s="2">
        <v>3</v>
      </c>
      <c r="D342" s="2">
        <v>15</v>
      </c>
      <c r="E342" s="2">
        <v>4</v>
      </c>
      <c r="F342" s="1">
        <v>24.611321289999999</v>
      </c>
      <c r="G342" s="2">
        <v>55</v>
      </c>
      <c r="H342" s="2">
        <v>90</v>
      </c>
      <c r="I342" s="2">
        <v>2</v>
      </c>
      <c r="J342" s="2">
        <v>1</v>
      </c>
      <c r="K342" s="2">
        <v>1</v>
      </c>
      <c r="L34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42" s="2" t="str">
        <f>IF(Table1[[#This Row],[Experience Years]]&lt;=2,"Entry Level",IF(Table1[[#This Row],[Experience Years]]&lt;=7,"Mid Level",IF(Table1[[#This Row],[Experience Years]]&lt;=15,"Senior Level")))</f>
        <v>Senior Level</v>
      </c>
      <c r="N342" s="1">
        <f>AVERAGE(Table1[[#This Row],[Interview Score]:[Personality Score]])</f>
        <v>49</v>
      </c>
      <c r="O3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42" s="2" t="str">
        <f t="shared" si="5"/>
        <v>20-30</v>
      </c>
    </row>
    <row r="343" spans="1:16" x14ac:dyDescent="0.25">
      <c r="A343">
        <v>26</v>
      </c>
      <c r="B343" s="2">
        <v>0</v>
      </c>
      <c r="C343" s="2">
        <v>1</v>
      </c>
      <c r="D343" s="2">
        <v>0</v>
      </c>
      <c r="E343" s="2">
        <v>5</v>
      </c>
      <c r="F343" s="1">
        <v>36.644118470000002</v>
      </c>
      <c r="G343" s="2">
        <v>1</v>
      </c>
      <c r="H343" s="2">
        <v>99</v>
      </c>
      <c r="I343" s="2">
        <v>72</v>
      </c>
      <c r="J343" s="2">
        <v>2</v>
      </c>
      <c r="K343" s="2">
        <v>0</v>
      </c>
      <c r="L34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43" s="2" t="str">
        <f>IF(Table1[[#This Row],[Experience Years]]&lt;=2,"Entry Level",IF(Table1[[#This Row],[Experience Years]]&lt;=7,"Mid Level",IF(Table1[[#This Row],[Experience Years]]&lt;=15,"Senior Level")))</f>
        <v>Entry Level</v>
      </c>
      <c r="N343" s="1">
        <f>AVERAGE(Table1[[#This Row],[Interview Score]:[Personality Score]])</f>
        <v>57.333333333333336</v>
      </c>
      <c r="O3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43" s="2" t="str">
        <f t="shared" si="5"/>
        <v>30-40</v>
      </c>
    </row>
    <row r="344" spans="1:16" x14ac:dyDescent="0.25">
      <c r="A344">
        <v>37</v>
      </c>
      <c r="B344" s="2">
        <v>0</v>
      </c>
      <c r="C344" s="2">
        <v>2</v>
      </c>
      <c r="D344" s="2">
        <v>0</v>
      </c>
      <c r="E344" s="2">
        <v>2</v>
      </c>
      <c r="F344" s="1">
        <v>20.64546678</v>
      </c>
      <c r="G344" s="2">
        <v>80</v>
      </c>
      <c r="H344" s="2">
        <v>44</v>
      </c>
      <c r="I344" s="2">
        <v>99</v>
      </c>
      <c r="J344" s="2">
        <v>3</v>
      </c>
      <c r="K344" s="2">
        <v>0</v>
      </c>
      <c r="L34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44" s="2" t="str">
        <f>IF(Table1[[#This Row],[Experience Years]]&lt;=2,"Entry Level",IF(Table1[[#This Row],[Experience Years]]&lt;=7,"Mid Level",IF(Table1[[#This Row],[Experience Years]]&lt;=15,"Senior Level")))</f>
        <v>Entry Level</v>
      </c>
      <c r="N344" s="1">
        <f>AVERAGE(Table1[[#This Row],[Interview Score]:[Personality Score]])</f>
        <v>74.333333333333329</v>
      </c>
      <c r="O3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44" s="2" t="str">
        <f t="shared" si="5"/>
        <v>20-30</v>
      </c>
    </row>
    <row r="345" spans="1:16" x14ac:dyDescent="0.25">
      <c r="A345">
        <v>27</v>
      </c>
      <c r="B345" s="2">
        <v>1</v>
      </c>
      <c r="C345" s="2">
        <v>1</v>
      </c>
      <c r="D345" s="2">
        <v>4</v>
      </c>
      <c r="E345" s="2">
        <v>2</v>
      </c>
      <c r="F345" s="1">
        <v>13.93554737</v>
      </c>
      <c r="G345" s="2">
        <v>29</v>
      </c>
      <c r="H345" s="2">
        <v>16</v>
      </c>
      <c r="I345" s="2">
        <v>94</v>
      </c>
      <c r="J345" s="2">
        <v>2</v>
      </c>
      <c r="K345" s="2">
        <v>0</v>
      </c>
      <c r="L34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45" t="str">
        <f>IF(Table1[[#This Row],[Experience Years]]&lt;=2,"Entry Level",IF(Table1[[#This Row],[Experience Years]]&lt;=7,"Mid Level",IF(Table1[[#This Row],[Experience Years]]&lt;=15,"Senior Level")))</f>
        <v>Mid Level</v>
      </c>
      <c r="N345" s="1">
        <f>AVERAGE(Table1[[#This Row],[Interview Score]:[Personality Score]])</f>
        <v>46.333333333333336</v>
      </c>
      <c r="O3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45" s="2" t="str">
        <f t="shared" si="5"/>
        <v>10-20</v>
      </c>
    </row>
    <row r="346" spans="1:16" x14ac:dyDescent="0.25">
      <c r="A346">
        <v>20</v>
      </c>
      <c r="B346" s="2">
        <v>0</v>
      </c>
      <c r="C346" s="2">
        <v>4</v>
      </c>
      <c r="D346" s="2">
        <v>12</v>
      </c>
      <c r="E346" s="2">
        <v>2</v>
      </c>
      <c r="F346" s="1">
        <v>18.359608380000001</v>
      </c>
      <c r="G346" s="2">
        <v>70</v>
      </c>
      <c r="H346" s="2">
        <v>55</v>
      </c>
      <c r="I346" s="2">
        <v>48</v>
      </c>
      <c r="J346" s="2">
        <v>2</v>
      </c>
      <c r="K346" s="2">
        <v>0</v>
      </c>
      <c r="L34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46" s="2" t="str">
        <f>IF(Table1[[#This Row],[Experience Years]]&lt;=2,"Entry Level",IF(Table1[[#This Row],[Experience Years]]&lt;=7,"Mid Level",IF(Table1[[#This Row],[Experience Years]]&lt;=15,"Senior Level")))</f>
        <v>Senior Level</v>
      </c>
      <c r="N346" s="1">
        <f>AVERAGE(Table1[[#This Row],[Interview Score]:[Personality Score]])</f>
        <v>57.666666666666664</v>
      </c>
      <c r="O3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46" s="2" t="str">
        <f t="shared" si="5"/>
        <v>10-20</v>
      </c>
    </row>
    <row r="347" spans="1:16" x14ac:dyDescent="0.25">
      <c r="A347">
        <v>30</v>
      </c>
      <c r="B347" s="2">
        <v>1</v>
      </c>
      <c r="C347" s="2">
        <v>2</v>
      </c>
      <c r="D347" s="2">
        <v>8</v>
      </c>
      <c r="E347" s="2">
        <v>4</v>
      </c>
      <c r="F347" s="1">
        <v>40.70911727</v>
      </c>
      <c r="G347" s="2">
        <v>51</v>
      </c>
      <c r="H347" s="2">
        <v>97</v>
      </c>
      <c r="I347" s="2">
        <v>16</v>
      </c>
      <c r="J347" s="2">
        <v>1</v>
      </c>
      <c r="K347" s="2">
        <v>1</v>
      </c>
      <c r="L34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47" t="str">
        <f>IF(Table1[[#This Row],[Experience Years]]&lt;=2,"Entry Level",IF(Table1[[#This Row],[Experience Years]]&lt;=7,"Mid Level",IF(Table1[[#This Row],[Experience Years]]&lt;=15,"Senior Level")))</f>
        <v>Senior Level</v>
      </c>
      <c r="N347" s="1">
        <f>AVERAGE(Table1[[#This Row],[Interview Score]:[Personality Score]])</f>
        <v>54.666666666666664</v>
      </c>
      <c r="O3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47" s="2" t="str">
        <f t="shared" si="5"/>
        <v>40-50</v>
      </c>
    </row>
    <row r="348" spans="1:16" x14ac:dyDescent="0.25">
      <c r="A348">
        <v>47</v>
      </c>
      <c r="B348" s="2">
        <v>1</v>
      </c>
      <c r="C348" s="2">
        <v>1</v>
      </c>
      <c r="D348" s="2">
        <v>5</v>
      </c>
      <c r="E348" s="2">
        <v>4</v>
      </c>
      <c r="F348" s="1">
        <v>32.260806250000002</v>
      </c>
      <c r="G348" s="2">
        <v>90</v>
      </c>
      <c r="H348" s="2">
        <v>45</v>
      </c>
      <c r="I348" s="2">
        <v>62</v>
      </c>
      <c r="J348" s="2">
        <v>1</v>
      </c>
      <c r="K348" s="2">
        <v>1</v>
      </c>
      <c r="L34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48" t="str">
        <f>IF(Table1[[#This Row],[Experience Years]]&lt;=2,"Entry Level",IF(Table1[[#This Row],[Experience Years]]&lt;=7,"Mid Level",IF(Table1[[#This Row],[Experience Years]]&lt;=15,"Senior Level")))</f>
        <v>Mid Level</v>
      </c>
      <c r="N348" s="1">
        <f>AVERAGE(Table1[[#This Row],[Interview Score]:[Personality Score]])</f>
        <v>65.666666666666671</v>
      </c>
      <c r="O3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48" s="2" t="str">
        <f t="shared" si="5"/>
        <v>30-40</v>
      </c>
    </row>
    <row r="349" spans="1:16" x14ac:dyDescent="0.25">
      <c r="A349">
        <v>44</v>
      </c>
      <c r="B349" s="2">
        <v>1</v>
      </c>
      <c r="C349" s="2">
        <v>2</v>
      </c>
      <c r="D349" s="2">
        <v>2</v>
      </c>
      <c r="E349" s="2">
        <v>3</v>
      </c>
      <c r="F349" s="1">
        <v>47.881988999999997</v>
      </c>
      <c r="G349" s="2">
        <v>8</v>
      </c>
      <c r="H349" s="2">
        <v>66</v>
      </c>
      <c r="I349" s="2">
        <v>54</v>
      </c>
      <c r="J349" s="2">
        <v>2</v>
      </c>
      <c r="K349" s="2">
        <v>0</v>
      </c>
      <c r="L34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49" t="str">
        <f>IF(Table1[[#This Row],[Experience Years]]&lt;=2,"Entry Level",IF(Table1[[#This Row],[Experience Years]]&lt;=7,"Mid Level",IF(Table1[[#This Row],[Experience Years]]&lt;=15,"Senior Level")))</f>
        <v>Entry Level</v>
      </c>
      <c r="N349" s="1">
        <f>AVERAGE(Table1[[#This Row],[Interview Score]:[Personality Score]])</f>
        <v>42.666666666666664</v>
      </c>
      <c r="O3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49" s="2" t="str">
        <f t="shared" si="5"/>
        <v>40-50</v>
      </c>
    </row>
    <row r="350" spans="1:16" x14ac:dyDescent="0.25">
      <c r="A350">
        <v>44</v>
      </c>
      <c r="B350" s="2">
        <v>0</v>
      </c>
      <c r="C350" s="2">
        <v>2</v>
      </c>
      <c r="D350" s="2">
        <v>12</v>
      </c>
      <c r="E350" s="2">
        <v>2</v>
      </c>
      <c r="F350" s="1">
        <v>34.985238930000001</v>
      </c>
      <c r="G350" s="2">
        <v>21</v>
      </c>
      <c r="H350" s="2">
        <v>68</v>
      </c>
      <c r="I350" s="2">
        <v>22</v>
      </c>
      <c r="J350" s="2">
        <v>2</v>
      </c>
      <c r="K350" s="2">
        <v>0</v>
      </c>
      <c r="L35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50" s="2" t="str">
        <f>IF(Table1[[#This Row],[Experience Years]]&lt;=2,"Entry Level",IF(Table1[[#This Row],[Experience Years]]&lt;=7,"Mid Level",IF(Table1[[#This Row],[Experience Years]]&lt;=15,"Senior Level")))</f>
        <v>Senior Level</v>
      </c>
      <c r="N350" s="1">
        <f>AVERAGE(Table1[[#This Row],[Interview Score]:[Personality Score]])</f>
        <v>37</v>
      </c>
      <c r="O3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50" s="2" t="str">
        <f t="shared" si="5"/>
        <v>30-40</v>
      </c>
    </row>
    <row r="351" spans="1:16" x14ac:dyDescent="0.25">
      <c r="A351">
        <v>37</v>
      </c>
      <c r="B351" s="2">
        <v>0</v>
      </c>
      <c r="C351" s="2">
        <v>3</v>
      </c>
      <c r="D351" s="2">
        <v>2</v>
      </c>
      <c r="E351" s="2">
        <v>3</v>
      </c>
      <c r="F351" s="1">
        <v>29.509081590000001</v>
      </c>
      <c r="G351" s="2">
        <v>33</v>
      </c>
      <c r="H351" s="2">
        <v>13</v>
      </c>
      <c r="I351" s="2">
        <v>33</v>
      </c>
      <c r="J351" s="2">
        <v>2</v>
      </c>
      <c r="K351" s="2">
        <v>0</v>
      </c>
      <c r="L35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51" s="2" t="str">
        <f>IF(Table1[[#This Row],[Experience Years]]&lt;=2,"Entry Level",IF(Table1[[#This Row],[Experience Years]]&lt;=7,"Mid Level",IF(Table1[[#This Row],[Experience Years]]&lt;=15,"Senior Level")))</f>
        <v>Entry Level</v>
      </c>
      <c r="N351" s="1">
        <f>AVERAGE(Table1[[#This Row],[Interview Score]:[Personality Score]])</f>
        <v>26.333333333333332</v>
      </c>
      <c r="O3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51" s="2" t="str">
        <f t="shared" si="5"/>
        <v>20-30</v>
      </c>
    </row>
    <row r="352" spans="1:16" x14ac:dyDescent="0.25">
      <c r="A352">
        <v>42</v>
      </c>
      <c r="B352" s="2">
        <v>0</v>
      </c>
      <c r="C352" s="2">
        <v>3</v>
      </c>
      <c r="D352" s="2">
        <v>6</v>
      </c>
      <c r="E352" s="2">
        <v>2</v>
      </c>
      <c r="F352" s="1">
        <v>31.50980045</v>
      </c>
      <c r="G352" s="2">
        <v>48</v>
      </c>
      <c r="H352" s="2">
        <v>66</v>
      </c>
      <c r="I352" s="2">
        <v>68</v>
      </c>
      <c r="J352" s="2">
        <v>2</v>
      </c>
      <c r="K352" s="2">
        <v>1</v>
      </c>
      <c r="L35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52" s="2" t="str">
        <f>IF(Table1[[#This Row],[Experience Years]]&lt;=2,"Entry Level",IF(Table1[[#This Row],[Experience Years]]&lt;=7,"Mid Level",IF(Table1[[#This Row],[Experience Years]]&lt;=15,"Senior Level")))</f>
        <v>Mid Level</v>
      </c>
      <c r="N352" s="1">
        <f>AVERAGE(Table1[[#This Row],[Interview Score]:[Personality Score]])</f>
        <v>60.666666666666664</v>
      </c>
      <c r="O3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52" s="2" t="str">
        <f t="shared" si="5"/>
        <v>30-40</v>
      </c>
    </row>
    <row r="353" spans="1:16" x14ac:dyDescent="0.25">
      <c r="A353">
        <v>50</v>
      </c>
      <c r="B353" s="2">
        <v>0</v>
      </c>
      <c r="C353" s="2">
        <v>2</v>
      </c>
      <c r="D353" s="2">
        <v>5</v>
      </c>
      <c r="E353" s="2">
        <v>3</v>
      </c>
      <c r="F353" s="1">
        <v>48.118571969999998</v>
      </c>
      <c r="G353" s="2">
        <v>0</v>
      </c>
      <c r="H353" s="2">
        <v>22</v>
      </c>
      <c r="I353" s="2">
        <v>14</v>
      </c>
      <c r="J353" s="2">
        <v>2</v>
      </c>
      <c r="K353" s="2">
        <v>0</v>
      </c>
      <c r="L35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53" s="2" t="str">
        <f>IF(Table1[[#This Row],[Experience Years]]&lt;=2,"Entry Level",IF(Table1[[#This Row],[Experience Years]]&lt;=7,"Mid Level",IF(Table1[[#This Row],[Experience Years]]&lt;=15,"Senior Level")))</f>
        <v>Mid Level</v>
      </c>
      <c r="N353" s="1">
        <f>AVERAGE(Table1[[#This Row],[Interview Score]:[Personality Score]])</f>
        <v>12</v>
      </c>
      <c r="O3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53" s="2" t="str">
        <f t="shared" si="5"/>
        <v>40-50</v>
      </c>
    </row>
    <row r="354" spans="1:16" x14ac:dyDescent="0.25">
      <c r="A354">
        <v>49</v>
      </c>
      <c r="B354" s="2">
        <v>1</v>
      </c>
      <c r="C354" s="2">
        <v>1</v>
      </c>
      <c r="D354" s="2">
        <v>8</v>
      </c>
      <c r="E354" s="2">
        <v>3</v>
      </c>
      <c r="F354" s="1">
        <v>40.410046489999999</v>
      </c>
      <c r="G354" s="2">
        <v>72</v>
      </c>
      <c r="H354" s="2">
        <v>93</v>
      </c>
      <c r="I354" s="2">
        <v>46</v>
      </c>
      <c r="J354" s="2">
        <v>2</v>
      </c>
      <c r="K354" s="2">
        <v>0</v>
      </c>
      <c r="L35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54" t="str">
        <f>IF(Table1[[#This Row],[Experience Years]]&lt;=2,"Entry Level",IF(Table1[[#This Row],[Experience Years]]&lt;=7,"Mid Level",IF(Table1[[#This Row],[Experience Years]]&lt;=15,"Senior Level")))</f>
        <v>Senior Level</v>
      </c>
      <c r="N354" s="1">
        <f>AVERAGE(Table1[[#This Row],[Interview Score]:[Personality Score]])</f>
        <v>70.333333333333329</v>
      </c>
      <c r="O3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54" s="2" t="str">
        <f t="shared" si="5"/>
        <v>40-50</v>
      </c>
    </row>
    <row r="355" spans="1:16" x14ac:dyDescent="0.25">
      <c r="A355">
        <v>29</v>
      </c>
      <c r="B355" s="2">
        <v>0</v>
      </c>
      <c r="C355" s="2">
        <v>1</v>
      </c>
      <c r="D355" s="2">
        <v>5</v>
      </c>
      <c r="E355" s="2">
        <v>5</v>
      </c>
      <c r="F355" s="1">
        <v>2.2020618679999999</v>
      </c>
      <c r="G355" s="2">
        <v>83</v>
      </c>
      <c r="H355" s="2">
        <v>60</v>
      </c>
      <c r="I355" s="2">
        <v>2</v>
      </c>
      <c r="J355" s="2">
        <v>2</v>
      </c>
      <c r="K355" s="2">
        <v>0</v>
      </c>
      <c r="L35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55" s="2" t="str">
        <f>IF(Table1[[#This Row],[Experience Years]]&lt;=2,"Entry Level",IF(Table1[[#This Row],[Experience Years]]&lt;=7,"Mid Level",IF(Table1[[#This Row],[Experience Years]]&lt;=15,"Senior Level")))</f>
        <v>Mid Level</v>
      </c>
      <c r="N355" s="1">
        <f>AVERAGE(Table1[[#This Row],[Interview Score]:[Personality Score]])</f>
        <v>48.333333333333336</v>
      </c>
      <c r="O3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55" s="2" t="str">
        <f t="shared" si="5"/>
        <v>0-10</v>
      </c>
    </row>
    <row r="356" spans="1:16" x14ac:dyDescent="0.25">
      <c r="A356">
        <v>22</v>
      </c>
      <c r="B356" s="2">
        <v>0</v>
      </c>
      <c r="C356" s="2">
        <v>1</v>
      </c>
      <c r="D356" s="2">
        <v>4</v>
      </c>
      <c r="E356" s="2">
        <v>3</v>
      </c>
      <c r="F356" s="1">
        <v>27.706984810000002</v>
      </c>
      <c r="G356" s="2">
        <v>52</v>
      </c>
      <c r="H356" s="2">
        <v>22</v>
      </c>
      <c r="I356" s="2">
        <v>82</v>
      </c>
      <c r="J356" s="2">
        <v>2</v>
      </c>
      <c r="K356" s="2">
        <v>0</v>
      </c>
      <c r="L35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56" s="2" t="str">
        <f>IF(Table1[[#This Row],[Experience Years]]&lt;=2,"Entry Level",IF(Table1[[#This Row],[Experience Years]]&lt;=7,"Mid Level",IF(Table1[[#This Row],[Experience Years]]&lt;=15,"Senior Level")))</f>
        <v>Mid Level</v>
      </c>
      <c r="N356" s="1">
        <f>AVERAGE(Table1[[#This Row],[Interview Score]:[Personality Score]])</f>
        <v>52</v>
      </c>
      <c r="O3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56" s="2" t="str">
        <f t="shared" si="5"/>
        <v>20-30</v>
      </c>
    </row>
    <row r="357" spans="1:16" x14ac:dyDescent="0.25">
      <c r="A357">
        <v>26</v>
      </c>
      <c r="B357" s="2">
        <v>1</v>
      </c>
      <c r="C357" s="2">
        <v>2</v>
      </c>
      <c r="D357" s="2">
        <v>9</v>
      </c>
      <c r="E357" s="2">
        <v>4</v>
      </c>
      <c r="F357" s="1">
        <v>35.416920580000003</v>
      </c>
      <c r="G357" s="2">
        <v>82</v>
      </c>
      <c r="H357" s="2">
        <v>26</v>
      </c>
      <c r="I357" s="2">
        <v>27</v>
      </c>
      <c r="J357" s="2">
        <v>2</v>
      </c>
      <c r="K357" s="2">
        <v>0</v>
      </c>
      <c r="L35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57" t="str">
        <f>IF(Table1[[#This Row],[Experience Years]]&lt;=2,"Entry Level",IF(Table1[[#This Row],[Experience Years]]&lt;=7,"Mid Level",IF(Table1[[#This Row],[Experience Years]]&lt;=15,"Senior Level")))</f>
        <v>Senior Level</v>
      </c>
      <c r="N357" s="1">
        <f>AVERAGE(Table1[[#This Row],[Interview Score]:[Personality Score]])</f>
        <v>45</v>
      </c>
      <c r="O3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57" s="2" t="str">
        <f t="shared" si="5"/>
        <v>30-40</v>
      </c>
    </row>
    <row r="358" spans="1:16" x14ac:dyDescent="0.25">
      <c r="A358">
        <v>47</v>
      </c>
      <c r="B358" s="2">
        <v>0</v>
      </c>
      <c r="C358" s="2">
        <v>3</v>
      </c>
      <c r="D358" s="2">
        <v>6</v>
      </c>
      <c r="E358" s="2">
        <v>3</v>
      </c>
      <c r="F358" s="1">
        <v>38.434923920000003</v>
      </c>
      <c r="G358" s="2">
        <v>99</v>
      </c>
      <c r="H358" s="2">
        <v>53</v>
      </c>
      <c r="I358" s="2">
        <v>2</v>
      </c>
      <c r="J358" s="2">
        <v>1</v>
      </c>
      <c r="K358" s="2">
        <v>1</v>
      </c>
      <c r="L35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58" s="2" t="str">
        <f>IF(Table1[[#This Row],[Experience Years]]&lt;=2,"Entry Level",IF(Table1[[#This Row],[Experience Years]]&lt;=7,"Mid Level",IF(Table1[[#This Row],[Experience Years]]&lt;=15,"Senior Level")))</f>
        <v>Mid Level</v>
      </c>
      <c r="N358" s="1">
        <f>AVERAGE(Table1[[#This Row],[Interview Score]:[Personality Score]])</f>
        <v>51.333333333333336</v>
      </c>
      <c r="O3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58" s="2" t="str">
        <f t="shared" si="5"/>
        <v>30-40</v>
      </c>
    </row>
    <row r="359" spans="1:16" x14ac:dyDescent="0.25">
      <c r="A359">
        <v>35</v>
      </c>
      <c r="B359" s="2">
        <v>1</v>
      </c>
      <c r="C359" s="2">
        <v>2</v>
      </c>
      <c r="D359" s="2">
        <v>0</v>
      </c>
      <c r="E359" s="2">
        <v>2</v>
      </c>
      <c r="F359" s="1">
        <v>11.65710597</v>
      </c>
      <c r="G359" s="2">
        <v>39</v>
      </c>
      <c r="H359" s="2">
        <v>9</v>
      </c>
      <c r="I359" s="2">
        <v>3</v>
      </c>
      <c r="J359" s="2">
        <v>2</v>
      </c>
      <c r="K359" s="2">
        <v>0</v>
      </c>
      <c r="L35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59" t="str">
        <f>IF(Table1[[#This Row],[Experience Years]]&lt;=2,"Entry Level",IF(Table1[[#This Row],[Experience Years]]&lt;=7,"Mid Level",IF(Table1[[#This Row],[Experience Years]]&lt;=15,"Senior Level")))</f>
        <v>Entry Level</v>
      </c>
      <c r="N359" s="1">
        <f>AVERAGE(Table1[[#This Row],[Interview Score]:[Personality Score]])</f>
        <v>17</v>
      </c>
      <c r="O3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59" s="2" t="str">
        <f t="shared" si="5"/>
        <v>10-20</v>
      </c>
    </row>
    <row r="360" spans="1:16" x14ac:dyDescent="0.25">
      <c r="A360">
        <v>45</v>
      </c>
      <c r="B360" s="2">
        <v>1</v>
      </c>
      <c r="C360" s="2">
        <v>1</v>
      </c>
      <c r="D360" s="2">
        <v>11</v>
      </c>
      <c r="E360" s="2">
        <v>3</v>
      </c>
      <c r="F360" s="1">
        <v>44.358867719999999</v>
      </c>
      <c r="G360" s="2">
        <v>44</v>
      </c>
      <c r="H360" s="2">
        <v>88</v>
      </c>
      <c r="I360" s="2">
        <v>87</v>
      </c>
      <c r="J360" s="2">
        <v>2</v>
      </c>
      <c r="K360" s="2">
        <v>0</v>
      </c>
      <c r="L36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60" t="str">
        <f>IF(Table1[[#This Row],[Experience Years]]&lt;=2,"Entry Level",IF(Table1[[#This Row],[Experience Years]]&lt;=7,"Mid Level",IF(Table1[[#This Row],[Experience Years]]&lt;=15,"Senior Level")))</f>
        <v>Senior Level</v>
      </c>
      <c r="N360" s="1">
        <f>AVERAGE(Table1[[#This Row],[Interview Score]:[Personality Score]])</f>
        <v>73</v>
      </c>
      <c r="O3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60" s="2" t="str">
        <f t="shared" si="5"/>
        <v>40-50</v>
      </c>
    </row>
    <row r="361" spans="1:16" x14ac:dyDescent="0.25">
      <c r="A361">
        <v>35</v>
      </c>
      <c r="B361" s="2">
        <v>1</v>
      </c>
      <c r="C361" s="2">
        <v>2</v>
      </c>
      <c r="D361" s="2">
        <v>6</v>
      </c>
      <c r="E361" s="2">
        <v>1</v>
      </c>
      <c r="F361" s="1">
        <v>48.792157359999997</v>
      </c>
      <c r="G361" s="2">
        <v>67</v>
      </c>
      <c r="H361" s="2">
        <v>76</v>
      </c>
      <c r="I361" s="2">
        <v>30</v>
      </c>
      <c r="J361" s="2">
        <v>2</v>
      </c>
      <c r="K361" s="2">
        <v>0</v>
      </c>
      <c r="L36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61" t="str">
        <f>IF(Table1[[#This Row],[Experience Years]]&lt;=2,"Entry Level",IF(Table1[[#This Row],[Experience Years]]&lt;=7,"Mid Level",IF(Table1[[#This Row],[Experience Years]]&lt;=15,"Senior Level")))</f>
        <v>Mid Level</v>
      </c>
      <c r="N361" s="1">
        <f>AVERAGE(Table1[[#This Row],[Interview Score]:[Personality Score]])</f>
        <v>57.666666666666664</v>
      </c>
      <c r="O3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61" s="2" t="str">
        <f t="shared" si="5"/>
        <v>40-50</v>
      </c>
    </row>
    <row r="362" spans="1:16" x14ac:dyDescent="0.25">
      <c r="A362">
        <v>44</v>
      </c>
      <c r="B362" s="2">
        <v>1</v>
      </c>
      <c r="C362" s="2">
        <v>3</v>
      </c>
      <c r="D362" s="2">
        <v>15</v>
      </c>
      <c r="E362" s="2">
        <v>2</v>
      </c>
      <c r="F362" s="1">
        <v>12.835765289999999</v>
      </c>
      <c r="G362" s="2">
        <v>8</v>
      </c>
      <c r="H362" s="2">
        <v>15</v>
      </c>
      <c r="I362" s="2">
        <v>44</v>
      </c>
      <c r="J362" s="2">
        <v>2</v>
      </c>
      <c r="K362" s="2">
        <v>0</v>
      </c>
      <c r="L36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62" t="str">
        <f>IF(Table1[[#This Row],[Experience Years]]&lt;=2,"Entry Level",IF(Table1[[#This Row],[Experience Years]]&lt;=7,"Mid Level",IF(Table1[[#This Row],[Experience Years]]&lt;=15,"Senior Level")))</f>
        <v>Senior Level</v>
      </c>
      <c r="N362" s="1">
        <f>AVERAGE(Table1[[#This Row],[Interview Score]:[Personality Score]])</f>
        <v>22.333333333333332</v>
      </c>
      <c r="O3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62" s="2" t="str">
        <f t="shared" si="5"/>
        <v>10-20</v>
      </c>
    </row>
    <row r="363" spans="1:16" x14ac:dyDescent="0.25">
      <c r="A363">
        <v>39</v>
      </c>
      <c r="B363" s="2">
        <v>1</v>
      </c>
      <c r="C363" s="2">
        <v>3</v>
      </c>
      <c r="D363" s="2">
        <v>2</v>
      </c>
      <c r="E363" s="2">
        <v>1</v>
      </c>
      <c r="F363" s="1">
        <v>45.130772880000002</v>
      </c>
      <c r="G363" s="2">
        <v>21</v>
      </c>
      <c r="H363" s="2">
        <v>40</v>
      </c>
      <c r="I363" s="2">
        <v>58</v>
      </c>
      <c r="J363" s="2">
        <v>2</v>
      </c>
      <c r="K363" s="2">
        <v>0</v>
      </c>
      <c r="L36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63" t="str">
        <f>IF(Table1[[#This Row],[Experience Years]]&lt;=2,"Entry Level",IF(Table1[[#This Row],[Experience Years]]&lt;=7,"Mid Level",IF(Table1[[#This Row],[Experience Years]]&lt;=15,"Senior Level")))</f>
        <v>Entry Level</v>
      </c>
      <c r="N363" s="1">
        <f>AVERAGE(Table1[[#This Row],[Interview Score]:[Personality Score]])</f>
        <v>39.666666666666664</v>
      </c>
      <c r="O3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63" s="2" t="str">
        <f t="shared" si="5"/>
        <v>40-50</v>
      </c>
    </row>
    <row r="364" spans="1:16" x14ac:dyDescent="0.25">
      <c r="A364">
        <v>47</v>
      </c>
      <c r="B364" s="2">
        <v>1</v>
      </c>
      <c r="C364" s="2">
        <v>3</v>
      </c>
      <c r="D364" s="2">
        <v>13</v>
      </c>
      <c r="E364" s="2">
        <v>2</v>
      </c>
      <c r="F364" s="1">
        <v>5.8489381260000002</v>
      </c>
      <c r="G364" s="2">
        <v>17</v>
      </c>
      <c r="H364" s="2">
        <v>97</v>
      </c>
      <c r="I364" s="2">
        <v>44</v>
      </c>
      <c r="J364" s="2">
        <v>1</v>
      </c>
      <c r="K364" s="2">
        <v>1</v>
      </c>
      <c r="L36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64" t="str">
        <f>IF(Table1[[#This Row],[Experience Years]]&lt;=2,"Entry Level",IF(Table1[[#This Row],[Experience Years]]&lt;=7,"Mid Level",IF(Table1[[#This Row],[Experience Years]]&lt;=15,"Senior Level")))</f>
        <v>Senior Level</v>
      </c>
      <c r="N364" s="1">
        <f>AVERAGE(Table1[[#This Row],[Interview Score]:[Personality Score]])</f>
        <v>52.666666666666664</v>
      </c>
      <c r="O3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64" s="2" t="str">
        <f t="shared" si="5"/>
        <v>0-10</v>
      </c>
    </row>
    <row r="365" spans="1:16" x14ac:dyDescent="0.25">
      <c r="A365">
        <v>36</v>
      </c>
      <c r="B365" s="2">
        <v>1</v>
      </c>
      <c r="C365" s="2">
        <v>2</v>
      </c>
      <c r="D365" s="2">
        <v>8</v>
      </c>
      <c r="E365" s="2">
        <v>4</v>
      </c>
      <c r="F365" s="1">
        <v>3.7853418059999999</v>
      </c>
      <c r="G365" s="2">
        <v>75</v>
      </c>
      <c r="H365" s="2">
        <v>54</v>
      </c>
      <c r="I365" s="2">
        <v>74</v>
      </c>
      <c r="J365" s="2">
        <v>3</v>
      </c>
      <c r="K365" s="2">
        <v>1</v>
      </c>
      <c r="L36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65" t="str">
        <f>IF(Table1[[#This Row],[Experience Years]]&lt;=2,"Entry Level",IF(Table1[[#This Row],[Experience Years]]&lt;=7,"Mid Level",IF(Table1[[#This Row],[Experience Years]]&lt;=15,"Senior Level")))</f>
        <v>Senior Level</v>
      </c>
      <c r="N365" s="1">
        <f>AVERAGE(Table1[[#This Row],[Interview Score]:[Personality Score]])</f>
        <v>67.666666666666671</v>
      </c>
      <c r="O3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65" s="2" t="str">
        <f t="shared" si="5"/>
        <v>0-10</v>
      </c>
    </row>
    <row r="366" spans="1:16" x14ac:dyDescent="0.25">
      <c r="A366">
        <v>21</v>
      </c>
      <c r="B366" s="2">
        <v>1</v>
      </c>
      <c r="C366" s="2">
        <v>1</v>
      </c>
      <c r="D366" s="2">
        <v>14</v>
      </c>
      <c r="E366" s="2">
        <v>4</v>
      </c>
      <c r="F366" s="1">
        <v>7.4611900049999997</v>
      </c>
      <c r="G366" s="2">
        <v>42</v>
      </c>
      <c r="H366" s="2">
        <v>100</v>
      </c>
      <c r="I366" s="2">
        <v>36</v>
      </c>
      <c r="J366" s="2">
        <v>1</v>
      </c>
      <c r="K366" s="2">
        <v>1</v>
      </c>
      <c r="L36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66" t="str">
        <f>IF(Table1[[#This Row],[Experience Years]]&lt;=2,"Entry Level",IF(Table1[[#This Row],[Experience Years]]&lt;=7,"Mid Level",IF(Table1[[#This Row],[Experience Years]]&lt;=15,"Senior Level")))</f>
        <v>Senior Level</v>
      </c>
      <c r="N366" s="1">
        <f>AVERAGE(Table1[[#This Row],[Interview Score]:[Personality Score]])</f>
        <v>59.333333333333336</v>
      </c>
      <c r="O3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66" s="2" t="str">
        <f t="shared" si="5"/>
        <v>0-10</v>
      </c>
    </row>
    <row r="367" spans="1:16" x14ac:dyDescent="0.25">
      <c r="A367">
        <v>20</v>
      </c>
      <c r="B367" s="2">
        <v>0</v>
      </c>
      <c r="C367" s="2">
        <v>3</v>
      </c>
      <c r="D367" s="2">
        <v>5</v>
      </c>
      <c r="E367" s="2">
        <v>4</v>
      </c>
      <c r="F367" s="1">
        <v>3.887053973</v>
      </c>
      <c r="G367" s="2">
        <v>38</v>
      </c>
      <c r="H367" s="2">
        <v>60</v>
      </c>
      <c r="I367" s="2">
        <v>64</v>
      </c>
      <c r="J367" s="2">
        <v>3</v>
      </c>
      <c r="K367" s="2">
        <v>0</v>
      </c>
      <c r="L36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67" s="2" t="str">
        <f>IF(Table1[[#This Row],[Experience Years]]&lt;=2,"Entry Level",IF(Table1[[#This Row],[Experience Years]]&lt;=7,"Mid Level",IF(Table1[[#This Row],[Experience Years]]&lt;=15,"Senior Level")))</f>
        <v>Mid Level</v>
      </c>
      <c r="N367" s="1">
        <f>AVERAGE(Table1[[#This Row],[Interview Score]:[Personality Score]])</f>
        <v>54</v>
      </c>
      <c r="O3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67" s="2" t="str">
        <f t="shared" si="5"/>
        <v>0-10</v>
      </c>
    </row>
    <row r="368" spans="1:16" x14ac:dyDescent="0.25">
      <c r="A368">
        <v>35</v>
      </c>
      <c r="B368" s="2">
        <v>0</v>
      </c>
      <c r="C368" s="2">
        <v>2</v>
      </c>
      <c r="D368" s="2">
        <v>8</v>
      </c>
      <c r="E368" s="2">
        <v>1</v>
      </c>
      <c r="F368" s="1">
        <v>43.250611859999999</v>
      </c>
      <c r="G368" s="2">
        <v>72</v>
      </c>
      <c r="H368" s="2">
        <v>85</v>
      </c>
      <c r="I368" s="2">
        <v>8</v>
      </c>
      <c r="J368" s="2">
        <v>2</v>
      </c>
      <c r="K368" s="2">
        <v>0</v>
      </c>
      <c r="L36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68" s="2" t="str">
        <f>IF(Table1[[#This Row],[Experience Years]]&lt;=2,"Entry Level",IF(Table1[[#This Row],[Experience Years]]&lt;=7,"Mid Level",IF(Table1[[#This Row],[Experience Years]]&lt;=15,"Senior Level")))</f>
        <v>Senior Level</v>
      </c>
      <c r="N368" s="1">
        <f>AVERAGE(Table1[[#This Row],[Interview Score]:[Personality Score]])</f>
        <v>55</v>
      </c>
      <c r="O3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68" s="2" t="str">
        <f t="shared" si="5"/>
        <v>40-50</v>
      </c>
    </row>
    <row r="369" spans="1:16" x14ac:dyDescent="0.25">
      <c r="A369">
        <v>49</v>
      </c>
      <c r="B369" s="2">
        <v>0</v>
      </c>
      <c r="C369" s="2">
        <v>2</v>
      </c>
      <c r="D369" s="2">
        <v>12</v>
      </c>
      <c r="E369" s="2">
        <v>5</v>
      </c>
      <c r="F369" s="1">
        <v>3.952507223</v>
      </c>
      <c r="G369" s="2">
        <v>5</v>
      </c>
      <c r="H369" s="2">
        <v>80</v>
      </c>
      <c r="I369" s="2">
        <v>16</v>
      </c>
      <c r="J369" s="2">
        <v>2</v>
      </c>
      <c r="K369" s="2">
        <v>0</v>
      </c>
      <c r="L36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69" s="2" t="str">
        <f>IF(Table1[[#This Row],[Experience Years]]&lt;=2,"Entry Level",IF(Table1[[#This Row],[Experience Years]]&lt;=7,"Mid Level",IF(Table1[[#This Row],[Experience Years]]&lt;=15,"Senior Level")))</f>
        <v>Senior Level</v>
      </c>
      <c r="N369" s="1">
        <f>AVERAGE(Table1[[#This Row],[Interview Score]:[Personality Score]])</f>
        <v>33.666666666666664</v>
      </c>
      <c r="O3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69" s="2" t="str">
        <f t="shared" si="5"/>
        <v>0-10</v>
      </c>
    </row>
    <row r="370" spans="1:16" x14ac:dyDescent="0.25">
      <c r="A370">
        <v>31</v>
      </c>
      <c r="B370" s="2">
        <v>0</v>
      </c>
      <c r="C370" s="2">
        <v>3</v>
      </c>
      <c r="D370" s="2">
        <v>14</v>
      </c>
      <c r="E370" s="2">
        <v>2</v>
      </c>
      <c r="F370" s="1">
        <v>14.583209569999999</v>
      </c>
      <c r="G370" s="2">
        <v>82</v>
      </c>
      <c r="H370" s="2">
        <v>86</v>
      </c>
      <c r="I370" s="2">
        <v>64</v>
      </c>
      <c r="J370" s="2">
        <v>1</v>
      </c>
      <c r="K370" s="2">
        <v>1</v>
      </c>
      <c r="L37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70" s="2" t="str">
        <f>IF(Table1[[#This Row],[Experience Years]]&lt;=2,"Entry Level",IF(Table1[[#This Row],[Experience Years]]&lt;=7,"Mid Level",IF(Table1[[#This Row],[Experience Years]]&lt;=15,"Senior Level")))</f>
        <v>Senior Level</v>
      </c>
      <c r="N370" s="1">
        <f>AVERAGE(Table1[[#This Row],[Interview Score]:[Personality Score]])</f>
        <v>77.333333333333329</v>
      </c>
      <c r="O3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370" s="2" t="str">
        <f t="shared" si="5"/>
        <v>10-20</v>
      </c>
    </row>
    <row r="371" spans="1:16" x14ac:dyDescent="0.25">
      <c r="A371">
        <v>24</v>
      </c>
      <c r="B371" s="2">
        <v>1</v>
      </c>
      <c r="C371" s="2">
        <v>3</v>
      </c>
      <c r="D371" s="2">
        <v>4</v>
      </c>
      <c r="E371" s="2">
        <v>4</v>
      </c>
      <c r="F371" s="1">
        <v>6.1878171770000003</v>
      </c>
      <c r="G371" s="2">
        <v>47</v>
      </c>
      <c r="H371" s="2">
        <v>99</v>
      </c>
      <c r="I371" s="2">
        <v>2</v>
      </c>
      <c r="J371" s="2">
        <v>1</v>
      </c>
      <c r="K371" s="2">
        <v>1</v>
      </c>
      <c r="L37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71" t="str">
        <f>IF(Table1[[#This Row],[Experience Years]]&lt;=2,"Entry Level",IF(Table1[[#This Row],[Experience Years]]&lt;=7,"Mid Level",IF(Table1[[#This Row],[Experience Years]]&lt;=15,"Senior Level")))</f>
        <v>Mid Level</v>
      </c>
      <c r="N371" s="1">
        <f>AVERAGE(Table1[[#This Row],[Interview Score]:[Personality Score]])</f>
        <v>49.333333333333336</v>
      </c>
      <c r="O3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71" s="2" t="str">
        <f t="shared" si="5"/>
        <v>0-10</v>
      </c>
    </row>
    <row r="372" spans="1:16" x14ac:dyDescent="0.25">
      <c r="A372">
        <v>24</v>
      </c>
      <c r="B372" s="2">
        <v>0</v>
      </c>
      <c r="C372" s="2">
        <v>2</v>
      </c>
      <c r="D372" s="2">
        <v>6</v>
      </c>
      <c r="E372" s="2">
        <v>2</v>
      </c>
      <c r="F372" s="1">
        <v>15.77110182</v>
      </c>
      <c r="G372" s="2">
        <v>6</v>
      </c>
      <c r="H372" s="2">
        <v>48</v>
      </c>
      <c r="I372" s="2">
        <v>25</v>
      </c>
      <c r="J372" s="2">
        <v>1</v>
      </c>
      <c r="K372" s="2">
        <v>0</v>
      </c>
      <c r="L37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72" s="2" t="str">
        <f>IF(Table1[[#This Row],[Experience Years]]&lt;=2,"Entry Level",IF(Table1[[#This Row],[Experience Years]]&lt;=7,"Mid Level",IF(Table1[[#This Row],[Experience Years]]&lt;=15,"Senior Level")))</f>
        <v>Mid Level</v>
      </c>
      <c r="N372" s="1">
        <f>AVERAGE(Table1[[#This Row],[Interview Score]:[Personality Score]])</f>
        <v>26.333333333333332</v>
      </c>
      <c r="O3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72" s="2" t="str">
        <f t="shared" si="5"/>
        <v>10-20</v>
      </c>
    </row>
    <row r="373" spans="1:16" x14ac:dyDescent="0.25">
      <c r="A373">
        <v>46</v>
      </c>
      <c r="B373" s="2">
        <v>1</v>
      </c>
      <c r="C373" s="2">
        <v>2</v>
      </c>
      <c r="D373" s="2">
        <v>12</v>
      </c>
      <c r="E373" s="2">
        <v>1</v>
      </c>
      <c r="F373" s="1">
        <v>5.5279733799999997</v>
      </c>
      <c r="G373" s="2">
        <v>79</v>
      </c>
      <c r="H373" s="2">
        <v>72</v>
      </c>
      <c r="I373" s="2">
        <v>52</v>
      </c>
      <c r="J373" s="2">
        <v>1</v>
      </c>
      <c r="K373" s="2">
        <v>1</v>
      </c>
      <c r="L37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73" t="str">
        <f>IF(Table1[[#This Row],[Experience Years]]&lt;=2,"Entry Level",IF(Table1[[#This Row],[Experience Years]]&lt;=7,"Mid Level",IF(Table1[[#This Row],[Experience Years]]&lt;=15,"Senior Level")))</f>
        <v>Senior Level</v>
      </c>
      <c r="N373" s="1">
        <f>AVERAGE(Table1[[#This Row],[Interview Score]:[Personality Score]])</f>
        <v>67.666666666666671</v>
      </c>
      <c r="O3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73" s="2" t="str">
        <f t="shared" si="5"/>
        <v>0-10</v>
      </c>
    </row>
    <row r="374" spans="1:16" x14ac:dyDescent="0.25">
      <c r="A374">
        <v>42</v>
      </c>
      <c r="B374" s="2">
        <v>0</v>
      </c>
      <c r="C374" s="2">
        <v>2</v>
      </c>
      <c r="D374" s="2">
        <v>15</v>
      </c>
      <c r="E374" s="2">
        <v>5</v>
      </c>
      <c r="F374" s="1">
        <v>34.400162539999997</v>
      </c>
      <c r="G374" s="2">
        <v>68</v>
      </c>
      <c r="H374" s="2">
        <v>51</v>
      </c>
      <c r="I374" s="2">
        <v>30</v>
      </c>
      <c r="J374" s="2">
        <v>2</v>
      </c>
      <c r="K374" s="2">
        <v>0</v>
      </c>
      <c r="L37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74" s="2" t="str">
        <f>IF(Table1[[#This Row],[Experience Years]]&lt;=2,"Entry Level",IF(Table1[[#This Row],[Experience Years]]&lt;=7,"Mid Level",IF(Table1[[#This Row],[Experience Years]]&lt;=15,"Senior Level")))</f>
        <v>Senior Level</v>
      </c>
      <c r="N374" s="1">
        <f>AVERAGE(Table1[[#This Row],[Interview Score]:[Personality Score]])</f>
        <v>49.666666666666664</v>
      </c>
      <c r="O3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74" s="2" t="str">
        <f t="shared" si="5"/>
        <v>30-40</v>
      </c>
    </row>
    <row r="375" spans="1:16" x14ac:dyDescent="0.25">
      <c r="A375">
        <v>28</v>
      </c>
      <c r="B375" s="2">
        <v>0</v>
      </c>
      <c r="C375" s="2">
        <v>2</v>
      </c>
      <c r="D375" s="2">
        <v>13</v>
      </c>
      <c r="E375" s="2">
        <v>1</v>
      </c>
      <c r="F375" s="1">
        <v>7.666340817</v>
      </c>
      <c r="G375" s="2">
        <v>15</v>
      </c>
      <c r="H375" s="2">
        <v>1</v>
      </c>
      <c r="I375" s="2">
        <v>25</v>
      </c>
      <c r="J375" s="2">
        <v>2</v>
      </c>
      <c r="K375" s="2">
        <v>0</v>
      </c>
      <c r="L37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75" s="2" t="str">
        <f>IF(Table1[[#This Row],[Experience Years]]&lt;=2,"Entry Level",IF(Table1[[#This Row],[Experience Years]]&lt;=7,"Mid Level",IF(Table1[[#This Row],[Experience Years]]&lt;=15,"Senior Level")))</f>
        <v>Senior Level</v>
      </c>
      <c r="N375" s="1">
        <f>AVERAGE(Table1[[#This Row],[Interview Score]:[Personality Score]])</f>
        <v>13.666666666666666</v>
      </c>
      <c r="O3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75" s="2" t="str">
        <f t="shared" si="5"/>
        <v>0-10</v>
      </c>
    </row>
    <row r="376" spans="1:16" x14ac:dyDescent="0.25">
      <c r="A376">
        <v>28</v>
      </c>
      <c r="B376" s="2">
        <v>0</v>
      </c>
      <c r="C376" s="2">
        <v>2</v>
      </c>
      <c r="D376" s="2">
        <v>3</v>
      </c>
      <c r="E376" s="2">
        <v>2</v>
      </c>
      <c r="F376" s="1">
        <v>43.59229629</v>
      </c>
      <c r="G376" s="2">
        <v>0</v>
      </c>
      <c r="H376" s="2">
        <v>95</v>
      </c>
      <c r="I376" s="2">
        <v>22</v>
      </c>
      <c r="J376" s="2">
        <v>2</v>
      </c>
      <c r="K376" s="2">
        <v>0</v>
      </c>
      <c r="L37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76" s="2" t="str">
        <f>IF(Table1[[#This Row],[Experience Years]]&lt;=2,"Entry Level",IF(Table1[[#This Row],[Experience Years]]&lt;=7,"Mid Level",IF(Table1[[#This Row],[Experience Years]]&lt;=15,"Senior Level")))</f>
        <v>Mid Level</v>
      </c>
      <c r="N376" s="1">
        <f>AVERAGE(Table1[[#This Row],[Interview Score]:[Personality Score]])</f>
        <v>39</v>
      </c>
      <c r="O3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76" s="2" t="str">
        <f t="shared" si="5"/>
        <v>40-50</v>
      </c>
    </row>
    <row r="377" spans="1:16" x14ac:dyDescent="0.25">
      <c r="A377">
        <v>22</v>
      </c>
      <c r="B377" s="2">
        <v>1</v>
      </c>
      <c r="C377" s="2">
        <v>3</v>
      </c>
      <c r="D377" s="2">
        <v>14</v>
      </c>
      <c r="E377" s="2">
        <v>5</v>
      </c>
      <c r="F377" s="1">
        <v>41.859552540000003</v>
      </c>
      <c r="G377" s="2">
        <v>36</v>
      </c>
      <c r="H377" s="2">
        <v>49</v>
      </c>
      <c r="I377" s="2">
        <v>29</v>
      </c>
      <c r="J377" s="2">
        <v>1</v>
      </c>
      <c r="K377" s="2">
        <v>1</v>
      </c>
      <c r="L37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77" t="str">
        <f>IF(Table1[[#This Row],[Experience Years]]&lt;=2,"Entry Level",IF(Table1[[#This Row],[Experience Years]]&lt;=7,"Mid Level",IF(Table1[[#This Row],[Experience Years]]&lt;=15,"Senior Level")))</f>
        <v>Senior Level</v>
      </c>
      <c r="N377" s="1">
        <f>AVERAGE(Table1[[#This Row],[Interview Score]:[Personality Score]])</f>
        <v>38</v>
      </c>
      <c r="O3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77" s="2" t="str">
        <f t="shared" si="5"/>
        <v>40-50</v>
      </c>
    </row>
    <row r="378" spans="1:16" x14ac:dyDescent="0.25">
      <c r="A378">
        <v>38</v>
      </c>
      <c r="B378" s="2">
        <v>0</v>
      </c>
      <c r="C378" s="2">
        <v>3</v>
      </c>
      <c r="D378" s="2">
        <v>15</v>
      </c>
      <c r="E378" s="2">
        <v>5</v>
      </c>
      <c r="F378" s="1">
        <v>1.683084274</v>
      </c>
      <c r="G378" s="2">
        <v>82</v>
      </c>
      <c r="H378" s="2">
        <v>85</v>
      </c>
      <c r="I378" s="2">
        <v>9</v>
      </c>
      <c r="J378" s="2">
        <v>3</v>
      </c>
      <c r="K378" s="2">
        <v>1</v>
      </c>
      <c r="L37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78" s="2" t="str">
        <f>IF(Table1[[#This Row],[Experience Years]]&lt;=2,"Entry Level",IF(Table1[[#This Row],[Experience Years]]&lt;=7,"Mid Level",IF(Table1[[#This Row],[Experience Years]]&lt;=15,"Senior Level")))</f>
        <v>Senior Level</v>
      </c>
      <c r="N378" s="1">
        <f>AVERAGE(Table1[[#This Row],[Interview Score]:[Personality Score]])</f>
        <v>58.666666666666664</v>
      </c>
      <c r="O3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78" s="2" t="str">
        <f t="shared" si="5"/>
        <v>0-10</v>
      </c>
    </row>
    <row r="379" spans="1:16" x14ac:dyDescent="0.25">
      <c r="A379">
        <v>35</v>
      </c>
      <c r="B379" s="2">
        <v>1</v>
      </c>
      <c r="C379" s="2">
        <v>3</v>
      </c>
      <c r="D379" s="2">
        <v>6</v>
      </c>
      <c r="E379" s="2">
        <v>1</v>
      </c>
      <c r="F379" s="1">
        <v>45.786317779999997</v>
      </c>
      <c r="G379" s="2">
        <v>36</v>
      </c>
      <c r="H379" s="2">
        <v>42</v>
      </c>
      <c r="I379" s="2">
        <v>71</v>
      </c>
      <c r="J379" s="2">
        <v>2</v>
      </c>
      <c r="K379" s="2">
        <v>0</v>
      </c>
      <c r="L37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79" t="str">
        <f>IF(Table1[[#This Row],[Experience Years]]&lt;=2,"Entry Level",IF(Table1[[#This Row],[Experience Years]]&lt;=7,"Mid Level",IF(Table1[[#This Row],[Experience Years]]&lt;=15,"Senior Level")))</f>
        <v>Mid Level</v>
      </c>
      <c r="N379" s="1">
        <f>AVERAGE(Table1[[#This Row],[Interview Score]:[Personality Score]])</f>
        <v>49.666666666666664</v>
      </c>
      <c r="O3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79" s="2" t="str">
        <f t="shared" si="5"/>
        <v>40-50</v>
      </c>
    </row>
    <row r="380" spans="1:16" x14ac:dyDescent="0.25">
      <c r="A380">
        <v>35</v>
      </c>
      <c r="B380" s="2">
        <v>1</v>
      </c>
      <c r="C380" s="2">
        <v>1</v>
      </c>
      <c r="D380" s="2">
        <v>12</v>
      </c>
      <c r="E380" s="2">
        <v>4</v>
      </c>
      <c r="F380" s="1">
        <v>2.4472158369999999</v>
      </c>
      <c r="G380" s="2">
        <v>80</v>
      </c>
      <c r="H380" s="2">
        <v>76</v>
      </c>
      <c r="I380" s="2">
        <v>88</v>
      </c>
      <c r="J380" s="2">
        <v>1</v>
      </c>
      <c r="K380" s="2">
        <v>1</v>
      </c>
      <c r="L38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80" t="str">
        <f>IF(Table1[[#This Row],[Experience Years]]&lt;=2,"Entry Level",IF(Table1[[#This Row],[Experience Years]]&lt;=7,"Mid Level",IF(Table1[[#This Row],[Experience Years]]&lt;=15,"Senior Level")))</f>
        <v>Senior Level</v>
      </c>
      <c r="N380" s="1">
        <f>AVERAGE(Table1[[#This Row],[Interview Score]:[Personality Score]])</f>
        <v>81.333333333333329</v>
      </c>
      <c r="O3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380" s="2" t="str">
        <f t="shared" si="5"/>
        <v>0-10</v>
      </c>
    </row>
    <row r="381" spans="1:16" x14ac:dyDescent="0.25">
      <c r="A381">
        <v>22</v>
      </c>
      <c r="B381" s="2">
        <v>0</v>
      </c>
      <c r="C381" s="2">
        <v>3</v>
      </c>
      <c r="D381" s="2">
        <v>0</v>
      </c>
      <c r="E381" s="2">
        <v>2</v>
      </c>
      <c r="F381" s="1">
        <v>12.982289249999999</v>
      </c>
      <c r="G381" s="2">
        <v>63</v>
      </c>
      <c r="H381" s="2">
        <v>7</v>
      </c>
      <c r="I381" s="2">
        <v>63</v>
      </c>
      <c r="J381" s="2">
        <v>2</v>
      </c>
      <c r="K381" s="2">
        <v>0</v>
      </c>
      <c r="L38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81" s="2" t="str">
        <f>IF(Table1[[#This Row],[Experience Years]]&lt;=2,"Entry Level",IF(Table1[[#This Row],[Experience Years]]&lt;=7,"Mid Level",IF(Table1[[#This Row],[Experience Years]]&lt;=15,"Senior Level")))</f>
        <v>Entry Level</v>
      </c>
      <c r="N381" s="1">
        <f>AVERAGE(Table1[[#This Row],[Interview Score]:[Personality Score]])</f>
        <v>44.333333333333336</v>
      </c>
      <c r="O3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81" s="2" t="str">
        <f t="shared" si="5"/>
        <v>10-20</v>
      </c>
    </row>
    <row r="382" spans="1:16" x14ac:dyDescent="0.25">
      <c r="A382">
        <v>39</v>
      </c>
      <c r="B382" s="2">
        <v>0</v>
      </c>
      <c r="C382" s="2">
        <v>3</v>
      </c>
      <c r="D382" s="2">
        <v>6</v>
      </c>
      <c r="E382" s="2">
        <v>3</v>
      </c>
      <c r="F382" s="1">
        <v>2.6194568889999998</v>
      </c>
      <c r="G382" s="2">
        <v>89</v>
      </c>
      <c r="H382" s="2">
        <v>58</v>
      </c>
      <c r="I382" s="2">
        <v>21</v>
      </c>
      <c r="J382" s="2">
        <v>1</v>
      </c>
      <c r="K382" s="2">
        <v>1</v>
      </c>
      <c r="L38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82" s="2" t="str">
        <f>IF(Table1[[#This Row],[Experience Years]]&lt;=2,"Entry Level",IF(Table1[[#This Row],[Experience Years]]&lt;=7,"Mid Level",IF(Table1[[#This Row],[Experience Years]]&lt;=15,"Senior Level")))</f>
        <v>Mid Level</v>
      </c>
      <c r="N382" s="1">
        <f>AVERAGE(Table1[[#This Row],[Interview Score]:[Personality Score]])</f>
        <v>56</v>
      </c>
      <c r="O3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82" s="2" t="str">
        <f t="shared" si="5"/>
        <v>0-10</v>
      </c>
    </row>
    <row r="383" spans="1:16" x14ac:dyDescent="0.25">
      <c r="A383">
        <v>43</v>
      </c>
      <c r="B383" s="2">
        <v>0</v>
      </c>
      <c r="C383" s="2">
        <v>2</v>
      </c>
      <c r="D383" s="2">
        <v>7</v>
      </c>
      <c r="E383" s="2">
        <v>3</v>
      </c>
      <c r="F383" s="1">
        <v>17.79217435</v>
      </c>
      <c r="G383" s="2">
        <v>85</v>
      </c>
      <c r="H383" s="2">
        <v>64</v>
      </c>
      <c r="I383" s="2">
        <v>14</v>
      </c>
      <c r="J383" s="2">
        <v>1</v>
      </c>
      <c r="K383" s="2">
        <v>1</v>
      </c>
      <c r="L38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83" s="2" t="str">
        <f>IF(Table1[[#This Row],[Experience Years]]&lt;=2,"Entry Level",IF(Table1[[#This Row],[Experience Years]]&lt;=7,"Mid Level",IF(Table1[[#This Row],[Experience Years]]&lt;=15,"Senior Level")))</f>
        <v>Mid Level</v>
      </c>
      <c r="N383" s="1">
        <f>AVERAGE(Table1[[#This Row],[Interview Score]:[Personality Score]])</f>
        <v>54.333333333333336</v>
      </c>
      <c r="O3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83" s="2" t="str">
        <f t="shared" si="5"/>
        <v>10-20</v>
      </c>
    </row>
    <row r="384" spans="1:16" x14ac:dyDescent="0.25">
      <c r="A384">
        <v>41</v>
      </c>
      <c r="B384" s="2">
        <v>1</v>
      </c>
      <c r="C384" s="2">
        <v>3</v>
      </c>
      <c r="D384" s="2">
        <v>4</v>
      </c>
      <c r="E384" s="2">
        <v>1</v>
      </c>
      <c r="F384" s="1">
        <v>26.693326290000002</v>
      </c>
      <c r="G384" s="2">
        <v>61</v>
      </c>
      <c r="H384" s="2">
        <v>80</v>
      </c>
      <c r="I384" s="2">
        <v>55</v>
      </c>
      <c r="J384" s="2">
        <v>2</v>
      </c>
      <c r="K384" s="2">
        <v>0</v>
      </c>
      <c r="L38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84" t="str">
        <f>IF(Table1[[#This Row],[Experience Years]]&lt;=2,"Entry Level",IF(Table1[[#This Row],[Experience Years]]&lt;=7,"Mid Level",IF(Table1[[#This Row],[Experience Years]]&lt;=15,"Senior Level")))</f>
        <v>Mid Level</v>
      </c>
      <c r="N384" s="1">
        <f>AVERAGE(Table1[[#This Row],[Interview Score]:[Personality Score]])</f>
        <v>65.333333333333329</v>
      </c>
      <c r="O3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84" s="2" t="str">
        <f t="shared" si="5"/>
        <v>20-30</v>
      </c>
    </row>
    <row r="385" spans="1:16" x14ac:dyDescent="0.25">
      <c r="A385">
        <v>43</v>
      </c>
      <c r="B385" s="2">
        <v>0</v>
      </c>
      <c r="C385" s="2">
        <v>3</v>
      </c>
      <c r="D385" s="2">
        <v>1</v>
      </c>
      <c r="E385" s="2">
        <v>2</v>
      </c>
      <c r="F385" s="1">
        <v>40.83224345</v>
      </c>
      <c r="G385" s="2">
        <v>71</v>
      </c>
      <c r="H385" s="2">
        <v>11</v>
      </c>
      <c r="I385" s="2">
        <v>73</v>
      </c>
      <c r="J385" s="2">
        <v>2</v>
      </c>
      <c r="K385" s="2">
        <v>0</v>
      </c>
      <c r="L38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85" s="2" t="str">
        <f>IF(Table1[[#This Row],[Experience Years]]&lt;=2,"Entry Level",IF(Table1[[#This Row],[Experience Years]]&lt;=7,"Mid Level",IF(Table1[[#This Row],[Experience Years]]&lt;=15,"Senior Level")))</f>
        <v>Entry Level</v>
      </c>
      <c r="N385" s="1">
        <f>AVERAGE(Table1[[#This Row],[Interview Score]:[Personality Score]])</f>
        <v>51.666666666666664</v>
      </c>
      <c r="O3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85" s="2" t="str">
        <f t="shared" si="5"/>
        <v>40-50</v>
      </c>
    </row>
    <row r="386" spans="1:16" x14ac:dyDescent="0.25">
      <c r="A386">
        <v>20</v>
      </c>
      <c r="B386" s="2">
        <v>1</v>
      </c>
      <c r="C386" s="2">
        <v>2</v>
      </c>
      <c r="D386" s="2">
        <v>4</v>
      </c>
      <c r="E386" s="2">
        <v>2</v>
      </c>
      <c r="F386" s="1">
        <v>17.899077519999999</v>
      </c>
      <c r="G386" s="2">
        <v>60</v>
      </c>
      <c r="H386" s="2">
        <v>3</v>
      </c>
      <c r="I386" s="2">
        <v>19</v>
      </c>
      <c r="J386" s="2">
        <v>3</v>
      </c>
      <c r="K386" s="2">
        <v>0</v>
      </c>
      <c r="L38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86" t="str">
        <f>IF(Table1[[#This Row],[Experience Years]]&lt;=2,"Entry Level",IF(Table1[[#This Row],[Experience Years]]&lt;=7,"Mid Level",IF(Table1[[#This Row],[Experience Years]]&lt;=15,"Senior Level")))</f>
        <v>Mid Level</v>
      </c>
      <c r="N386" s="1">
        <f>AVERAGE(Table1[[#This Row],[Interview Score]:[Personality Score]])</f>
        <v>27.333333333333332</v>
      </c>
      <c r="O3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86" s="2" t="str">
        <f t="shared" ref="P386:P449" si="6">IF(F386&lt;10,"0-10",IF(F386&lt;20,"10-20",IF(F386&lt;30,"20-30",IF(F386&lt;40,"30-40",IF(F386&lt;50,"40-50","50+")))))</f>
        <v>10-20</v>
      </c>
    </row>
    <row r="387" spans="1:16" x14ac:dyDescent="0.25">
      <c r="A387">
        <v>43</v>
      </c>
      <c r="B387" s="2">
        <v>1</v>
      </c>
      <c r="C387" s="2">
        <v>2</v>
      </c>
      <c r="D387" s="2">
        <v>5</v>
      </c>
      <c r="E387" s="2">
        <v>1</v>
      </c>
      <c r="F387" s="1">
        <v>36.274501229999998</v>
      </c>
      <c r="G387" s="2">
        <v>32</v>
      </c>
      <c r="H387" s="2">
        <v>76</v>
      </c>
      <c r="I387" s="2">
        <v>46</v>
      </c>
      <c r="J387" s="2">
        <v>2</v>
      </c>
      <c r="K387" s="2">
        <v>0</v>
      </c>
      <c r="L38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387" t="str">
        <f>IF(Table1[[#This Row],[Experience Years]]&lt;=2,"Entry Level",IF(Table1[[#This Row],[Experience Years]]&lt;=7,"Mid Level",IF(Table1[[#This Row],[Experience Years]]&lt;=15,"Senior Level")))</f>
        <v>Mid Level</v>
      </c>
      <c r="N387" s="1">
        <f>AVERAGE(Table1[[#This Row],[Interview Score]:[Personality Score]])</f>
        <v>51.333333333333336</v>
      </c>
      <c r="O3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87" s="2" t="str">
        <f t="shared" si="6"/>
        <v>30-40</v>
      </c>
    </row>
    <row r="388" spans="1:16" x14ac:dyDescent="0.25">
      <c r="A388">
        <v>39</v>
      </c>
      <c r="B388" s="2">
        <v>0</v>
      </c>
      <c r="C388" s="2">
        <v>1</v>
      </c>
      <c r="D388" s="2">
        <v>11</v>
      </c>
      <c r="E388" s="2">
        <v>2</v>
      </c>
      <c r="F388" s="1">
        <v>10.375222859999999</v>
      </c>
      <c r="G388" s="2">
        <v>65</v>
      </c>
      <c r="H388" s="2">
        <v>94</v>
      </c>
      <c r="I388" s="2">
        <v>86</v>
      </c>
      <c r="J388" s="2">
        <v>3</v>
      </c>
      <c r="K388" s="2">
        <v>0</v>
      </c>
      <c r="L38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88" s="2" t="str">
        <f>IF(Table1[[#This Row],[Experience Years]]&lt;=2,"Entry Level",IF(Table1[[#This Row],[Experience Years]]&lt;=7,"Mid Level",IF(Table1[[#This Row],[Experience Years]]&lt;=15,"Senior Level")))</f>
        <v>Senior Level</v>
      </c>
      <c r="N388" s="1">
        <f>AVERAGE(Table1[[#This Row],[Interview Score]:[Personality Score]])</f>
        <v>81.666666666666671</v>
      </c>
      <c r="O3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388" s="2" t="str">
        <f t="shared" si="6"/>
        <v>10-20</v>
      </c>
    </row>
    <row r="389" spans="1:16" x14ac:dyDescent="0.25">
      <c r="A389">
        <v>30</v>
      </c>
      <c r="B389" s="2">
        <v>0</v>
      </c>
      <c r="C389" s="2">
        <v>2</v>
      </c>
      <c r="D389" s="2">
        <v>1</v>
      </c>
      <c r="E389" s="2">
        <v>4</v>
      </c>
      <c r="F389" s="1">
        <v>38.529922839999998</v>
      </c>
      <c r="G389" s="2">
        <v>29</v>
      </c>
      <c r="H389" s="2">
        <v>40</v>
      </c>
      <c r="I389" s="2">
        <v>52</v>
      </c>
      <c r="J389" s="2">
        <v>3</v>
      </c>
      <c r="K389" s="2">
        <v>0</v>
      </c>
      <c r="L38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89" s="2" t="str">
        <f>IF(Table1[[#This Row],[Experience Years]]&lt;=2,"Entry Level",IF(Table1[[#This Row],[Experience Years]]&lt;=7,"Mid Level",IF(Table1[[#This Row],[Experience Years]]&lt;=15,"Senior Level")))</f>
        <v>Entry Level</v>
      </c>
      <c r="N389" s="1">
        <f>AVERAGE(Table1[[#This Row],[Interview Score]:[Personality Score]])</f>
        <v>40.333333333333336</v>
      </c>
      <c r="O3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89" s="2" t="str">
        <f t="shared" si="6"/>
        <v>30-40</v>
      </c>
    </row>
    <row r="390" spans="1:16" x14ac:dyDescent="0.25">
      <c r="A390">
        <v>36</v>
      </c>
      <c r="B390" s="2">
        <v>1</v>
      </c>
      <c r="C390" s="2">
        <v>2</v>
      </c>
      <c r="D390" s="2">
        <v>13</v>
      </c>
      <c r="E390" s="2">
        <v>1</v>
      </c>
      <c r="F390" s="1">
        <v>12.7998303</v>
      </c>
      <c r="G390" s="2">
        <v>19</v>
      </c>
      <c r="H390" s="2">
        <v>6</v>
      </c>
      <c r="I390" s="2">
        <v>52</v>
      </c>
      <c r="J390" s="2">
        <v>3</v>
      </c>
      <c r="K390" s="2">
        <v>0</v>
      </c>
      <c r="L39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90" t="str">
        <f>IF(Table1[[#This Row],[Experience Years]]&lt;=2,"Entry Level",IF(Table1[[#This Row],[Experience Years]]&lt;=7,"Mid Level",IF(Table1[[#This Row],[Experience Years]]&lt;=15,"Senior Level")))</f>
        <v>Senior Level</v>
      </c>
      <c r="N390" s="1">
        <f>AVERAGE(Table1[[#This Row],[Interview Score]:[Personality Score]])</f>
        <v>25.666666666666668</v>
      </c>
      <c r="O3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90" s="2" t="str">
        <f t="shared" si="6"/>
        <v>10-20</v>
      </c>
    </row>
    <row r="391" spans="1:16" x14ac:dyDescent="0.25">
      <c r="A391">
        <v>27</v>
      </c>
      <c r="B391" s="2">
        <v>1</v>
      </c>
      <c r="C391" s="2">
        <v>3</v>
      </c>
      <c r="D391" s="2">
        <v>5</v>
      </c>
      <c r="E391" s="2">
        <v>4</v>
      </c>
      <c r="F391" s="1">
        <v>8.1772377970000001</v>
      </c>
      <c r="G391" s="2">
        <v>59</v>
      </c>
      <c r="H391" s="2">
        <v>86</v>
      </c>
      <c r="I391" s="2">
        <v>0</v>
      </c>
      <c r="J391" s="2">
        <v>2</v>
      </c>
      <c r="K391" s="2">
        <v>0</v>
      </c>
      <c r="L39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91" t="str">
        <f>IF(Table1[[#This Row],[Experience Years]]&lt;=2,"Entry Level",IF(Table1[[#This Row],[Experience Years]]&lt;=7,"Mid Level",IF(Table1[[#This Row],[Experience Years]]&lt;=15,"Senior Level")))</f>
        <v>Mid Level</v>
      </c>
      <c r="N391" s="1">
        <f>AVERAGE(Table1[[#This Row],[Interview Score]:[Personality Score]])</f>
        <v>48.333333333333336</v>
      </c>
      <c r="O3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91" s="2" t="str">
        <f t="shared" si="6"/>
        <v>0-10</v>
      </c>
    </row>
    <row r="392" spans="1:16" x14ac:dyDescent="0.25">
      <c r="A392">
        <v>23</v>
      </c>
      <c r="B392" s="2">
        <v>1</v>
      </c>
      <c r="C392" s="2">
        <v>2</v>
      </c>
      <c r="D392" s="2">
        <v>5</v>
      </c>
      <c r="E392" s="2">
        <v>2</v>
      </c>
      <c r="F392" s="1">
        <v>10.27044252</v>
      </c>
      <c r="G392" s="2">
        <v>81</v>
      </c>
      <c r="H392" s="2">
        <v>87</v>
      </c>
      <c r="I392" s="2">
        <v>1</v>
      </c>
      <c r="J392" s="2">
        <v>1</v>
      </c>
      <c r="K392" s="2">
        <v>1</v>
      </c>
      <c r="L39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92" t="str">
        <f>IF(Table1[[#This Row],[Experience Years]]&lt;=2,"Entry Level",IF(Table1[[#This Row],[Experience Years]]&lt;=7,"Mid Level",IF(Table1[[#This Row],[Experience Years]]&lt;=15,"Senior Level")))</f>
        <v>Mid Level</v>
      </c>
      <c r="N392" s="1">
        <f>AVERAGE(Table1[[#This Row],[Interview Score]:[Personality Score]])</f>
        <v>56.333333333333336</v>
      </c>
      <c r="O3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392" s="2" t="str">
        <f t="shared" si="6"/>
        <v>10-20</v>
      </c>
    </row>
    <row r="393" spans="1:16" x14ac:dyDescent="0.25">
      <c r="A393">
        <v>25</v>
      </c>
      <c r="B393" s="2">
        <v>0</v>
      </c>
      <c r="C393" s="2">
        <v>1</v>
      </c>
      <c r="D393" s="2">
        <v>0</v>
      </c>
      <c r="E393" s="2">
        <v>1</v>
      </c>
      <c r="F393" s="1">
        <v>10.103156439999999</v>
      </c>
      <c r="G393" s="2">
        <v>73</v>
      </c>
      <c r="H393" s="2">
        <v>68</v>
      </c>
      <c r="I393" s="2">
        <v>57</v>
      </c>
      <c r="J393" s="2">
        <v>1</v>
      </c>
      <c r="K393" s="2">
        <v>1</v>
      </c>
      <c r="L39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93" s="2" t="str">
        <f>IF(Table1[[#This Row],[Experience Years]]&lt;=2,"Entry Level",IF(Table1[[#This Row],[Experience Years]]&lt;=7,"Mid Level",IF(Table1[[#This Row],[Experience Years]]&lt;=15,"Senior Level")))</f>
        <v>Entry Level</v>
      </c>
      <c r="N393" s="1">
        <f>AVERAGE(Table1[[#This Row],[Interview Score]:[Personality Score]])</f>
        <v>66</v>
      </c>
      <c r="O3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93" s="2" t="str">
        <f t="shared" si="6"/>
        <v>10-20</v>
      </c>
    </row>
    <row r="394" spans="1:16" x14ac:dyDescent="0.25">
      <c r="A394">
        <v>27</v>
      </c>
      <c r="B394" s="2">
        <v>1</v>
      </c>
      <c r="C394" s="2">
        <v>2</v>
      </c>
      <c r="D394" s="2">
        <v>13</v>
      </c>
      <c r="E394" s="2">
        <v>2</v>
      </c>
      <c r="F394" s="1">
        <v>26.643143970000001</v>
      </c>
      <c r="G394" s="2">
        <v>23</v>
      </c>
      <c r="H394" s="2">
        <v>68</v>
      </c>
      <c r="I394" s="2">
        <v>18</v>
      </c>
      <c r="J394" s="2">
        <v>2</v>
      </c>
      <c r="K394" s="2">
        <v>0</v>
      </c>
      <c r="L39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394" t="str">
        <f>IF(Table1[[#This Row],[Experience Years]]&lt;=2,"Entry Level",IF(Table1[[#This Row],[Experience Years]]&lt;=7,"Mid Level",IF(Table1[[#This Row],[Experience Years]]&lt;=15,"Senior Level")))</f>
        <v>Senior Level</v>
      </c>
      <c r="N394" s="1">
        <f>AVERAGE(Table1[[#This Row],[Interview Score]:[Personality Score]])</f>
        <v>36.333333333333336</v>
      </c>
      <c r="O3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94" s="2" t="str">
        <f t="shared" si="6"/>
        <v>20-30</v>
      </c>
    </row>
    <row r="395" spans="1:16" x14ac:dyDescent="0.25">
      <c r="A395">
        <v>39</v>
      </c>
      <c r="B395" s="2">
        <v>0</v>
      </c>
      <c r="C395" s="2">
        <v>1</v>
      </c>
      <c r="D395" s="2">
        <v>0</v>
      </c>
      <c r="E395" s="2">
        <v>1</v>
      </c>
      <c r="F395" s="1">
        <v>43.23987906</v>
      </c>
      <c r="G395" s="2">
        <v>3</v>
      </c>
      <c r="H395" s="2">
        <v>80</v>
      </c>
      <c r="I395" s="2">
        <v>61</v>
      </c>
      <c r="J395" s="2">
        <v>2</v>
      </c>
      <c r="K395" s="2">
        <v>0</v>
      </c>
      <c r="L39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395" s="2" t="str">
        <f>IF(Table1[[#This Row],[Experience Years]]&lt;=2,"Entry Level",IF(Table1[[#This Row],[Experience Years]]&lt;=7,"Mid Level",IF(Table1[[#This Row],[Experience Years]]&lt;=15,"Senior Level")))</f>
        <v>Entry Level</v>
      </c>
      <c r="N395" s="1">
        <f>AVERAGE(Table1[[#This Row],[Interview Score]:[Personality Score]])</f>
        <v>48</v>
      </c>
      <c r="O3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95" s="2" t="str">
        <f t="shared" si="6"/>
        <v>40-50</v>
      </c>
    </row>
    <row r="396" spans="1:16" x14ac:dyDescent="0.25">
      <c r="A396">
        <v>49</v>
      </c>
      <c r="B396" s="2">
        <v>1</v>
      </c>
      <c r="C396" s="2">
        <v>1</v>
      </c>
      <c r="D396" s="2">
        <v>13</v>
      </c>
      <c r="E396" s="2">
        <v>2</v>
      </c>
      <c r="F396" s="1">
        <v>4.9802538500000004</v>
      </c>
      <c r="G396" s="2">
        <v>36</v>
      </c>
      <c r="H396" s="2">
        <v>29</v>
      </c>
      <c r="I396" s="2">
        <v>77</v>
      </c>
      <c r="J396" s="2">
        <v>1</v>
      </c>
      <c r="K396" s="2">
        <v>1</v>
      </c>
      <c r="L39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96" t="str">
        <f>IF(Table1[[#This Row],[Experience Years]]&lt;=2,"Entry Level",IF(Table1[[#This Row],[Experience Years]]&lt;=7,"Mid Level",IF(Table1[[#This Row],[Experience Years]]&lt;=15,"Senior Level")))</f>
        <v>Senior Level</v>
      </c>
      <c r="N396" s="1">
        <f>AVERAGE(Table1[[#This Row],[Interview Score]:[Personality Score]])</f>
        <v>47.333333333333336</v>
      </c>
      <c r="O3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96" s="2" t="str">
        <f t="shared" si="6"/>
        <v>0-10</v>
      </c>
    </row>
    <row r="397" spans="1:16" x14ac:dyDescent="0.25">
      <c r="A397">
        <v>22</v>
      </c>
      <c r="B397" s="2">
        <v>1</v>
      </c>
      <c r="C397" s="2">
        <v>1</v>
      </c>
      <c r="D397" s="2">
        <v>10</v>
      </c>
      <c r="E397" s="2">
        <v>4</v>
      </c>
      <c r="F397" s="1">
        <v>36.347815920000002</v>
      </c>
      <c r="G397" s="2">
        <v>3</v>
      </c>
      <c r="H397" s="2">
        <v>72</v>
      </c>
      <c r="I397" s="2">
        <v>71</v>
      </c>
      <c r="J397" s="2">
        <v>2</v>
      </c>
      <c r="K397" s="2">
        <v>0</v>
      </c>
      <c r="L39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397" t="str">
        <f>IF(Table1[[#This Row],[Experience Years]]&lt;=2,"Entry Level",IF(Table1[[#This Row],[Experience Years]]&lt;=7,"Mid Level",IF(Table1[[#This Row],[Experience Years]]&lt;=15,"Senior Level")))</f>
        <v>Senior Level</v>
      </c>
      <c r="N397" s="1">
        <f>AVERAGE(Table1[[#This Row],[Interview Score]:[Personality Score]])</f>
        <v>48.666666666666664</v>
      </c>
      <c r="O3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97" s="2" t="str">
        <f t="shared" si="6"/>
        <v>30-40</v>
      </c>
    </row>
    <row r="398" spans="1:16" x14ac:dyDescent="0.25">
      <c r="A398">
        <v>35</v>
      </c>
      <c r="B398" s="2">
        <v>0</v>
      </c>
      <c r="C398" s="2">
        <v>1</v>
      </c>
      <c r="D398" s="2">
        <v>15</v>
      </c>
      <c r="E398" s="2">
        <v>4</v>
      </c>
      <c r="F398" s="1">
        <v>33.717322979999999</v>
      </c>
      <c r="G398" s="2">
        <v>76</v>
      </c>
      <c r="H398" s="2">
        <v>5</v>
      </c>
      <c r="I398" s="2">
        <v>11</v>
      </c>
      <c r="J398" s="2">
        <v>1</v>
      </c>
      <c r="K398" s="2">
        <v>1</v>
      </c>
      <c r="L39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398" s="2" t="str">
        <f>IF(Table1[[#This Row],[Experience Years]]&lt;=2,"Entry Level",IF(Table1[[#This Row],[Experience Years]]&lt;=7,"Mid Level",IF(Table1[[#This Row],[Experience Years]]&lt;=15,"Senior Level")))</f>
        <v>Senior Level</v>
      </c>
      <c r="N398" s="1">
        <f>AVERAGE(Table1[[#This Row],[Interview Score]:[Personality Score]])</f>
        <v>30.666666666666668</v>
      </c>
      <c r="O3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398" s="2" t="str">
        <f t="shared" si="6"/>
        <v>30-40</v>
      </c>
    </row>
    <row r="399" spans="1:16" x14ac:dyDescent="0.25">
      <c r="A399">
        <v>49</v>
      </c>
      <c r="B399" s="2">
        <v>1</v>
      </c>
      <c r="C399" s="2">
        <v>1</v>
      </c>
      <c r="D399" s="2">
        <v>9</v>
      </c>
      <c r="E399" s="2">
        <v>2</v>
      </c>
      <c r="F399" s="1">
        <v>44.625997589999997</v>
      </c>
      <c r="G399" s="2">
        <v>88</v>
      </c>
      <c r="H399" s="2">
        <v>88</v>
      </c>
      <c r="I399" s="2">
        <v>25</v>
      </c>
      <c r="J399" s="2">
        <v>2</v>
      </c>
      <c r="K399" s="2">
        <v>0</v>
      </c>
      <c r="L39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399" t="str">
        <f>IF(Table1[[#This Row],[Experience Years]]&lt;=2,"Entry Level",IF(Table1[[#This Row],[Experience Years]]&lt;=7,"Mid Level",IF(Table1[[#This Row],[Experience Years]]&lt;=15,"Senior Level")))</f>
        <v>Senior Level</v>
      </c>
      <c r="N399" s="1">
        <f>AVERAGE(Table1[[#This Row],[Interview Score]:[Personality Score]])</f>
        <v>67</v>
      </c>
      <c r="O3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399" s="2" t="str">
        <f t="shared" si="6"/>
        <v>40-50</v>
      </c>
    </row>
    <row r="400" spans="1:16" x14ac:dyDescent="0.25">
      <c r="A400">
        <v>44</v>
      </c>
      <c r="B400" s="2">
        <v>0</v>
      </c>
      <c r="C400" s="2">
        <v>2</v>
      </c>
      <c r="D400" s="2">
        <v>2</v>
      </c>
      <c r="E400" s="2">
        <v>1</v>
      </c>
      <c r="F400" s="1">
        <v>13.207378029999999</v>
      </c>
      <c r="G400" s="2">
        <v>76</v>
      </c>
      <c r="H400" s="2">
        <v>18</v>
      </c>
      <c r="I400" s="2">
        <v>26</v>
      </c>
      <c r="J400" s="2">
        <v>1</v>
      </c>
      <c r="K400" s="2">
        <v>0</v>
      </c>
      <c r="L40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00" s="2" t="str">
        <f>IF(Table1[[#This Row],[Experience Years]]&lt;=2,"Entry Level",IF(Table1[[#This Row],[Experience Years]]&lt;=7,"Mid Level",IF(Table1[[#This Row],[Experience Years]]&lt;=15,"Senior Level")))</f>
        <v>Entry Level</v>
      </c>
      <c r="N400" s="1">
        <f>AVERAGE(Table1[[#This Row],[Interview Score]:[Personality Score]])</f>
        <v>40</v>
      </c>
      <c r="O4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00" s="2" t="str">
        <f t="shared" si="6"/>
        <v>10-20</v>
      </c>
    </row>
    <row r="401" spans="1:16" x14ac:dyDescent="0.25">
      <c r="A401">
        <v>22</v>
      </c>
      <c r="B401" s="2">
        <v>0</v>
      </c>
      <c r="C401" s="2">
        <v>2</v>
      </c>
      <c r="D401" s="2">
        <v>13</v>
      </c>
      <c r="E401" s="2">
        <v>3</v>
      </c>
      <c r="F401" s="1">
        <v>23.505492929999999</v>
      </c>
      <c r="G401" s="2">
        <v>17</v>
      </c>
      <c r="H401" s="2">
        <v>79</v>
      </c>
      <c r="I401" s="2">
        <v>28</v>
      </c>
      <c r="J401" s="2">
        <v>2</v>
      </c>
      <c r="K401" s="2">
        <v>0</v>
      </c>
      <c r="L40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01" s="2" t="str">
        <f>IF(Table1[[#This Row],[Experience Years]]&lt;=2,"Entry Level",IF(Table1[[#This Row],[Experience Years]]&lt;=7,"Mid Level",IF(Table1[[#This Row],[Experience Years]]&lt;=15,"Senior Level")))</f>
        <v>Senior Level</v>
      </c>
      <c r="N401" s="1">
        <f>AVERAGE(Table1[[#This Row],[Interview Score]:[Personality Score]])</f>
        <v>41.333333333333336</v>
      </c>
      <c r="O4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01" s="2" t="str">
        <f t="shared" si="6"/>
        <v>20-30</v>
      </c>
    </row>
    <row r="402" spans="1:16" x14ac:dyDescent="0.25">
      <c r="A402">
        <v>44</v>
      </c>
      <c r="B402" s="2">
        <v>1</v>
      </c>
      <c r="C402" s="2">
        <v>3</v>
      </c>
      <c r="D402" s="2">
        <v>9</v>
      </c>
      <c r="E402" s="2">
        <v>4</v>
      </c>
      <c r="F402" s="1">
        <v>47.291368720000001</v>
      </c>
      <c r="G402" s="2">
        <v>87</v>
      </c>
      <c r="H402" s="2">
        <v>84</v>
      </c>
      <c r="I402" s="2">
        <v>14</v>
      </c>
      <c r="J402" s="2">
        <v>2</v>
      </c>
      <c r="K402" s="2">
        <v>1</v>
      </c>
      <c r="L40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02" t="str">
        <f>IF(Table1[[#This Row],[Experience Years]]&lt;=2,"Entry Level",IF(Table1[[#This Row],[Experience Years]]&lt;=7,"Mid Level",IF(Table1[[#This Row],[Experience Years]]&lt;=15,"Senior Level")))</f>
        <v>Senior Level</v>
      </c>
      <c r="N402" s="1">
        <f>AVERAGE(Table1[[#This Row],[Interview Score]:[Personality Score]])</f>
        <v>61.666666666666664</v>
      </c>
      <c r="O4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02" s="2" t="str">
        <f t="shared" si="6"/>
        <v>40-50</v>
      </c>
    </row>
    <row r="403" spans="1:16" x14ac:dyDescent="0.25">
      <c r="A403">
        <v>48</v>
      </c>
      <c r="B403" s="2">
        <v>0</v>
      </c>
      <c r="C403" s="2">
        <v>2</v>
      </c>
      <c r="D403" s="2">
        <v>9</v>
      </c>
      <c r="E403" s="2">
        <v>4</v>
      </c>
      <c r="F403" s="1">
        <v>33.999672510000003</v>
      </c>
      <c r="G403" s="2">
        <v>65</v>
      </c>
      <c r="H403" s="2">
        <v>65</v>
      </c>
      <c r="I403" s="2">
        <v>45</v>
      </c>
      <c r="J403" s="2">
        <v>1</v>
      </c>
      <c r="K403" s="2">
        <v>1</v>
      </c>
      <c r="L40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03" s="2" t="str">
        <f>IF(Table1[[#This Row],[Experience Years]]&lt;=2,"Entry Level",IF(Table1[[#This Row],[Experience Years]]&lt;=7,"Mid Level",IF(Table1[[#This Row],[Experience Years]]&lt;=15,"Senior Level")))</f>
        <v>Senior Level</v>
      </c>
      <c r="N403" s="1">
        <f>AVERAGE(Table1[[#This Row],[Interview Score]:[Personality Score]])</f>
        <v>58.333333333333336</v>
      </c>
      <c r="O4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03" s="2" t="str">
        <f t="shared" si="6"/>
        <v>30-40</v>
      </c>
    </row>
    <row r="404" spans="1:16" x14ac:dyDescent="0.25">
      <c r="A404">
        <v>37</v>
      </c>
      <c r="B404" s="2">
        <v>0</v>
      </c>
      <c r="C404" s="2">
        <v>3</v>
      </c>
      <c r="D404" s="2">
        <v>14</v>
      </c>
      <c r="E404" s="2">
        <v>3</v>
      </c>
      <c r="F404" s="1">
        <v>20.43842064</v>
      </c>
      <c r="G404" s="2">
        <v>47</v>
      </c>
      <c r="H404" s="2">
        <v>9</v>
      </c>
      <c r="I404" s="2">
        <v>0</v>
      </c>
      <c r="J404" s="2">
        <v>2</v>
      </c>
      <c r="K404" s="2">
        <v>0</v>
      </c>
      <c r="L40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04" s="2" t="str">
        <f>IF(Table1[[#This Row],[Experience Years]]&lt;=2,"Entry Level",IF(Table1[[#This Row],[Experience Years]]&lt;=7,"Mid Level",IF(Table1[[#This Row],[Experience Years]]&lt;=15,"Senior Level")))</f>
        <v>Senior Level</v>
      </c>
      <c r="N404" s="1">
        <f>AVERAGE(Table1[[#This Row],[Interview Score]:[Personality Score]])</f>
        <v>18.666666666666668</v>
      </c>
      <c r="O4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04" s="2" t="str">
        <f t="shared" si="6"/>
        <v>20-30</v>
      </c>
    </row>
    <row r="405" spans="1:16" x14ac:dyDescent="0.25">
      <c r="A405">
        <v>33</v>
      </c>
      <c r="B405" s="2">
        <v>1</v>
      </c>
      <c r="C405" s="2">
        <v>1</v>
      </c>
      <c r="D405" s="2">
        <v>11</v>
      </c>
      <c r="E405" s="2">
        <v>2</v>
      </c>
      <c r="F405" s="1">
        <v>7.5706191430000001</v>
      </c>
      <c r="G405" s="2">
        <v>32</v>
      </c>
      <c r="H405" s="2">
        <v>15</v>
      </c>
      <c r="I405" s="2">
        <v>59</v>
      </c>
      <c r="J405" s="2">
        <v>2</v>
      </c>
      <c r="K405" s="2">
        <v>0</v>
      </c>
      <c r="L40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05" t="str">
        <f>IF(Table1[[#This Row],[Experience Years]]&lt;=2,"Entry Level",IF(Table1[[#This Row],[Experience Years]]&lt;=7,"Mid Level",IF(Table1[[#This Row],[Experience Years]]&lt;=15,"Senior Level")))</f>
        <v>Senior Level</v>
      </c>
      <c r="N405" s="1">
        <f>AVERAGE(Table1[[#This Row],[Interview Score]:[Personality Score]])</f>
        <v>35.333333333333336</v>
      </c>
      <c r="O4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05" s="2" t="str">
        <f t="shared" si="6"/>
        <v>0-10</v>
      </c>
    </row>
    <row r="406" spans="1:16" x14ac:dyDescent="0.25">
      <c r="A406">
        <v>37</v>
      </c>
      <c r="B406" s="2">
        <v>0</v>
      </c>
      <c r="C406" s="2">
        <v>2</v>
      </c>
      <c r="D406" s="2">
        <v>2</v>
      </c>
      <c r="E406" s="2">
        <v>1</v>
      </c>
      <c r="F406" s="1">
        <v>14.124250399999999</v>
      </c>
      <c r="G406" s="2">
        <v>57</v>
      </c>
      <c r="H406" s="2">
        <v>36</v>
      </c>
      <c r="I406" s="2">
        <v>91</v>
      </c>
      <c r="J406" s="2">
        <v>1</v>
      </c>
      <c r="K406" s="2">
        <v>0</v>
      </c>
      <c r="L40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06" s="2" t="str">
        <f>IF(Table1[[#This Row],[Experience Years]]&lt;=2,"Entry Level",IF(Table1[[#This Row],[Experience Years]]&lt;=7,"Mid Level",IF(Table1[[#This Row],[Experience Years]]&lt;=15,"Senior Level")))</f>
        <v>Entry Level</v>
      </c>
      <c r="N406" s="1">
        <f>AVERAGE(Table1[[#This Row],[Interview Score]:[Personality Score]])</f>
        <v>61.333333333333336</v>
      </c>
      <c r="O4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06" s="2" t="str">
        <f t="shared" si="6"/>
        <v>10-20</v>
      </c>
    </row>
    <row r="407" spans="1:16" x14ac:dyDescent="0.25">
      <c r="A407">
        <v>21</v>
      </c>
      <c r="B407" s="2">
        <v>0</v>
      </c>
      <c r="C407" s="2">
        <v>3</v>
      </c>
      <c r="D407" s="2">
        <v>3</v>
      </c>
      <c r="E407" s="2">
        <v>2</v>
      </c>
      <c r="F407" s="1">
        <v>30.060773869999998</v>
      </c>
      <c r="G407" s="2">
        <v>82</v>
      </c>
      <c r="H407" s="2">
        <v>78</v>
      </c>
      <c r="I407" s="2">
        <v>56</v>
      </c>
      <c r="J407" s="2">
        <v>1</v>
      </c>
      <c r="K407" s="2">
        <v>1</v>
      </c>
      <c r="L40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07" s="2" t="str">
        <f>IF(Table1[[#This Row],[Experience Years]]&lt;=2,"Entry Level",IF(Table1[[#This Row],[Experience Years]]&lt;=7,"Mid Level",IF(Table1[[#This Row],[Experience Years]]&lt;=15,"Senior Level")))</f>
        <v>Mid Level</v>
      </c>
      <c r="N407" s="1">
        <f>AVERAGE(Table1[[#This Row],[Interview Score]:[Personality Score]])</f>
        <v>72</v>
      </c>
      <c r="O4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407" s="2" t="str">
        <f t="shared" si="6"/>
        <v>30-40</v>
      </c>
    </row>
    <row r="408" spans="1:16" x14ac:dyDescent="0.25">
      <c r="A408">
        <v>41</v>
      </c>
      <c r="B408" s="2">
        <v>0</v>
      </c>
      <c r="C408" s="2">
        <v>1</v>
      </c>
      <c r="D408" s="2">
        <v>1</v>
      </c>
      <c r="E408" s="2">
        <v>5</v>
      </c>
      <c r="F408" s="1">
        <v>36.908397379999997</v>
      </c>
      <c r="G408" s="2">
        <v>72</v>
      </c>
      <c r="H408" s="2">
        <v>76</v>
      </c>
      <c r="I408" s="2">
        <v>2</v>
      </c>
      <c r="J408" s="2">
        <v>2</v>
      </c>
      <c r="K408" s="2">
        <v>0</v>
      </c>
      <c r="L40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08" s="2" t="str">
        <f>IF(Table1[[#This Row],[Experience Years]]&lt;=2,"Entry Level",IF(Table1[[#This Row],[Experience Years]]&lt;=7,"Mid Level",IF(Table1[[#This Row],[Experience Years]]&lt;=15,"Senior Level")))</f>
        <v>Entry Level</v>
      </c>
      <c r="N408" s="1">
        <f>AVERAGE(Table1[[#This Row],[Interview Score]:[Personality Score]])</f>
        <v>50</v>
      </c>
      <c r="O4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08" s="2" t="str">
        <f t="shared" si="6"/>
        <v>30-40</v>
      </c>
    </row>
    <row r="409" spans="1:16" x14ac:dyDescent="0.25">
      <c r="A409">
        <v>22</v>
      </c>
      <c r="B409" s="2">
        <v>1</v>
      </c>
      <c r="C409" s="2">
        <v>2</v>
      </c>
      <c r="D409" s="2">
        <v>8</v>
      </c>
      <c r="E409" s="2">
        <v>4</v>
      </c>
      <c r="F409" s="1">
        <v>7.2210943429999999</v>
      </c>
      <c r="G409" s="2">
        <v>27</v>
      </c>
      <c r="H409" s="2">
        <v>76</v>
      </c>
      <c r="I409" s="2">
        <v>17</v>
      </c>
      <c r="J409" s="2">
        <v>2</v>
      </c>
      <c r="K409" s="2">
        <v>0</v>
      </c>
      <c r="L40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09" t="str">
        <f>IF(Table1[[#This Row],[Experience Years]]&lt;=2,"Entry Level",IF(Table1[[#This Row],[Experience Years]]&lt;=7,"Mid Level",IF(Table1[[#This Row],[Experience Years]]&lt;=15,"Senior Level")))</f>
        <v>Senior Level</v>
      </c>
      <c r="N409" s="1">
        <f>AVERAGE(Table1[[#This Row],[Interview Score]:[Personality Score]])</f>
        <v>40</v>
      </c>
      <c r="O4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09" s="2" t="str">
        <f t="shared" si="6"/>
        <v>0-10</v>
      </c>
    </row>
    <row r="410" spans="1:16" x14ac:dyDescent="0.25">
      <c r="A410">
        <v>35</v>
      </c>
      <c r="B410" s="2">
        <v>0</v>
      </c>
      <c r="C410" s="2">
        <v>2</v>
      </c>
      <c r="D410" s="2">
        <v>9</v>
      </c>
      <c r="E410" s="2">
        <v>5</v>
      </c>
      <c r="F410" s="1">
        <v>30.979863000000002</v>
      </c>
      <c r="G410" s="2">
        <v>34</v>
      </c>
      <c r="H410" s="2">
        <v>31</v>
      </c>
      <c r="I410" s="2">
        <v>51</v>
      </c>
      <c r="J410" s="2">
        <v>2</v>
      </c>
      <c r="K410" s="2">
        <v>0</v>
      </c>
      <c r="L41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10" s="2" t="str">
        <f>IF(Table1[[#This Row],[Experience Years]]&lt;=2,"Entry Level",IF(Table1[[#This Row],[Experience Years]]&lt;=7,"Mid Level",IF(Table1[[#This Row],[Experience Years]]&lt;=15,"Senior Level")))</f>
        <v>Senior Level</v>
      </c>
      <c r="N410" s="1">
        <f>AVERAGE(Table1[[#This Row],[Interview Score]:[Personality Score]])</f>
        <v>38.666666666666664</v>
      </c>
      <c r="O4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10" s="2" t="str">
        <f t="shared" si="6"/>
        <v>30-40</v>
      </c>
    </row>
    <row r="411" spans="1:16" x14ac:dyDescent="0.25">
      <c r="A411">
        <v>48</v>
      </c>
      <c r="B411" s="2">
        <v>1</v>
      </c>
      <c r="C411" s="2">
        <v>2</v>
      </c>
      <c r="D411" s="2">
        <v>11</v>
      </c>
      <c r="E411" s="2">
        <v>4</v>
      </c>
      <c r="F411" s="1">
        <v>28.517563939999999</v>
      </c>
      <c r="G411" s="2">
        <v>9</v>
      </c>
      <c r="H411" s="2">
        <v>46</v>
      </c>
      <c r="I411" s="2">
        <v>59</v>
      </c>
      <c r="J411" s="2">
        <v>1</v>
      </c>
      <c r="K411" s="2">
        <v>0</v>
      </c>
      <c r="L41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11" t="str">
        <f>IF(Table1[[#This Row],[Experience Years]]&lt;=2,"Entry Level",IF(Table1[[#This Row],[Experience Years]]&lt;=7,"Mid Level",IF(Table1[[#This Row],[Experience Years]]&lt;=15,"Senior Level")))</f>
        <v>Senior Level</v>
      </c>
      <c r="N411" s="1">
        <f>AVERAGE(Table1[[#This Row],[Interview Score]:[Personality Score]])</f>
        <v>38</v>
      </c>
      <c r="O4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11" s="2" t="str">
        <f t="shared" si="6"/>
        <v>20-30</v>
      </c>
    </row>
    <row r="412" spans="1:16" x14ac:dyDescent="0.25">
      <c r="A412">
        <v>28</v>
      </c>
      <c r="B412" s="2">
        <v>1</v>
      </c>
      <c r="C412" s="2">
        <v>1</v>
      </c>
      <c r="D412" s="2">
        <v>10</v>
      </c>
      <c r="E412" s="2">
        <v>4</v>
      </c>
      <c r="F412" s="1">
        <v>26.697772329999999</v>
      </c>
      <c r="G412" s="2">
        <v>64</v>
      </c>
      <c r="H412" s="2">
        <v>71</v>
      </c>
      <c r="I412" s="2">
        <v>33</v>
      </c>
      <c r="J412" s="2">
        <v>2</v>
      </c>
      <c r="K412" s="2">
        <v>0</v>
      </c>
      <c r="L41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412" t="str">
        <f>IF(Table1[[#This Row],[Experience Years]]&lt;=2,"Entry Level",IF(Table1[[#This Row],[Experience Years]]&lt;=7,"Mid Level",IF(Table1[[#This Row],[Experience Years]]&lt;=15,"Senior Level")))</f>
        <v>Senior Level</v>
      </c>
      <c r="N412" s="1">
        <f>AVERAGE(Table1[[#This Row],[Interview Score]:[Personality Score]])</f>
        <v>56</v>
      </c>
      <c r="O4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12" s="2" t="str">
        <f t="shared" si="6"/>
        <v>20-30</v>
      </c>
    </row>
    <row r="413" spans="1:16" x14ac:dyDescent="0.25">
      <c r="A413">
        <v>23</v>
      </c>
      <c r="B413" s="2">
        <v>0</v>
      </c>
      <c r="C413" s="2">
        <v>2</v>
      </c>
      <c r="D413" s="2">
        <v>13</v>
      </c>
      <c r="E413" s="2">
        <v>5</v>
      </c>
      <c r="F413" s="1">
        <v>35.506155880000001</v>
      </c>
      <c r="G413" s="2">
        <v>41</v>
      </c>
      <c r="H413" s="2">
        <v>42</v>
      </c>
      <c r="I413" s="2">
        <v>95</v>
      </c>
      <c r="J413" s="2">
        <v>1</v>
      </c>
      <c r="K413" s="2">
        <v>1</v>
      </c>
      <c r="L41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13" s="2" t="str">
        <f>IF(Table1[[#This Row],[Experience Years]]&lt;=2,"Entry Level",IF(Table1[[#This Row],[Experience Years]]&lt;=7,"Mid Level",IF(Table1[[#This Row],[Experience Years]]&lt;=15,"Senior Level")))</f>
        <v>Senior Level</v>
      </c>
      <c r="N413" s="1">
        <f>AVERAGE(Table1[[#This Row],[Interview Score]:[Personality Score]])</f>
        <v>59.333333333333336</v>
      </c>
      <c r="O4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13" s="2" t="str">
        <f t="shared" si="6"/>
        <v>30-40</v>
      </c>
    </row>
    <row r="414" spans="1:16" x14ac:dyDescent="0.25">
      <c r="A414">
        <v>20</v>
      </c>
      <c r="B414" s="2">
        <v>0</v>
      </c>
      <c r="C414" s="2">
        <v>2</v>
      </c>
      <c r="D414" s="2">
        <v>6</v>
      </c>
      <c r="E414" s="2">
        <v>5</v>
      </c>
      <c r="F414" s="1">
        <v>42.872479749999997</v>
      </c>
      <c r="G414" s="2">
        <v>84</v>
      </c>
      <c r="H414" s="2">
        <v>81</v>
      </c>
      <c r="I414" s="2">
        <v>92</v>
      </c>
      <c r="J414" s="2">
        <v>3</v>
      </c>
      <c r="K414" s="2">
        <v>1</v>
      </c>
      <c r="L41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14" s="2" t="str">
        <f>IF(Table1[[#This Row],[Experience Years]]&lt;=2,"Entry Level",IF(Table1[[#This Row],[Experience Years]]&lt;=7,"Mid Level",IF(Table1[[#This Row],[Experience Years]]&lt;=15,"Senior Level")))</f>
        <v>Mid Level</v>
      </c>
      <c r="N414" s="1">
        <f>AVERAGE(Table1[[#This Row],[Interview Score]:[Personality Score]])</f>
        <v>85.666666666666671</v>
      </c>
      <c r="O4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414" s="2" t="str">
        <f t="shared" si="6"/>
        <v>40-50</v>
      </c>
    </row>
    <row r="415" spans="1:16" x14ac:dyDescent="0.25">
      <c r="A415">
        <v>23</v>
      </c>
      <c r="B415" s="2">
        <v>0</v>
      </c>
      <c r="C415" s="2">
        <v>1</v>
      </c>
      <c r="D415" s="2">
        <v>6</v>
      </c>
      <c r="E415" s="2">
        <v>2</v>
      </c>
      <c r="F415" s="1">
        <v>17.14948416</v>
      </c>
      <c r="G415" s="2">
        <v>8</v>
      </c>
      <c r="H415" s="2">
        <v>35</v>
      </c>
      <c r="I415" s="2">
        <v>88</v>
      </c>
      <c r="J415" s="2">
        <v>2</v>
      </c>
      <c r="K415" s="2">
        <v>0</v>
      </c>
      <c r="L41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15" s="2" t="str">
        <f>IF(Table1[[#This Row],[Experience Years]]&lt;=2,"Entry Level",IF(Table1[[#This Row],[Experience Years]]&lt;=7,"Mid Level",IF(Table1[[#This Row],[Experience Years]]&lt;=15,"Senior Level")))</f>
        <v>Mid Level</v>
      </c>
      <c r="N415" s="1">
        <f>AVERAGE(Table1[[#This Row],[Interview Score]:[Personality Score]])</f>
        <v>43.666666666666664</v>
      </c>
      <c r="O4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15" s="2" t="str">
        <f t="shared" si="6"/>
        <v>10-20</v>
      </c>
    </row>
    <row r="416" spans="1:16" x14ac:dyDescent="0.25">
      <c r="A416">
        <v>20</v>
      </c>
      <c r="B416" s="2">
        <v>1</v>
      </c>
      <c r="C416" s="2">
        <v>2</v>
      </c>
      <c r="D416" s="2">
        <v>14</v>
      </c>
      <c r="E416" s="2">
        <v>5</v>
      </c>
      <c r="F416" s="1">
        <v>45.45060951</v>
      </c>
      <c r="G416" s="2">
        <v>59</v>
      </c>
      <c r="H416" s="2">
        <v>25</v>
      </c>
      <c r="I416" s="2">
        <v>59</v>
      </c>
      <c r="J416" s="2">
        <v>3</v>
      </c>
      <c r="K416" s="2">
        <v>0</v>
      </c>
      <c r="L41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16" t="str">
        <f>IF(Table1[[#This Row],[Experience Years]]&lt;=2,"Entry Level",IF(Table1[[#This Row],[Experience Years]]&lt;=7,"Mid Level",IF(Table1[[#This Row],[Experience Years]]&lt;=15,"Senior Level")))</f>
        <v>Senior Level</v>
      </c>
      <c r="N416" s="1">
        <f>AVERAGE(Table1[[#This Row],[Interview Score]:[Personality Score]])</f>
        <v>47.666666666666664</v>
      </c>
      <c r="O4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16" s="2" t="str">
        <f t="shared" si="6"/>
        <v>40-50</v>
      </c>
    </row>
    <row r="417" spans="1:16" x14ac:dyDescent="0.25">
      <c r="A417">
        <v>33</v>
      </c>
      <c r="B417" s="2">
        <v>0</v>
      </c>
      <c r="C417" s="2">
        <v>3</v>
      </c>
      <c r="D417" s="2">
        <v>5</v>
      </c>
      <c r="E417" s="2">
        <v>2</v>
      </c>
      <c r="F417" s="1">
        <v>9.0316806310000004</v>
      </c>
      <c r="G417" s="2">
        <v>14</v>
      </c>
      <c r="H417" s="2">
        <v>9</v>
      </c>
      <c r="I417" s="2">
        <v>25</v>
      </c>
      <c r="J417" s="2">
        <v>2</v>
      </c>
      <c r="K417" s="2">
        <v>0</v>
      </c>
      <c r="L41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17" s="2" t="str">
        <f>IF(Table1[[#This Row],[Experience Years]]&lt;=2,"Entry Level",IF(Table1[[#This Row],[Experience Years]]&lt;=7,"Mid Level",IF(Table1[[#This Row],[Experience Years]]&lt;=15,"Senior Level")))</f>
        <v>Mid Level</v>
      </c>
      <c r="N417" s="1">
        <f>AVERAGE(Table1[[#This Row],[Interview Score]:[Personality Score]])</f>
        <v>16</v>
      </c>
      <c r="O4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17" s="2" t="str">
        <f t="shared" si="6"/>
        <v>0-10</v>
      </c>
    </row>
    <row r="418" spans="1:16" x14ac:dyDescent="0.25">
      <c r="A418">
        <v>40</v>
      </c>
      <c r="B418" s="2">
        <v>0</v>
      </c>
      <c r="C418" s="2">
        <v>4</v>
      </c>
      <c r="D418" s="2">
        <v>14</v>
      </c>
      <c r="E418" s="2">
        <v>2</v>
      </c>
      <c r="F418" s="1">
        <v>9.6511934880000005</v>
      </c>
      <c r="G418" s="2">
        <v>98</v>
      </c>
      <c r="H418" s="2">
        <v>30</v>
      </c>
      <c r="I418" s="2">
        <v>71</v>
      </c>
      <c r="J418" s="2">
        <v>2</v>
      </c>
      <c r="K418" s="2">
        <v>1</v>
      </c>
      <c r="L41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18" s="2" t="str">
        <f>IF(Table1[[#This Row],[Experience Years]]&lt;=2,"Entry Level",IF(Table1[[#This Row],[Experience Years]]&lt;=7,"Mid Level",IF(Table1[[#This Row],[Experience Years]]&lt;=15,"Senior Level")))</f>
        <v>Senior Level</v>
      </c>
      <c r="N418" s="1">
        <f>AVERAGE(Table1[[#This Row],[Interview Score]:[Personality Score]])</f>
        <v>66.333333333333329</v>
      </c>
      <c r="O4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18" s="2" t="str">
        <f t="shared" si="6"/>
        <v>0-10</v>
      </c>
    </row>
    <row r="419" spans="1:16" x14ac:dyDescent="0.25">
      <c r="A419">
        <v>35</v>
      </c>
      <c r="B419" s="2">
        <v>0</v>
      </c>
      <c r="C419" s="2">
        <v>2</v>
      </c>
      <c r="D419" s="2">
        <v>2</v>
      </c>
      <c r="E419" s="2">
        <v>2</v>
      </c>
      <c r="F419" s="1">
        <v>14.33860318</v>
      </c>
      <c r="G419" s="2">
        <v>56</v>
      </c>
      <c r="H419" s="2">
        <v>96</v>
      </c>
      <c r="I419" s="2">
        <v>18</v>
      </c>
      <c r="J419" s="2">
        <v>2</v>
      </c>
      <c r="K419" s="2">
        <v>0</v>
      </c>
      <c r="L41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19" s="2" t="str">
        <f>IF(Table1[[#This Row],[Experience Years]]&lt;=2,"Entry Level",IF(Table1[[#This Row],[Experience Years]]&lt;=7,"Mid Level",IF(Table1[[#This Row],[Experience Years]]&lt;=15,"Senior Level")))</f>
        <v>Entry Level</v>
      </c>
      <c r="N419" s="1">
        <f>AVERAGE(Table1[[#This Row],[Interview Score]:[Personality Score]])</f>
        <v>56.666666666666664</v>
      </c>
      <c r="O4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19" s="2" t="str">
        <f t="shared" si="6"/>
        <v>10-20</v>
      </c>
    </row>
    <row r="420" spans="1:16" x14ac:dyDescent="0.25">
      <c r="A420">
        <v>39</v>
      </c>
      <c r="B420" s="2">
        <v>0</v>
      </c>
      <c r="C420" s="2">
        <v>3</v>
      </c>
      <c r="D420" s="2">
        <v>5</v>
      </c>
      <c r="E420" s="2">
        <v>4</v>
      </c>
      <c r="F420" s="1">
        <v>6.9765434769999999</v>
      </c>
      <c r="G420" s="2">
        <v>68</v>
      </c>
      <c r="H420" s="2">
        <v>28</v>
      </c>
      <c r="I420" s="2">
        <v>21</v>
      </c>
      <c r="J420" s="2">
        <v>2</v>
      </c>
      <c r="K420" s="2">
        <v>0</v>
      </c>
      <c r="L42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20" s="2" t="str">
        <f>IF(Table1[[#This Row],[Experience Years]]&lt;=2,"Entry Level",IF(Table1[[#This Row],[Experience Years]]&lt;=7,"Mid Level",IF(Table1[[#This Row],[Experience Years]]&lt;=15,"Senior Level")))</f>
        <v>Mid Level</v>
      </c>
      <c r="N420" s="1">
        <f>AVERAGE(Table1[[#This Row],[Interview Score]:[Personality Score]])</f>
        <v>39</v>
      </c>
      <c r="O4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20" s="2" t="str">
        <f t="shared" si="6"/>
        <v>0-10</v>
      </c>
    </row>
    <row r="421" spans="1:16" x14ac:dyDescent="0.25">
      <c r="A421">
        <v>43</v>
      </c>
      <c r="B421" s="2">
        <v>0</v>
      </c>
      <c r="C421" s="2">
        <v>2</v>
      </c>
      <c r="D421" s="2">
        <v>14</v>
      </c>
      <c r="E421" s="2">
        <v>4</v>
      </c>
      <c r="F421" s="1">
        <v>12.51596123</v>
      </c>
      <c r="G421" s="2">
        <v>21</v>
      </c>
      <c r="H421" s="2">
        <v>4</v>
      </c>
      <c r="I421" s="2">
        <v>92</v>
      </c>
      <c r="J421" s="2">
        <v>2</v>
      </c>
      <c r="K421" s="2">
        <v>0</v>
      </c>
      <c r="L42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21" s="2" t="str">
        <f>IF(Table1[[#This Row],[Experience Years]]&lt;=2,"Entry Level",IF(Table1[[#This Row],[Experience Years]]&lt;=7,"Mid Level",IF(Table1[[#This Row],[Experience Years]]&lt;=15,"Senior Level")))</f>
        <v>Senior Level</v>
      </c>
      <c r="N421" s="1">
        <f>AVERAGE(Table1[[#This Row],[Interview Score]:[Personality Score]])</f>
        <v>39</v>
      </c>
      <c r="O4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21" s="2" t="str">
        <f t="shared" si="6"/>
        <v>10-20</v>
      </c>
    </row>
    <row r="422" spans="1:16" x14ac:dyDescent="0.25">
      <c r="A422">
        <v>27</v>
      </c>
      <c r="B422" s="2">
        <v>1</v>
      </c>
      <c r="C422" s="2">
        <v>2</v>
      </c>
      <c r="D422" s="2">
        <v>13</v>
      </c>
      <c r="E422" s="2">
        <v>5</v>
      </c>
      <c r="F422" s="1">
        <v>6.3205881450000003</v>
      </c>
      <c r="G422" s="2">
        <v>63</v>
      </c>
      <c r="H422" s="2">
        <v>76</v>
      </c>
      <c r="I422" s="2">
        <v>32</v>
      </c>
      <c r="J422" s="2">
        <v>2</v>
      </c>
      <c r="K422" s="2">
        <v>0</v>
      </c>
      <c r="L42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422" t="str">
        <f>IF(Table1[[#This Row],[Experience Years]]&lt;=2,"Entry Level",IF(Table1[[#This Row],[Experience Years]]&lt;=7,"Mid Level",IF(Table1[[#This Row],[Experience Years]]&lt;=15,"Senior Level")))</f>
        <v>Senior Level</v>
      </c>
      <c r="N422" s="1">
        <f>AVERAGE(Table1[[#This Row],[Interview Score]:[Personality Score]])</f>
        <v>57</v>
      </c>
      <c r="O4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22" s="2" t="str">
        <f t="shared" si="6"/>
        <v>0-10</v>
      </c>
    </row>
    <row r="423" spans="1:16" x14ac:dyDescent="0.25">
      <c r="A423">
        <v>26</v>
      </c>
      <c r="B423" s="2">
        <v>1</v>
      </c>
      <c r="C423" s="2">
        <v>1</v>
      </c>
      <c r="D423" s="2">
        <v>11</v>
      </c>
      <c r="E423" s="2">
        <v>4</v>
      </c>
      <c r="F423" s="1">
        <v>42.08762085</v>
      </c>
      <c r="G423" s="2">
        <v>40</v>
      </c>
      <c r="H423" s="2">
        <v>0</v>
      </c>
      <c r="I423" s="2">
        <v>37</v>
      </c>
      <c r="J423" s="2">
        <v>2</v>
      </c>
      <c r="K423" s="2">
        <v>0</v>
      </c>
      <c r="L42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423" t="str">
        <f>IF(Table1[[#This Row],[Experience Years]]&lt;=2,"Entry Level",IF(Table1[[#This Row],[Experience Years]]&lt;=7,"Mid Level",IF(Table1[[#This Row],[Experience Years]]&lt;=15,"Senior Level")))</f>
        <v>Senior Level</v>
      </c>
      <c r="N423" s="1">
        <f>AVERAGE(Table1[[#This Row],[Interview Score]:[Personality Score]])</f>
        <v>25.666666666666668</v>
      </c>
      <c r="O4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23" s="2" t="str">
        <f t="shared" si="6"/>
        <v>40-50</v>
      </c>
    </row>
    <row r="424" spans="1:16" x14ac:dyDescent="0.25">
      <c r="A424">
        <v>22</v>
      </c>
      <c r="B424" s="2">
        <v>0</v>
      </c>
      <c r="C424" s="2">
        <v>3</v>
      </c>
      <c r="D424" s="2">
        <v>7</v>
      </c>
      <c r="E424" s="2">
        <v>5</v>
      </c>
      <c r="F424" s="1">
        <v>7.9484495940000004</v>
      </c>
      <c r="G424" s="2">
        <v>86</v>
      </c>
      <c r="H424" s="2">
        <v>86</v>
      </c>
      <c r="I424" s="2">
        <v>34</v>
      </c>
      <c r="J424" s="2">
        <v>2</v>
      </c>
      <c r="K424" s="2">
        <v>1</v>
      </c>
      <c r="L42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24" s="2" t="str">
        <f>IF(Table1[[#This Row],[Experience Years]]&lt;=2,"Entry Level",IF(Table1[[#This Row],[Experience Years]]&lt;=7,"Mid Level",IF(Table1[[#This Row],[Experience Years]]&lt;=15,"Senior Level")))</f>
        <v>Mid Level</v>
      </c>
      <c r="N424" s="1">
        <f>AVERAGE(Table1[[#This Row],[Interview Score]:[Personality Score]])</f>
        <v>68.666666666666671</v>
      </c>
      <c r="O4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24" s="2" t="str">
        <f t="shared" si="6"/>
        <v>0-10</v>
      </c>
    </row>
    <row r="425" spans="1:16" x14ac:dyDescent="0.25">
      <c r="A425">
        <v>36</v>
      </c>
      <c r="B425" s="2">
        <v>0</v>
      </c>
      <c r="C425" s="2">
        <v>2</v>
      </c>
      <c r="D425" s="2">
        <v>7</v>
      </c>
      <c r="E425" s="2">
        <v>4</v>
      </c>
      <c r="F425" s="1">
        <v>38.364877880000002</v>
      </c>
      <c r="G425" s="2">
        <v>70</v>
      </c>
      <c r="H425" s="2">
        <v>2</v>
      </c>
      <c r="I425" s="2">
        <v>66</v>
      </c>
      <c r="J425" s="2">
        <v>2</v>
      </c>
      <c r="K425" s="2">
        <v>0</v>
      </c>
      <c r="L42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25" s="2" t="str">
        <f>IF(Table1[[#This Row],[Experience Years]]&lt;=2,"Entry Level",IF(Table1[[#This Row],[Experience Years]]&lt;=7,"Mid Level",IF(Table1[[#This Row],[Experience Years]]&lt;=15,"Senior Level")))</f>
        <v>Mid Level</v>
      </c>
      <c r="N425" s="1">
        <f>AVERAGE(Table1[[#This Row],[Interview Score]:[Personality Score]])</f>
        <v>46</v>
      </c>
      <c r="O4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25" s="2" t="str">
        <f t="shared" si="6"/>
        <v>30-40</v>
      </c>
    </row>
    <row r="426" spans="1:16" x14ac:dyDescent="0.25">
      <c r="A426">
        <v>20</v>
      </c>
      <c r="B426" s="2">
        <v>0</v>
      </c>
      <c r="C426" s="2">
        <v>2</v>
      </c>
      <c r="D426" s="2">
        <v>10</v>
      </c>
      <c r="E426" s="2">
        <v>1</v>
      </c>
      <c r="F426" s="1">
        <v>3.395693396</v>
      </c>
      <c r="G426" s="2">
        <v>55</v>
      </c>
      <c r="H426" s="2">
        <v>66</v>
      </c>
      <c r="I426" s="2">
        <v>82</v>
      </c>
      <c r="J426" s="2">
        <v>3</v>
      </c>
      <c r="K426" s="2">
        <v>0</v>
      </c>
      <c r="L42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26" s="2" t="str">
        <f>IF(Table1[[#This Row],[Experience Years]]&lt;=2,"Entry Level",IF(Table1[[#This Row],[Experience Years]]&lt;=7,"Mid Level",IF(Table1[[#This Row],[Experience Years]]&lt;=15,"Senior Level")))</f>
        <v>Senior Level</v>
      </c>
      <c r="N426" s="1">
        <f>AVERAGE(Table1[[#This Row],[Interview Score]:[Personality Score]])</f>
        <v>67.666666666666671</v>
      </c>
      <c r="O4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26" s="2" t="str">
        <f t="shared" si="6"/>
        <v>0-10</v>
      </c>
    </row>
    <row r="427" spans="1:16" x14ac:dyDescent="0.25">
      <c r="A427">
        <v>35</v>
      </c>
      <c r="B427" s="2">
        <v>0</v>
      </c>
      <c r="C427" s="2">
        <v>1</v>
      </c>
      <c r="D427" s="2">
        <v>12</v>
      </c>
      <c r="E427" s="2">
        <v>1</v>
      </c>
      <c r="F427" s="1">
        <v>48.42601638</v>
      </c>
      <c r="G427" s="2">
        <v>22</v>
      </c>
      <c r="H427" s="2">
        <v>70</v>
      </c>
      <c r="I427" s="2">
        <v>9</v>
      </c>
      <c r="J427" s="2">
        <v>2</v>
      </c>
      <c r="K427" s="2">
        <v>0</v>
      </c>
      <c r="L42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27" s="2" t="str">
        <f>IF(Table1[[#This Row],[Experience Years]]&lt;=2,"Entry Level",IF(Table1[[#This Row],[Experience Years]]&lt;=7,"Mid Level",IF(Table1[[#This Row],[Experience Years]]&lt;=15,"Senior Level")))</f>
        <v>Senior Level</v>
      </c>
      <c r="N427" s="1">
        <f>AVERAGE(Table1[[#This Row],[Interview Score]:[Personality Score]])</f>
        <v>33.666666666666664</v>
      </c>
      <c r="O4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27" s="2" t="str">
        <f t="shared" si="6"/>
        <v>40-50</v>
      </c>
    </row>
    <row r="428" spans="1:16" x14ac:dyDescent="0.25">
      <c r="A428">
        <v>31</v>
      </c>
      <c r="B428" s="2">
        <v>1</v>
      </c>
      <c r="C428" s="2">
        <v>3</v>
      </c>
      <c r="D428" s="2">
        <v>8</v>
      </c>
      <c r="E428" s="2">
        <v>5</v>
      </c>
      <c r="F428" s="1">
        <v>36.55800438</v>
      </c>
      <c r="G428" s="2">
        <v>24</v>
      </c>
      <c r="H428" s="2">
        <v>99</v>
      </c>
      <c r="I428" s="2">
        <v>90</v>
      </c>
      <c r="J428" s="2">
        <v>2</v>
      </c>
      <c r="K428" s="2">
        <v>1</v>
      </c>
      <c r="L42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28" t="str">
        <f>IF(Table1[[#This Row],[Experience Years]]&lt;=2,"Entry Level",IF(Table1[[#This Row],[Experience Years]]&lt;=7,"Mid Level",IF(Table1[[#This Row],[Experience Years]]&lt;=15,"Senior Level")))</f>
        <v>Senior Level</v>
      </c>
      <c r="N428" s="1">
        <f>AVERAGE(Table1[[#This Row],[Interview Score]:[Personality Score]])</f>
        <v>71</v>
      </c>
      <c r="O4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428" s="2" t="str">
        <f t="shared" si="6"/>
        <v>30-40</v>
      </c>
    </row>
    <row r="429" spans="1:16" x14ac:dyDescent="0.25">
      <c r="A429">
        <v>46</v>
      </c>
      <c r="B429" s="2">
        <v>0</v>
      </c>
      <c r="C429" s="2">
        <v>3</v>
      </c>
      <c r="D429" s="2">
        <v>14</v>
      </c>
      <c r="E429" s="2">
        <v>4</v>
      </c>
      <c r="F429" s="1">
        <v>1.3398274290000001</v>
      </c>
      <c r="G429" s="2">
        <v>90</v>
      </c>
      <c r="H429" s="2">
        <v>34</v>
      </c>
      <c r="I429" s="2">
        <v>14</v>
      </c>
      <c r="J429" s="2">
        <v>2</v>
      </c>
      <c r="K429" s="2">
        <v>0</v>
      </c>
      <c r="L42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29" s="2" t="str">
        <f>IF(Table1[[#This Row],[Experience Years]]&lt;=2,"Entry Level",IF(Table1[[#This Row],[Experience Years]]&lt;=7,"Mid Level",IF(Table1[[#This Row],[Experience Years]]&lt;=15,"Senior Level")))</f>
        <v>Senior Level</v>
      </c>
      <c r="N429" s="1">
        <f>AVERAGE(Table1[[#This Row],[Interview Score]:[Personality Score]])</f>
        <v>46</v>
      </c>
      <c r="O4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29" s="2" t="str">
        <f t="shared" si="6"/>
        <v>0-10</v>
      </c>
    </row>
    <row r="430" spans="1:16" x14ac:dyDescent="0.25">
      <c r="A430">
        <v>38</v>
      </c>
      <c r="B430" s="2">
        <v>1</v>
      </c>
      <c r="C430" s="2">
        <v>3</v>
      </c>
      <c r="D430" s="2">
        <v>0</v>
      </c>
      <c r="E430" s="2">
        <v>4</v>
      </c>
      <c r="F430" s="1">
        <v>39.19282501</v>
      </c>
      <c r="G430" s="2">
        <v>5</v>
      </c>
      <c r="H430" s="2">
        <v>14</v>
      </c>
      <c r="I430" s="2">
        <v>10</v>
      </c>
      <c r="J430" s="2">
        <v>2</v>
      </c>
      <c r="K430" s="2">
        <v>0</v>
      </c>
      <c r="L43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30" t="str">
        <f>IF(Table1[[#This Row],[Experience Years]]&lt;=2,"Entry Level",IF(Table1[[#This Row],[Experience Years]]&lt;=7,"Mid Level",IF(Table1[[#This Row],[Experience Years]]&lt;=15,"Senior Level")))</f>
        <v>Entry Level</v>
      </c>
      <c r="N430" s="1">
        <f>AVERAGE(Table1[[#This Row],[Interview Score]:[Personality Score]])</f>
        <v>9.6666666666666661</v>
      </c>
      <c r="O4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30" s="2" t="str">
        <f t="shared" si="6"/>
        <v>30-40</v>
      </c>
    </row>
    <row r="431" spans="1:16" x14ac:dyDescent="0.25">
      <c r="A431">
        <v>41</v>
      </c>
      <c r="B431" s="2">
        <v>1</v>
      </c>
      <c r="C431" s="2">
        <v>2</v>
      </c>
      <c r="D431" s="2">
        <v>13</v>
      </c>
      <c r="E431" s="2">
        <v>2</v>
      </c>
      <c r="F431" s="1">
        <v>26.70409604</v>
      </c>
      <c r="G431" s="2">
        <v>33</v>
      </c>
      <c r="H431" s="2">
        <v>66</v>
      </c>
      <c r="I431" s="2">
        <v>89</v>
      </c>
      <c r="J431" s="2">
        <v>3</v>
      </c>
      <c r="K431" s="2">
        <v>0</v>
      </c>
      <c r="L43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31" t="str">
        <f>IF(Table1[[#This Row],[Experience Years]]&lt;=2,"Entry Level",IF(Table1[[#This Row],[Experience Years]]&lt;=7,"Mid Level",IF(Table1[[#This Row],[Experience Years]]&lt;=15,"Senior Level")))</f>
        <v>Senior Level</v>
      </c>
      <c r="N431" s="1">
        <f>AVERAGE(Table1[[#This Row],[Interview Score]:[Personality Score]])</f>
        <v>62.666666666666664</v>
      </c>
      <c r="O4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31" s="2" t="str">
        <f t="shared" si="6"/>
        <v>20-30</v>
      </c>
    </row>
    <row r="432" spans="1:16" x14ac:dyDescent="0.25">
      <c r="A432">
        <v>42</v>
      </c>
      <c r="B432" s="2">
        <v>0</v>
      </c>
      <c r="C432" s="2">
        <v>1</v>
      </c>
      <c r="D432" s="2">
        <v>0</v>
      </c>
      <c r="E432" s="2">
        <v>3</v>
      </c>
      <c r="F432" s="1">
        <v>39.968258519999999</v>
      </c>
      <c r="G432" s="2">
        <v>62</v>
      </c>
      <c r="H432" s="2">
        <v>92</v>
      </c>
      <c r="I432" s="2">
        <v>23</v>
      </c>
      <c r="J432" s="2">
        <v>3</v>
      </c>
      <c r="K432" s="2">
        <v>0</v>
      </c>
      <c r="L43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32" s="2" t="str">
        <f>IF(Table1[[#This Row],[Experience Years]]&lt;=2,"Entry Level",IF(Table1[[#This Row],[Experience Years]]&lt;=7,"Mid Level",IF(Table1[[#This Row],[Experience Years]]&lt;=15,"Senior Level")))</f>
        <v>Entry Level</v>
      </c>
      <c r="N432" s="1">
        <f>AVERAGE(Table1[[#This Row],[Interview Score]:[Personality Score]])</f>
        <v>59</v>
      </c>
      <c r="O4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32" s="2" t="str">
        <f t="shared" si="6"/>
        <v>30-40</v>
      </c>
    </row>
    <row r="433" spans="1:16" x14ac:dyDescent="0.25">
      <c r="A433">
        <v>41</v>
      </c>
      <c r="B433" s="2">
        <v>1</v>
      </c>
      <c r="C433" s="2">
        <v>2</v>
      </c>
      <c r="D433" s="2">
        <v>2</v>
      </c>
      <c r="E433" s="2">
        <v>5</v>
      </c>
      <c r="F433" s="1">
        <v>27.12484044</v>
      </c>
      <c r="G433" s="2">
        <v>8</v>
      </c>
      <c r="H433" s="2">
        <v>29</v>
      </c>
      <c r="I433" s="2">
        <v>76</v>
      </c>
      <c r="J433" s="2">
        <v>2</v>
      </c>
      <c r="K433" s="2">
        <v>0</v>
      </c>
      <c r="L43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33" t="str">
        <f>IF(Table1[[#This Row],[Experience Years]]&lt;=2,"Entry Level",IF(Table1[[#This Row],[Experience Years]]&lt;=7,"Mid Level",IF(Table1[[#This Row],[Experience Years]]&lt;=15,"Senior Level")))</f>
        <v>Entry Level</v>
      </c>
      <c r="N433" s="1">
        <f>AVERAGE(Table1[[#This Row],[Interview Score]:[Personality Score]])</f>
        <v>37.666666666666664</v>
      </c>
      <c r="O4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33" s="2" t="str">
        <f t="shared" si="6"/>
        <v>20-30</v>
      </c>
    </row>
    <row r="434" spans="1:16" x14ac:dyDescent="0.25">
      <c r="A434">
        <v>33</v>
      </c>
      <c r="B434" s="2">
        <v>1</v>
      </c>
      <c r="C434" s="2">
        <v>2</v>
      </c>
      <c r="D434" s="2">
        <v>2</v>
      </c>
      <c r="E434" s="2">
        <v>3</v>
      </c>
      <c r="F434" s="1">
        <v>33.051242879999997</v>
      </c>
      <c r="G434" s="2">
        <v>59</v>
      </c>
      <c r="H434" s="2">
        <v>81</v>
      </c>
      <c r="I434" s="2">
        <v>95</v>
      </c>
      <c r="J434" s="2">
        <v>2</v>
      </c>
      <c r="K434" s="2">
        <v>0</v>
      </c>
      <c r="L43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34" t="str">
        <f>IF(Table1[[#This Row],[Experience Years]]&lt;=2,"Entry Level",IF(Table1[[#This Row],[Experience Years]]&lt;=7,"Mid Level",IF(Table1[[#This Row],[Experience Years]]&lt;=15,"Senior Level")))</f>
        <v>Entry Level</v>
      </c>
      <c r="N434" s="1">
        <f>AVERAGE(Table1[[#This Row],[Interview Score]:[Personality Score]])</f>
        <v>78.333333333333329</v>
      </c>
      <c r="O4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434" s="2" t="str">
        <f t="shared" si="6"/>
        <v>30-40</v>
      </c>
    </row>
    <row r="435" spans="1:16" x14ac:dyDescent="0.25">
      <c r="A435">
        <v>49</v>
      </c>
      <c r="B435" s="2">
        <v>1</v>
      </c>
      <c r="C435" s="2">
        <v>1</v>
      </c>
      <c r="D435" s="2">
        <v>9</v>
      </c>
      <c r="E435" s="2">
        <v>3</v>
      </c>
      <c r="F435" s="1">
        <v>40.316582769999997</v>
      </c>
      <c r="G435" s="2">
        <v>48</v>
      </c>
      <c r="H435" s="2">
        <v>74</v>
      </c>
      <c r="I435" s="2">
        <v>100</v>
      </c>
      <c r="J435" s="2">
        <v>2</v>
      </c>
      <c r="K435" s="2">
        <v>0</v>
      </c>
      <c r="L43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35" t="str">
        <f>IF(Table1[[#This Row],[Experience Years]]&lt;=2,"Entry Level",IF(Table1[[#This Row],[Experience Years]]&lt;=7,"Mid Level",IF(Table1[[#This Row],[Experience Years]]&lt;=15,"Senior Level")))</f>
        <v>Senior Level</v>
      </c>
      <c r="N435" s="1">
        <f>AVERAGE(Table1[[#This Row],[Interview Score]:[Personality Score]])</f>
        <v>74</v>
      </c>
      <c r="O4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435" s="2" t="str">
        <f t="shared" si="6"/>
        <v>40-50</v>
      </c>
    </row>
    <row r="436" spans="1:16" x14ac:dyDescent="0.25">
      <c r="A436">
        <v>25</v>
      </c>
      <c r="B436" s="2">
        <v>1</v>
      </c>
      <c r="C436" s="2">
        <v>2</v>
      </c>
      <c r="D436" s="2">
        <v>7</v>
      </c>
      <c r="E436" s="2">
        <v>5</v>
      </c>
      <c r="F436" s="1">
        <v>21.25540273</v>
      </c>
      <c r="G436" s="2">
        <v>96</v>
      </c>
      <c r="H436" s="2">
        <v>42</v>
      </c>
      <c r="I436" s="2">
        <v>3</v>
      </c>
      <c r="J436" s="2">
        <v>2</v>
      </c>
      <c r="K436" s="2">
        <v>0</v>
      </c>
      <c r="L43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36" t="str">
        <f>IF(Table1[[#This Row],[Experience Years]]&lt;=2,"Entry Level",IF(Table1[[#This Row],[Experience Years]]&lt;=7,"Mid Level",IF(Table1[[#This Row],[Experience Years]]&lt;=15,"Senior Level")))</f>
        <v>Mid Level</v>
      </c>
      <c r="N436" s="1">
        <f>AVERAGE(Table1[[#This Row],[Interview Score]:[Personality Score]])</f>
        <v>47</v>
      </c>
      <c r="O4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36" s="2" t="str">
        <f t="shared" si="6"/>
        <v>20-30</v>
      </c>
    </row>
    <row r="437" spans="1:16" x14ac:dyDescent="0.25">
      <c r="A437">
        <v>25</v>
      </c>
      <c r="B437" s="2">
        <v>0</v>
      </c>
      <c r="C437" s="2">
        <v>4</v>
      </c>
      <c r="D437" s="2">
        <v>14</v>
      </c>
      <c r="E437" s="2">
        <v>4</v>
      </c>
      <c r="F437" s="1">
        <v>1.135407491</v>
      </c>
      <c r="G437" s="2">
        <v>50</v>
      </c>
      <c r="H437" s="2">
        <v>59</v>
      </c>
      <c r="I437" s="2">
        <v>12</v>
      </c>
      <c r="J437" s="2">
        <v>3</v>
      </c>
      <c r="K437" s="2">
        <v>0</v>
      </c>
      <c r="L43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37" s="2" t="str">
        <f>IF(Table1[[#This Row],[Experience Years]]&lt;=2,"Entry Level",IF(Table1[[#This Row],[Experience Years]]&lt;=7,"Mid Level",IF(Table1[[#This Row],[Experience Years]]&lt;=15,"Senior Level")))</f>
        <v>Senior Level</v>
      </c>
      <c r="N437" s="1">
        <f>AVERAGE(Table1[[#This Row],[Interview Score]:[Personality Score]])</f>
        <v>40.333333333333336</v>
      </c>
      <c r="O4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37" s="2" t="str">
        <f t="shared" si="6"/>
        <v>0-10</v>
      </c>
    </row>
    <row r="438" spans="1:16" x14ac:dyDescent="0.25">
      <c r="A438">
        <v>32</v>
      </c>
      <c r="B438" s="2">
        <v>0</v>
      </c>
      <c r="C438" s="2">
        <v>3</v>
      </c>
      <c r="D438" s="2">
        <v>9</v>
      </c>
      <c r="E438" s="2">
        <v>5</v>
      </c>
      <c r="F438" s="1">
        <v>43.497324800000001</v>
      </c>
      <c r="G438" s="2">
        <v>59</v>
      </c>
      <c r="H438" s="2">
        <v>39</v>
      </c>
      <c r="I438" s="2">
        <v>72</v>
      </c>
      <c r="J438" s="2">
        <v>1</v>
      </c>
      <c r="K438" s="2">
        <v>1</v>
      </c>
      <c r="L43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38" s="2" t="str">
        <f>IF(Table1[[#This Row],[Experience Years]]&lt;=2,"Entry Level",IF(Table1[[#This Row],[Experience Years]]&lt;=7,"Mid Level",IF(Table1[[#This Row],[Experience Years]]&lt;=15,"Senior Level")))</f>
        <v>Senior Level</v>
      </c>
      <c r="N438" s="1">
        <f>AVERAGE(Table1[[#This Row],[Interview Score]:[Personality Score]])</f>
        <v>56.666666666666664</v>
      </c>
      <c r="O4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38" s="2" t="str">
        <f t="shared" si="6"/>
        <v>40-50</v>
      </c>
    </row>
    <row r="439" spans="1:16" x14ac:dyDescent="0.25">
      <c r="A439">
        <v>38</v>
      </c>
      <c r="B439" s="2">
        <v>1</v>
      </c>
      <c r="C439" s="2">
        <v>3</v>
      </c>
      <c r="D439" s="2">
        <v>0</v>
      </c>
      <c r="E439" s="2">
        <v>3</v>
      </c>
      <c r="F439" s="1">
        <v>20.04451813</v>
      </c>
      <c r="G439" s="2">
        <v>69</v>
      </c>
      <c r="H439" s="2">
        <v>64</v>
      </c>
      <c r="I439" s="2">
        <v>56</v>
      </c>
      <c r="J439" s="2">
        <v>1</v>
      </c>
      <c r="K439" s="2">
        <v>1</v>
      </c>
      <c r="L43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39" t="str">
        <f>IF(Table1[[#This Row],[Experience Years]]&lt;=2,"Entry Level",IF(Table1[[#This Row],[Experience Years]]&lt;=7,"Mid Level",IF(Table1[[#This Row],[Experience Years]]&lt;=15,"Senior Level")))</f>
        <v>Entry Level</v>
      </c>
      <c r="N439" s="1">
        <f>AVERAGE(Table1[[#This Row],[Interview Score]:[Personality Score]])</f>
        <v>63</v>
      </c>
      <c r="O4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39" s="2" t="str">
        <f t="shared" si="6"/>
        <v>20-30</v>
      </c>
    </row>
    <row r="440" spans="1:16" x14ac:dyDescent="0.25">
      <c r="A440">
        <v>41</v>
      </c>
      <c r="B440" s="2">
        <v>0</v>
      </c>
      <c r="C440" s="2">
        <v>4</v>
      </c>
      <c r="D440" s="2">
        <v>12</v>
      </c>
      <c r="E440" s="2">
        <v>4</v>
      </c>
      <c r="F440" s="1">
        <v>25.802136300000001</v>
      </c>
      <c r="G440" s="2">
        <v>36</v>
      </c>
      <c r="H440" s="2">
        <v>28</v>
      </c>
      <c r="I440" s="2">
        <v>97</v>
      </c>
      <c r="J440" s="2">
        <v>1</v>
      </c>
      <c r="K440" s="2">
        <v>1</v>
      </c>
      <c r="L44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40" s="2" t="str">
        <f>IF(Table1[[#This Row],[Experience Years]]&lt;=2,"Entry Level",IF(Table1[[#This Row],[Experience Years]]&lt;=7,"Mid Level",IF(Table1[[#This Row],[Experience Years]]&lt;=15,"Senior Level")))</f>
        <v>Senior Level</v>
      </c>
      <c r="N440" s="1">
        <f>AVERAGE(Table1[[#This Row],[Interview Score]:[Personality Score]])</f>
        <v>53.666666666666664</v>
      </c>
      <c r="O4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40" s="2" t="str">
        <f t="shared" si="6"/>
        <v>20-30</v>
      </c>
    </row>
    <row r="441" spans="1:16" x14ac:dyDescent="0.25">
      <c r="A441">
        <v>27</v>
      </c>
      <c r="B441" s="2">
        <v>0</v>
      </c>
      <c r="C441" s="2">
        <v>2</v>
      </c>
      <c r="D441" s="2">
        <v>1</v>
      </c>
      <c r="E441" s="2">
        <v>1</v>
      </c>
      <c r="F441" s="1">
        <v>1.388332108</v>
      </c>
      <c r="G441" s="2">
        <v>30</v>
      </c>
      <c r="H441" s="2">
        <v>73</v>
      </c>
      <c r="I441" s="2">
        <v>36</v>
      </c>
      <c r="J441" s="2">
        <v>2</v>
      </c>
      <c r="K441" s="2">
        <v>0</v>
      </c>
      <c r="L44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441" s="2" t="str">
        <f>IF(Table1[[#This Row],[Experience Years]]&lt;=2,"Entry Level",IF(Table1[[#This Row],[Experience Years]]&lt;=7,"Mid Level",IF(Table1[[#This Row],[Experience Years]]&lt;=15,"Senior Level")))</f>
        <v>Entry Level</v>
      </c>
      <c r="N441" s="1">
        <f>AVERAGE(Table1[[#This Row],[Interview Score]:[Personality Score]])</f>
        <v>46.333333333333336</v>
      </c>
      <c r="O4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41" s="2" t="str">
        <f t="shared" si="6"/>
        <v>0-10</v>
      </c>
    </row>
    <row r="442" spans="1:16" x14ac:dyDescent="0.25">
      <c r="A442">
        <v>46</v>
      </c>
      <c r="B442" s="2">
        <v>0</v>
      </c>
      <c r="C442" s="2">
        <v>2</v>
      </c>
      <c r="D442" s="2">
        <v>1</v>
      </c>
      <c r="E442" s="2">
        <v>5</v>
      </c>
      <c r="F442" s="1">
        <v>25.604600520000002</v>
      </c>
      <c r="G442" s="2">
        <v>97</v>
      </c>
      <c r="H442" s="2">
        <v>91</v>
      </c>
      <c r="I442" s="2">
        <v>47</v>
      </c>
      <c r="J442" s="2">
        <v>3</v>
      </c>
      <c r="K442" s="2">
        <v>0</v>
      </c>
      <c r="L44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42" s="2" t="str">
        <f>IF(Table1[[#This Row],[Experience Years]]&lt;=2,"Entry Level",IF(Table1[[#This Row],[Experience Years]]&lt;=7,"Mid Level",IF(Table1[[#This Row],[Experience Years]]&lt;=15,"Senior Level")))</f>
        <v>Entry Level</v>
      </c>
      <c r="N442" s="1">
        <f>AVERAGE(Table1[[#This Row],[Interview Score]:[Personality Score]])</f>
        <v>78.333333333333329</v>
      </c>
      <c r="O4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442" s="2" t="str">
        <f t="shared" si="6"/>
        <v>20-30</v>
      </c>
    </row>
    <row r="443" spans="1:16" x14ac:dyDescent="0.25">
      <c r="A443">
        <v>46</v>
      </c>
      <c r="B443" s="2">
        <v>0</v>
      </c>
      <c r="C443" s="2">
        <v>4</v>
      </c>
      <c r="D443" s="2">
        <v>2</v>
      </c>
      <c r="E443" s="2">
        <v>5</v>
      </c>
      <c r="F443" s="1">
        <v>50.324370080000001</v>
      </c>
      <c r="G443" s="2">
        <v>40</v>
      </c>
      <c r="H443" s="2">
        <v>94</v>
      </c>
      <c r="I443" s="2">
        <v>70</v>
      </c>
      <c r="J443" s="2">
        <v>1</v>
      </c>
      <c r="K443" s="2">
        <v>1</v>
      </c>
      <c r="L44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43" s="2" t="str">
        <f>IF(Table1[[#This Row],[Experience Years]]&lt;=2,"Entry Level",IF(Table1[[#This Row],[Experience Years]]&lt;=7,"Mid Level",IF(Table1[[#This Row],[Experience Years]]&lt;=15,"Senior Level")))</f>
        <v>Entry Level</v>
      </c>
      <c r="N443" s="1">
        <f>AVERAGE(Table1[[#This Row],[Interview Score]:[Personality Score]])</f>
        <v>68</v>
      </c>
      <c r="O4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43" s="2" t="str">
        <f t="shared" si="6"/>
        <v>50+</v>
      </c>
    </row>
    <row r="444" spans="1:16" x14ac:dyDescent="0.25">
      <c r="A444">
        <v>21</v>
      </c>
      <c r="B444" s="2">
        <v>0</v>
      </c>
      <c r="C444" s="2">
        <v>1</v>
      </c>
      <c r="D444" s="2">
        <v>12</v>
      </c>
      <c r="E444" s="2">
        <v>4</v>
      </c>
      <c r="F444" s="1">
        <v>14.913383039999999</v>
      </c>
      <c r="G444" s="2">
        <v>61</v>
      </c>
      <c r="H444" s="2">
        <v>18</v>
      </c>
      <c r="I444" s="2">
        <v>0</v>
      </c>
      <c r="J444" s="2">
        <v>2</v>
      </c>
      <c r="K444" s="2">
        <v>0</v>
      </c>
      <c r="L44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44" s="2" t="str">
        <f>IF(Table1[[#This Row],[Experience Years]]&lt;=2,"Entry Level",IF(Table1[[#This Row],[Experience Years]]&lt;=7,"Mid Level",IF(Table1[[#This Row],[Experience Years]]&lt;=15,"Senior Level")))</f>
        <v>Senior Level</v>
      </c>
      <c r="N444" s="1">
        <f>AVERAGE(Table1[[#This Row],[Interview Score]:[Personality Score]])</f>
        <v>26.333333333333332</v>
      </c>
      <c r="O4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44" s="2" t="str">
        <f t="shared" si="6"/>
        <v>10-20</v>
      </c>
    </row>
    <row r="445" spans="1:16" x14ac:dyDescent="0.25">
      <c r="A445">
        <v>40</v>
      </c>
      <c r="B445" s="2">
        <v>1</v>
      </c>
      <c r="C445" s="2">
        <v>3</v>
      </c>
      <c r="D445" s="2">
        <v>5</v>
      </c>
      <c r="E445" s="2">
        <v>1</v>
      </c>
      <c r="F445" s="1">
        <v>20.77091351</v>
      </c>
      <c r="G445" s="2">
        <v>92</v>
      </c>
      <c r="H445" s="2">
        <v>2</v>
      </c>
      <c r="I445" s="2">
        <v>59</v>
      </c>
      <c r="J445" s="2">
        <v>2</v>
      </c>
      <c r="K445" s="2">
        <v>0</v>
      </c>
      <c r="L44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45" t="str">
        <f>IF(Table1[[#This Row],[Experience Years]]&lt;=2,"Entry Level",IF(Table1[[#This Row],[Experience Years]]&lt;=7,"Mid Level",IF(Table1[[#This Row],[Experience Years]]&lt;=15,"Senior Level")))</f>
        <v>Mid Level</v>
      </c>
      <c r="N445" s="1">
        <f>AVERAGE(Table1[[#This Row],[Interview Score]:[Personality Score]])</f>
        <v>51</v>
      </c>
      <c r="O4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45" s="2" t="str">
        <f t="shared" si="6"/>
        <v>20-30</v>
      </c>
    </row>
    <row r="446" spans="1:16" x14ac:dyDescent="0.25">
      <c r="A446">
        <v>49</v>
      </c>
      <c r="B446" s="2">
        <v>0</v>
      </c>
      <c r="C446" s="2">
        <v>2</v>
      </c>
      <c r="D446" s="2">
        <v>0</v>
      </c>
      <c r="E446" s="2">
        <v>1</v>
      </c>
      <c r="F446" s="1">
        <v>35.359499820000003</v>
      </c>
      <c r="G446" s="2">
        <v>57</v>
      </c>
      <c r="H446" s="2">
        <v>35</v>
      </c>
      <c r="I446" s="2">
        <v>11</v>
      </c>
      <c r="J446" s="2">
        <v>2</v>
      </c>
      <c r="K446" s="2">
        <v>0</v>
      </c>
      <c r="L44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46" s="2" t="str">
        <f>IF(Table1[[#This Row],[Experience Years]]&lt;=2,"Entry Level",IF(Table1[[#This Row],[Experience Years]]&lt;=7,"Mid Level",IF(Table1[[#This Row],[Experience Years]]&lt;=15,"Senior Level")))</f>
        <v>Entry Level</v>
      </c>
      <c r="N446" s="1">
        <f>AVERAGE(Table1[[#This Row],[Interview Score]:[Personality Score]])</f>
        <v>34.333333333333336</v>
      </c>
      <c r="O4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46" s="2" t="str">
        <f t="shared" si="6"/>
        <v>30-40</v>
      </c>
    </row>
    <row r="447" spans="1:16" x14ac:dyDescent="0.25">
      <c r="A447">
        <v>20</v>
      </c>
      <c r="B447" s="2">
        <v>0</v>
      </c>
      <c r="C447" s="2">
        <v>2</v>
      </c>
      <c r="D447" s="2">
        <v>1</v>
      </c>
      <c r="E447" s="2">
        <v>4</v>
      </c>
      <c r="F447" s="1">
        <v>41.739683380000002</v>
      </c>
      <c r="G447" s="2">
        <v>13</v>
      </c>
      <c r="H447" s="2">
        <v>42</v>
      </c>
      <c r="I447" s="2">
        <v>20</v>
      </c>
      <c r="J447" s="2">
        <v>2</v>
      </c>
      <c r="K447" s="2">
        <v>0</v>
      </c>
      <c r="L44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47" s="2" t="str">
        <f>IF(Table1[[#This Row],[Experience Years]]&lt;=2,"Entry Level",IF(Table1[[#This Row],[Experience Years]]&lt;=7,"Mid Level",IF(Table1[[#This Row],[Experience Years]]&lt;=15,"Senior Level")))</f>
        <v>Entry Level</v>
      </c>
      <c r="N447" s="1">
        <f>AVERAGE(Table1[[#This Row],[Interview Score]:[Personality Score]])</f>
        <v>25</v>
      </c>
      <c r="O4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47" s="2" t="str">
        <f t="shared" si="6"/>
        <v>40-50</v>
      </c>
    </row>
    <row r="448" spans="1:16" x14ac:dyDescent="0.25">
      <c r="A448">
        <v>47</v>
      </c>
      <c r="B448" s="2">
        <v>0</v>
      </c>
      <c r="C448" s="2">
        <v>2</v>
      </c>
      <c r="D448" s="2">
        <v>12</v>
      </c>
      <c r="E448" s="2">
        <v>2</v>
      </c>
      <c r="F448" s="1">
        <v>21.869581199999999</v>
      </c>
      <c r="G448" s="2">
        <v>35</v>
      </c>
      <c r="H448" s="2">
        <v>14</v>
      </c>
      <c r="I448" s="2">
        <v>10</v>
      </c>
      <c r="J448" s="2">
        <v>3</v>
      </c>
      <c r="K448" s="2">
        <v>0</v>
      </c>
      <c r="L44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48" s="2" t="str">
        <f>IF(Table1[[#This Row],[Experience Years]]&lt;=2,"Entry Level",IF(Table1[[#This Row],[Experience Years]]&lt;=7,"Mid Level",IF(Table1[[#This Row],[Experience Years]]&lt;=15,"Senior Level")))</f>
        <v>Senior Level</v>
      </c>
      <c r="N448" s="1">
        <f>AVERAGE(Table1[[#This Row],[Interview Score]:[Personality Score]])</f>
        <v>19.666666666666668</v>
      </c>
      <c r="O4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48" s="2" t="str">
        <f t="shared" si="6"/>
        <v>20-30</v>
      </c>
    </row>
    <row r="449" spans="1:16" x14ac:dyDescent="0.25">
      <c r="A449">
        <v>34</v>
      </c>
      <c r="B449" s="2">
        <v>0</v>
      </c>
      <c r="C449" s="2">
        <v>4</v>
      </c>
      <c r="D449" s="2">
        <v>15</v>
      </c>
      <c r="E449" s="2">
        <v>5</v>
      </c>
      <c r="F449" s="1">
        <v>16.483443520000002</v>
      </c>
      <c r="G449" s="2">
        <v>35</v>
      </c>
      <c r="H449" s="2">
        <v>96</v>
      </c>
      <c r="I449" s="2">
        <v>43</v>
      </c>
      <c r="J449" s="2">
        <v>1</v>
      </c>
      <c r="K449" s="2">
        <v>1</v>
      </c>
      <c r="L44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49" s="2" t="str">
        <f>IF(Table1[[#This Row],[Experience Years]]&lt;=2,"Entry Level",IF(Table1[[#This Row],[Experience Years]]&lt;=7,"Mid Level",IF(Table1[[#This Row],[Experience Years]]&lt;=15,"Senior Level")))</f>
        <v>Senior Level</v>
      </c>
      <c r="N449" s="1">
        <f>AVERAGE(Table1[[#This Row],[Interview Score]:[Personality Score]])</f>
        <v>58</v>
      </c>
      <c r="O4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49" s="2" t="str">
        <f t="shared" si="6"/>
        <v>10-20</v>
      </c>
    </row>
    <row r="450" spans="1:16" x14ac:dyDescent="0.25">
      <c r="A450">
        <v>20</v>
      </c>
      <c r="B450" s="2">
        <v>1</v>
      </c>
      <c r="C450" s="2">
        <v>3</v>
      </c>
      <c r="D450" s="2">
        <v>14</v>
      </c>
      <c r="E450" s="2">
        <v>5</v>
      </c>
      <c r="F450" s="1">
        <v>47.891289999999998</v>
      </c>
      <c r="G450" s="2">
        <v>78</v>
      </c>
      <c r="H450" s="2">
        <v>40</v>
      </c>
      <c r="I450" s="2">
        <v>57</v>
      </c>
      <c r="J450" s="2">
        <v>2</v>
      </c>
      <c r="K450" s="2">
        <v>0</v>
      </c>
      <c r="L45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50" t="str">
        <f>IF(Table1[[#This Row],[Experience Years]]&lt;=2,"Entry Level",IF(Table1[[#This Row],[Experience Years]]&lt;=7,"Mid Level",IF(Table1[[#This Row],[Experience Years]]&lt;=15,"Senior Level")))</f>
        <v>Senior Level</v>
      </c>
      <c r="N450" s="1">
        <f>AVERAGE(Table1[[#This Row],[Interview Score]:[Personality Score]])</f>
        <v>58.333333333333336</v>
      </c>
      <c r="O4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50" s="2" t="str">
        <f t="shared" ref="P450:P513" si="7">IF(F450&lt;10,"0-10",IF(F450&lt;20,"10-20",IF(F450&lt;30,"20-30",IF(F450&lt;40,"30-40",IF(F450&lt;50,"40-50","50+")))))</f>
        <v>40-50</v>
      </c>
    </row>
    <row r="451" spans="1:16" x14ac:dyDescent="0.25">
      <c r="A451">
        <v>24</v>
      </c>
      <c r="B451" s="2">
        <v>1</v>
      </c>
      <c r="C451" s="2">
        <v>1</v>
      </c>
      <c r="D451" s="2">
        <v>12</v>
      </c>
      <c r="E451" s="2">
        <v>3</v>
      </c>
      <c r="F451" s="1">
        <v>34.857248329999997</v>
      </c>
      <c r="G451" s="2">
        <v>7</v>
      </c>
      <c r="H451" s="2">
        <v>89</v>
      </c>
      <c r="I451" s="2">
        <v>43</v>
      </c>
      <c r="J451" s="2">
        <v>1</v>
      </c>
      <c r="K451" s="2">
        <v>1</v>
      </c>
      <c r="L45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51" t="str">
        <f>IF(Table1[[#This Row],[Experience Years]]&lt;=2,"Entry Level",IF(Table1[[#This Row],[Experience Years]]&lt;=7,"Mid Level",IF(Table1[[#This Row],[Experience Years]]&lt;=15,"Senior Level")))</f>
        <v>Senior Level</v>
      </c>
      <c r="N451" s="1">
        <f>AVERAGE(Table1[[#This Row],[Interview Score]:[Personality Score]])</f>
        <v>46.333333333333336</v>
      </c>
      <c r="O4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51" s="2" t="str">
        <f t="shared" si="7"/>
        <v>30-40</v>
      </c>
    </row>
    <row r="452" spans="1:16" x14ac:dyDescent="0.25">
      <c r="A452">
        <v>47</v>
      </c>
      <c r="B452" s="2">
        <v>1</v>
      </c>
      <c r="C452" s="2">
        <v>3</v>
      </c>
      <c r="D452" s="2">
        <v>15</v>
      </c>
      <c r="E452" s="2">
        <v>4</v>
      </c>
      <c r="F452" s="1">
        <v>6.9510652249999998</v>
      </c>
      <c r="G452" s="2">
        <v>25</v>
      </c>
      <c r="H452" s="2">
        <v>79</v>
      </c>
      <c r="I452" s="2">
        <v>77</v>
      </c>
      <c r="J452" s="2">
        <v>2</v>
      </c>
      <c r="K452" s="2">
        <v>1</v>
      </c>
      <c r="L45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52" t="str">
        <f>IF(Table1[[#This Row],[Experience Years]]&lt;=2,"Entry Level",IF(Table1[[#This Row],[Experience Years]]&lt;=7,"Mid Level",IF(Table1[[#This Row],[Experience Years]]&lt;=15,"Senior Level")))</f>
        <v>Senior Level</v>
      </c>
      <c r="N452" s="1">
        <f>AVERAGE(Table1[[#This Row],[Interview Score]:[Personality Score]])</f>
        <v>60.333333333333336</v>
      </c>
      <c r="O4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52" s="2" t="str">
        <f t="shared" si="7"/>
        <v>0-10</v>
      </c>
    </row>
    <row r="453" spans="1:16" x14ac:dyDescent="0.25">
      <c r="A453">
        <v>48</v>
      </c>
      <c r="B453" s="2">
        <v>1</v>
      </c>
      <c r="C453" s="2">
        <v>2</v>
      </c>
      <c r="D453" s="2">
        <v>0</v>
      </c>
      <c r="E453" s="2">
        <v>3</v>
      </c>
      <c r="F453" s="1">
        <v>4.446393907</v>
      </c>
      <c r="G453" s="2">
        <v>35</v>
      </c>
      <c r="H453" s="2">
        <v>35</v>
      </c>
      <c r="I453" s="2">
        <v>97</v>
      </c>
      <c r="J453" s="2">
        <v>3</v>
      </c>
      <c r="K453" s="2">
        <v>0</v>
      </c>
      <c r="L45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53" t="str">
        <f>IF(Table1[[#This Row],[Experience Years]]&lt;=2,"Entry Level",IF(Table1[[#This Row],[Experience Years]]&lt;=7,"Mid Level",IF(Table1[[#This Row],[Experience Years]]&lt;=15,"Senior Level")))</f>
        <v>Entry Level</v>
      </c>
      <c r="N453" s="1">
        <f>AVERAGE(Table1[[#This Row],[Interview Score]:[Personality Score]])</f>
        <v>55.666666666666664</v>
      </c>
      <c r="O4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53" s="2" t="str">
        <f t="shared" si="7"/>
        <v>0-10</v>
      </c>
    </row>
    <row r="454" spans="1:16" x14ac:dyDescent="0.25">
      <c r="A454">
        <v>35</v>
      </c>
      <c r="B454" s="2">
        <v>0</v>
      </c>
      <c r="C454" s="2">
        <v>2</v>
      </c>
      <c r="D454" s="2">
        <v>4</v>
      </c>
      <c r="E454" s="2">
        <v>3</v>
      </c>
      <c r="F454" s="1">
        <v>25.177492539999999</v>
      </c>
      <c r="G454" s="2">
        <v>47</v>
      </c>
      <c r="H454" s="2">
        <v>96</v>
      </c>
      <c r="I454" s="2">
        <v>33</v>
      </c>
      <c r="J454" s="2">
        <v>1</v>
      </c>
      <c r="K454" s="2">
        <v>0</v>
      </c>
      <c r="L45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54" s="2" t="str">
        <f>IF(Table1[[#This Row],[Experience Years]]&lt;=2,"Entry Level",IF(Table1[[#This Row],[Experience Years]]&lt;=7,"Mid Level",IF(Table1[[#This Row],[Experience Years]]&lt;=15,"Senior Level")))</f>
        <v>Mid Level</v>
      </c>
      <c r="N454" s="1">
        <f>AVERAGE(Table1[[#This Row],[Interview Score]:[Personality Score]])</f>
        <v>58.666666666666664</v>
      </c>
      <c r="O4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54" s="2" t="str">
        <f t="shared" si="7"/>
        <v>20-30</v>
      </c>
    </row>
    <row r="455" spans="1:16" x14ac:dyDescent="0.25">
      <c r="A455">
        <v>38</v>
      </c>
      <c r="B455" s="2">
        <v>1</v>
      </c>
      <c r="C455" s="2">
        <v>2</v>
      </c>
      <c r="D455" s="2">
        <v>15</v>
      </c>
      <c r="E455" s="2">
        <v>1</v>
      </c>
      <c r="F455" s="1">
        <v>12.0045033</v>
      </c>
      <c r="G455" s="2">
        <v>84</v>
      </c>
      <c r="H455" s="2">
        <v>83</v>
      </c>
      <c r="I455" s="2">
        <v>24</v>
      </c>
      <c r="J455" s="2">
        <v>1</v>
      </c>
      <c r="K455" s="2">
        <v>1</v>
      </c>
      <c r="L45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55" t="str">
        <f>IF(Table1[[#This Row],[Experience Years]]&lt;=2,"Entry Level",IF(Table1[[#This Row],[Experience Years]]&lt;=7,"Mid Level",IF(Table1[[#This Row],[Experience Years]]&lt;=15,"Senior Level")))</f>
        <v>Senior Level</v>
      </c>
      <c r="N455" s="1">
        <f>AVERAGE(Table1[[#This Row],[Interview Score]:[Personality Score]])</f>
        <v>63.666666666666664</v>
      </c>
      <c r="O4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55" s="2" t="str">
        <f t="shared" si="7"/>
        <v>10-20</v>
      </c>
    </row>
    <row r="456" spans="1:16" x14ac:dyDescent="0.25">
      <c r="A456">
        <v>23</v>
      </c>
      <c r="B456" s="2">
        <v>0</v>
      </c>
      <c r="C456" s="2">
        <v>2</v>
      </c>
      <c r="D456" s="2">
        <v>12</v>
      </c>
      <c r="E456" s="2">
        <v>5</v>
      </c>
      <c r="F456" s="1">
        <v>13.69923767</v>
      </c>
      <c r="G456" s="2">
        <v>27</v>
      </c>
      <c r="H456" s="2">
        <v>76</v>
      </c>
      <c r="I456" s="2">
        <v>3</v>
      </c>
      <c r="J456" s="2">
        <v>2</v>
      </c>
      <c r="K456" s="2">
        <v>0</v>
      </c>
      <c r="L45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56" s="2" t="str">
        <f>IF(Table1[[#This Row],[Experience Years]]&lt;=2,"Entry Level",IF(Table1[[#This Row],[Experience Years]]&lt;=7,"Mid Level",IF(Table1[[#This Row],[Experience Years]]&lt;=15,"Senior Level")))</f>
        <v>Senior Level</v>
      </c>
      <c r="N456" s="1">
        <f>AVERAGE(Table1[[#This Row],[Interview Score]:[Personality Score]])</f>
        <v>35.333333333333336</v>
      </c>
      <c r="O4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56" s="2" t="str">
        <f t="shared" si="7"/>
        <v>10-20</v>
      </c>
    </row>
    <row r="457" spans="1:16" x14ac:dyDescent="0.25">
      <c r="A457">
        <v>22</v>
      </c>
      <c r="B457" s="2">
        <v>0</v>
      </c>
      <c r="C457" s="2">
        <v>2</v>
      </c>
      <c r="D457" s="2">
        <v>12</v>
      </c>
      <c r="E457" s="2">
        <v>3</v>
      </c>
      <c r="F457" s="1">
        <v>44.88460894</v>
      </c>
      <c r="G457" s="2">
        <v>67</v>
      </c>
      <c r="H457" s="2">
        <v>32</v>
      </c>
      <c r="I457" s="2">
        <v>63</v>
      </c>
      <c r="J457" s="2">
        <v>2</v>
      </c>
      <c r="K457" s="2">
        <v>0</v>
      </c>
      <c r="L45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57" s="2" t="str">
        <f>IF(Table1[[#This Row],[Experience Years]]&lt;=2,"Entry Level",IF(Table1[[#This Row],[Experience Years]]&lt;=7,"Mid Level",IF(Table1[[#This Row],[Experience Years]]&lt;=15,"Senior Level")))</f>
        <v>Senior Level</v>
      </c>
      <c r="N457" s="1">
        <f>AVERAGE(Table1[[#This Row],[Interview Score]:[Personality Score]])</f>
        <v>54</v>
      </c>
      <c r="O4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57" s="2" t="str">
        <f t="shared" si="7"/>
        <v>40-50</v>
      </c>
    </row>
    <row r="458" spans="1:16" x14ac:dyDescent="0.25">
      <c r="A458">
        <v>36</v>
      </c>
      <c r="B458" s="2">
        <v>0</v>
      </c>
      <c r="C458" s="2">
        <v>4</v>
      </c>
      <c r="D458" s="2">
        <v>6</v>
      </c>
      <c r="E458" s="2">
        <v>1</v>
      </c>
      <c r="F458" s="1">
        <v>5.4783012160000002</v>
      </c>
      <c r="G458" s="2">
        <v>61</v>
      </c>
      <c r="H458" s="2">
        <v>4</v>
      </c>
      <c r="I458" s="2">
        <v>89</v>
      </c>
      <c r="J458" s="2">
        <v>2</v>
      </c>
      <c r="K458" s="2">
        <v>0</v>
      </c>
      <c r="L45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58" s="2" t="str">
        <f>IF(Table1[[#This Row],[Experience Years]]&lt;=2,"Entry Level",IF(Table1[[#This Row],[Experience Years]]&lt;=7,"Mid Level",IF(Table1[[#This Row],[Experience Years]]&lt;=15,"Senior Level")))</f>
        <v>Mid Level</v>
      </c>
      <c r="N458" s="1">
        <f>AVERAGE(Table1[[#This Row],[Interview Score]:[Personality Score]])</f>
        <v>51.333333333333336</v>
      </c>
      <c r="O4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58" s="2" t="str">
        <f t="shared" si="7"/>
        <v>0-10</v>
      </c>
    </row>
    <row r="459" spans="1:16" x14ac:dyDescent="0.25">
      <c r="A459">
        <v>36</v>
      </c>
      <c r="B459" s="2">
        <v>0</v>
      </c>
      <c r="C459" s="2">
        <v>3</v>
      </c>
      <c r="D459" s="2">
        <v>15</v>
      </c>
      <c r="E459" s="2">
        <v>4</v>
      </c>
      <c r="F459" s="1">
        <v>36.768205760000001</v>
      </c>
      <c r="G459" s="2">
        <v>79</v>
      </c>
      <c r="H459" s="2">
        <v>100</v>
      </c>
      <c r="I459" s="2">
        <v>15</v>
      </c>
      <c r="J459" s="2">
        <v>1</v>
      </c>
      <c r="K459" s="2">
        <v>1</v>
      </c>
      <c r="L45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59" s="2" t="str">
        <f>IF(Table1[[#This Row],[Experience Years]]&lt;=2,"Entry Level",IF(Table1[[#This Row],[Experience Years]]&lt;=7,"Mid Level",IF(Table1[[#This Row],[Experience Years]]&lt;=15,"Senior Level")))</f>
        <v>Senior Level</v>
      </c>
      <c r="N459" s="1">
        <f>AVERAGE(Table1[[#This Row],[Interview Score]:[Personality Score]])</f>
        <v>64.666666666666671</v>
      </c>
      <c r="O4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59" s="2" t="str">
        <f t="shared" si="7"/>
        <v>30-40</v>
      </c>
    </row>
    <row r="460" spans="1:16" x14ac:dyDescent="0.25">
      <c r="A460">
        <v>31</v>
      </c>
      <c r="B460" s="2">
        <v>0</v>
      </c>
      <c r="C460" s="2">
        <v>2</v>
      </c>
      <c r="D460" s="2">
        <v>7</v>
      </c>
      <c r="E460" s="2">
        <v>3</v>
      </c>
      <c r="F460" s="1">
        <v>14.55711267</v>
      </c>
      <c r="G460" s="2">
        <v>85</v>
      </c>
      <c r="H460" s="2">
        <v>77</v>
      </c>
      <c r="I460" s="2">
        <v>9</v>
      </c>
      <c r="J460" s="2">
        <v>1</v>
      </c>
      <c r="K460" s="2">
        <v>1</v>
      </c>
      <c r="L46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60" s="2" t="str">
        <f>IF(Table1[[#This Row],[Experience Years]]&lt;=2,"Entry Level",IF(Table1[[#This Row],[Experience Years]]&lt;=7,"Mid Level",IF(Table1[[#This Row],[Experience Years]]&lt;=15,"Senior Level")))</f>
        <v>Mid Level</v>
      </c>
      <c r="N460" s="1">
        <f>AVERAGE(Table1[[#This Row],[Interview Score]:[Personality Score]])</f>
        <v>57</v>
      </c>
      <c r="O4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60" s="2" t="str">
        <f t="shared" si="7"/>
        <v>10-20</v>
      </c>
    </row>
    <row r="461" spans="1:16" x14ac:dyDescent="0.25">
      <c r="A461">
        <v>47</v>
      </c>
      <c r="B461" s="2">
        <v>1</v>
      </c>
      <c r="C461" s="2">
        <v>1</v>
      </c>
      <c r="D461" s="2">
        <v>9</v>
      </c>
      <c r="E461" s="2">
        <v>5</v>
      </c>
      <c r="F461" s="1">
        <v>39.016411069999997</v>
      </c>
      <c r="G461" s="2">
        <v>75</v>
      </c>
      <c r="H461" s="2">
        <v>90</v>
      </c>
      <c r="I461" s="2">
        <v>65</v>
      </c>
      <c r="J461" s="2">
        <v>2</v>
      </c>
      <c r="K461" s="2">
        <v>1</v>
      </c>
      <c r="L46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61" t="str">
        <f>IF(Table1[[#This Row],[Experience Years]]&lt;=2,"Entry Level",IF(Table1[[#This Row],[Experience Years]]&lt;=7,"Mid Level",IF(Table1[[#This Row],[Experience Years]]&lt;=15,"Senior Level")))</f>
        <v>Senior Level</v>
      </c>
      <c r="N461" s="1">
        <f>AVERAGE(Table1[[#This Row],[Interview Score]:[Personality Score]])</f>
        <v>76.666666666666671</v>
      </c>
      <c r="O4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461" s="2" t="str">
        <f t="shared" si="7"/>
        <v>30-40</v>
      </c>
    </row>
    <row r="462" spans="1:16" x14ac:dyDescent="0.25">
      <c r="A462">
        <v>49</v>
      </c>
      <c r="B462" s="2">
        <v>1</v>
      </c>
      <c r="C462" s="2">
        <v>4</v>
      </c>
      <c r="D462" s="2">
        <v>0</v>
      </c>
      <c r="E462" s="2">
        <v>3</v>
      </c>
      <c r="F462" s="1">
        <v>37.12056922</v>
      </c>
      <c r="G462" s="2">
        <v>79</v>
      </c>
      <c r="H462" s="2">
        <v>86</v>
      </c>
      <c r="I462" s="2">
        <v>34</v>
      </c>
      <c r="J462" s="2">
        <v>1</v>
      </c>
      <c r="K462" s="2">
        <v>1</v>
      </c>
      <c r="L46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62" t="str">
        <f>IF(Table1[[#This Row],[Experience Years]]&lt;=2,"Entry Level",IF(Table1[[#This Row],[Experience Years]]&lt;=7,"Mid Level",IF(Table1[[#This Row],[Experience Years]]&lt;=15,"Senior Level")))</f>
        <v>Entry Level</v>
      </c>
      <c r="N462" s="1">
        <f>AVERAGE(Table1[[#This Row],[Interview Score]:[Personality Score]])</f>
        <v>66.333333333333329</v>
      </c>
      <c r="O4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62" s="2" t="str">
        <f t="shared" si="7"/>
        <v>30-40</v>
      </c>
    </row>
    <row r="463" spans="1:16" x14ac:dyDescent="0.25">
      <c r="A463">
        <v>48</v>
      </c>
      <c r="B463" s="2">
        <v>1</v>
      </c>
      <c r="C463" s="2">
        <v>4</v>
      </c>
      <c r="D463" s="2">
        <v>6</v>
      </c>
      <c r="E463" s="2">
        <v>4</v>
      </c>
      <c r="F463" s="1">
        <v>1.3695950720000001</v>
      </c>
      <c r="G463" s="2">
        <v>50</v>
      </c>
      <c r="H463" s="2">
        <v>13</v>
      </c>
      <c r="I463" s="2">
        <v>82</v>
      </c>
      <c r="J463" s="2">
        <v>3</v>
      </c>
      <c r="K463" s="2">
        <v>0</v>
      </c>
      <c r="L46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63" t="str">
        <f>IF(Table1[[#This Row],[Experience Years]]&lt;=2,"Entry Level",IF(Table1[[#This Row],[Experience Years]]&lt;=7,"Mid Level",IF(Table1[[#This Row],[Experience Years]]&lt;=15,"Senior Level")))</f>
        <v>Mid Level</v>
      </c>
      <c r="N463" s="1">
        <f>AVERAGE(Table1[[#This Row],[Interview Score]:[Personality Score]])</f>
        <v>48.333333333333336</v>
      </c>
      <c r="O4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63" s="2" t="str">
        <f t="shared" si="7"/>
        <v>0-10</v>
      </c>
    </row>
    <row r="464" spans="1:16" x14ac:dyDescent="0.25">
      <c r="A464">
        <v>33</v>
      </c>
      <c r="B464" s="2">
        <v>1</v>
      </c>
      <c r="C464" s="2">
        <v>3</v>
      </c>
      <c r="D464" s="2">
        <v>12</v>
      </c>
      <c r="E464" s="2">
        <v>3</v>
      </c>
      <c r="F464" s="1">
        <v>26.456770649999999</v>
      </c>
      <c r="G464" s="2">
        <v>41</v>
      </c>
      <c r="H464" s="2">
        <v>67</v>
      </c>
      <c r="I464" s="2">
        <v>5</v>
      </c>
      <c r="J464" s="2">
        <v>1</v>
      </c>
      <c r="K464" s="2">
        <v>1</v>
      </c>
      <c r="L46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64" t="str">
        <f>IF(Table1[[#This Row],[Experience Years]]&lt;=2,"Entry Level",IF(Table1[[#This Row],[Experience Years]]&lt;=7,"Mid Level",IF(Table1[[#This Row],[Experience Years]]&lt;=15,"Senior Level")))</f>
        <v>Senior Level</v>
      </c>
      <c r="N464" s="1">
        <f>AVERAGE(Table1[[#This Row],[Interview Score]:[Personality Score]])</f>
        <v>37.666666666666664</v>
      </c>
      <c r="O4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64" s="2" t="str">
        <f t="shared" si="7"/>
        <v>20-30</v>
      </c>
    </row>
    <row r="465" spans="1:16" x14ac:dyDescent="0.25">
      <c r="A465">
        <v>40</v>
      </c>
      <c r="B465" s="2">
        <v>0</v>
      </c>
      <c r="C465" s="2">
        <v>1</v>
      </c>
      <c r="D465" s="2">
        <v>4</v>
      </c>
      <c r="E465" s="2">
        <v>5</v>
      </c>
      <c r="F465" s="1">
        <v>7.9659741190000002</v>
      </c>
      <c r="G465" s="2">
        <v>100</v>
      </c>
      <c r="H465" s="2">
        <v>82</v>
      </c>
      <c r="I465" s="2">
        <v>18</v>
      </c>
      <c r="J465" s="2">
        <v>2</v>
      </c>
      <c r="K465" s="2">
        <v>0</v>
      </c>
      <c r="L46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65" s="2" t="str">
        <f>IF(Table1[[#This Row],[Experience Years]]&lt;=2,"Entry Level",IF(Table1[[#This Row],[Experience Years]]&lt;=7,"Mid Level",IF(Table1[[#This Row],[Experience Years]]&lt;=15,"Senior Level")))</f>
        <v>Mid Level</v>
      </c>
      <c r="N465" s="1">
        <f>AVERAGE(Table1[[#This Row],[Interview Score]:[Personality Score]])</f>
        <v>66.666666666666671</v>
      </c>
      <c r="O4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65" s="2" t="str">
        <f t="shared" si="7"/>
        <v>0-10</v>
      </c>
    </row>
    <row r="466" spans="1:16" x14ac:dyDescent="0.25">
      <c r="A466">
        <v>25</v>
      </c>
      <c r="B466" s="2">
        <v>1</v>
      </c>
      <c r="C466" s="2">
        <v>1</v>
      </c>
      <c r="D466" s="2">
        <v>9</v>
      </c>
      <c r="E466" s="2">
        <v>1</v>
      </c>
      <c r="F466" s="1">
        <v>44.311351530000003</v>
      </c>
      <c r="G466" s="2">
        <v>28</v>
      </c>
      <c r="H466" s="2">
        <v>46</v>
      </c>
      <c r="I466" s="2">
        <v>58</v>
      </c>
      <c r="J466" s="2">
        <v>1</v>
      </c>
      <c r="K466" s="2">
        <v>0</v>
      </c>
      <c r="L46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66" t="str">
        <f>IF(Table1[[#This Row],[Experience Years]]&lt;=2,"Entry Level",IF(Table1[[#This Row],[Experience Years]]&lt;=7,"Mid Level",IF(Table1[[#This Row],[Experience Years]]&lt;=15,"Senior Level")))</f>
        <v>Senior Level</v>
      </c>
      <c r="N466" s="1">
        <f>AVERAGE(Table1[[#This Row],[Interview Score]:[Personality Score]])</f>
        <v>44</v>
      </c>
      <c r="O4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66" s="2" t="str">
        <f t="shared" si="7"/>
        <v>40-50</v>
      </c>
    </row>
    <row r="467" spans="1:16" x14ac:dyDescent="0.25">
      <c r="A467">
        <v>22</v>
      </c>
      <c r="B467" s="2">
        <v>0</v>
      </c>
      <c r="C467" s="2">
        <v>2</v>
      </c>
      <c r="D467" s="2">
        <v>0</v>
      </c>
      <c r="E467" s="2">
        <v>5</v>
      </c>
      <c r="F467" s="1">
        <v>44.579294140000002</v>
      </c>
      <c r="G467" s="2">
        <v>81</v>
      </c>
      <c r="H467" s="2">
        <v>53</v>
      </c>
      <c r="I467" s="2">
        <v>52</v>
      </c>
      <c r="J467" s="2">
        <v>1</v>
      </c>
      <c r="K467" s="2">
        <v>1</v>
      </c>
      <c r="L46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67" s="2" t="str">
        <f>IF(Table1[[#This Row],[Experience Years]]&lt;=2,"Entry Level",IF(Table1[[#This Row],[Experience Years]]&lt;=7,"Mid Level",IF(Table1[[#This Row],[Experience Years]]&lt;=15,"Senior Level")))</f>
        <v>Entry Level</v>
      </c>
      <c r="N467" s="1">
        <f>AVERAGE(Table1[[#This Row],[Interview Score]:[Personality Score]])</f>
        <v>62</v>
      </c>
      <c r="O4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67" s="2" t="str">
        <f t="shared" si="7"/>
        <v>40-50</v>
      </c>
    </row>
    <row r="468" spans="1:16" x14ac:dyDescent="0.25">
      <c r="A468">
        <v>47</v>
      </c>
      <c r="B468" s="2">
        <v>1</v>
      </c>
      <c r="C468" s="2">
        <v>1</v>
      </c>
      <c r="D468" s="2">
        <v>2</v>
      </c>
      <c r="E468" s="2">
        <v>1</v>
      </c>
      <c r="F468" s="1">
        <v>21.91729037</v>
      </c>
      <c r="G468" s="2">
        <v>9</v>
      </c>
      <c r="H468" s="2">
        <v>3</v>
      </c>
      <c r="I468" s="2">
        <v>7</v>
      </c>
      <c r="J468" s="2">
        <v>2</v>
      </c>
      <c r="K468" s="2">
        <v>0</v>
      </c>
      <c r="L46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68" t="str">
        <f>IF(Table1[[#This Row],[Experience Years]]&lt;=2,"Entry Level",IF(Table1[[#This Row],[Experience Years]]&lt;=7,"Mid Level",IF(Table1[[#This Row],[Experience Years]]&lt;=15,"Senior Level")))</f>
        <v>Entry Level</v>
      </c>
      <c r="N468" s="1">
        <f>AVERAGE(Table1[[#This Row],[Interview Score]:[Personality Score]])</f>
        <v>6.333333333333333</v>
      </c>
      <c r="O4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68" s="2" t="str">
        <f t="shared" si="7"/>
        <v>20-30</v>
      </c>
    </row>
    <row r="469" spans="1:16" x14ac:dyDescent="0.25">
      <c r="A469">
        <v>28</v>
      </c>
      <c r="B469" s="2">
        <v>0</v>
      </c>
      <c r="C469" s="2">
        <v>2</v>
      </c>
      <c r="D469" s="2">
        <v>6</v>
      </c>
      <c r="E469" s="2">
        <v>2</v>
      </c>
      <c r="F469" s="1">
        <v>23.219780920000002</v>
      </c>
      <c r="G469" s="2">
        <v>38</v>
      </c>
      <c r="H469" s="2">
        <v>93</v>
      </c>
      <c r="I469" s="2">
        <v>77</v>
      </c>
      <c r="J469" s="2">
        <v>2</v>
      </c>
      <c r="K469" s="2">
        <v>0</v>
      </c>
      <c r="L46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469" s="2" t="str">
        <f>IF(Table1[[#This Row],[Experience Years]]&lt;=2,"Entry Level",IF(Table1[[#This Row],[Experience Years]]&lt;=7,"Mid Level",IF(Table1[[#This Row],[Experience Years]]&lt;=15,"Senior Level")))</f>
        <v>Mid Level</v>
      </c>
      <c r="N469" s="1">
        <f>AVERAGE(Table1[[#This Row],[Interview Score]:[Personality Score]])</f>
        <v>69.333333333333329</v>
      </c>
      <c r="O4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69" s="2" t="str">
        <f t="shared" si="7"/>
        <v>20-30</v>
      </c>
    </row>
    <row r="470" spans="1:16" x14ac:dyDescent="0.25">
      <c r="A470">
        <v>24</v>
      </c>
      <c r="B470" s="2">
        <v>0</v>
      </c>
      <c r="C470" s="2">
        <v>4</v>
      </c>
      <c r="D470" s="2">
        <v>9</v>
      </c>
      <c r="E470" s="2">
        <v>5</v>
      </c>
      <c r="F470" s="1">
        <v>16.164146970000001</v>
      </c>
      <c r="G470" s="2">
        <v>81</v>
      </c>
      <c r="H470" s="2">
        <v>82</v>
      </c>
      <c r="I470" s="2">
        <v>9</v>
      </c>
      <c r="J470" s="2">
        <v>1</v>
      </c>
      <c r="K470" s="2">
        <v>1</v>
      </c>
      <c r="L47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70" s="2" t="str">
        <f>IF(Table1[[#This Row],[Experience Years]]&lt;=2,"Entry Level",IF(Table1[[#This Row],[Experience Years]]&lt;=7,"Mid Level",IF(Table1[[#This Row],[Experience Years]]&lt;=15,"Senior Level")))</f>
        <v>Senior Level</v>
      </c>
      <c r="N470" s="1">
        <f>AVERAGE(Table1[[#This Row],[Interview Score]:[Personality Score]])</f>
        <v>57.333333333333336</v>
      </c>
      <c r="O4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70" s="2" t="str">
        <f t="shared" si="7"/>
        <v>10-20</v>
      </c>
    </row>
    <row r="471" spans="1:16" x14ac:dyDescent="0.25">
      <c r="A471">
        <v>43</v>
      </c>
      <c r="B471" s="2">
        <v>1</v>
      </c>
      <c r="C471" s="2">
        <v>2</v>
      </c>
      <c r="D471" s="2">
        <v>0</v>
      </c>
      <c r="E471" s="2">
        <v>5</v>
      </c>
      <c r="F471" s="1">
        <v>36.830314950000002</v>
      </c>
      <c r="G471" s="2">
        <v>0</v>
      </c>
      <c r="H471" s="2">
        <v>94</v>
      </c>
      <c r="I471" s="2">
        <v>66</v>
      </c>
      <c r="J471" s="2">
        <v>1</v>
      </c>
      <c r="K471" s="2">
        <v>1</v>
      </c>
      <c r="L47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71" t="str">
        <f>IF(Table1[[#This Row],[Experience Years]]&lt;=2,"Entry Level",IF(Table1[[#This Row],[Experience Years]]&lt;=7,"Mid Level",IF(Table1[[#This Row],[Experience Years]]&lt;=15,"Senior Level")))</f>
        <v>Entry Level</v>
      </c>
      <c r="N471" s="1">
        <f>AVERAGE(Table1[[#This Row],[Interview Score]:[Personality Score]])</f>
        <v>53.333333333333336</v>
      </c>
      <c r="O4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71" s="2" t="str">
        <f t="shared" si="7"/>
        <v>30-40</v>
      </c>
    </row>
    <row r="472" spans="1:16" x14ac:dyDescent="0.25">
      <c r="A472">
        <v>48</v>
      </c>
      <c r="B472" s="2">
        <v>0</v>
      </c>
      <c r="C472" s="2">
        <v>1</v>
      </c>
      <c r="D472" s="2">
        <v>6</v>
      </c>
      <c r="E472" s="2">
        <v>4</v>
      </c>
      <c r="F472" s="1">
        <v>18.93306815</v>
      </c>
      <c r="G472" s="2">
        <v>38</v>
      </c>
      <c r="H472" s="2">
        <v>94</v>
      </c>
      <c r="I472" s="2">
        <v>37</v>
      </c>
      <c r="J472" s="2">
        <v>1</v>
      </c>
      <c r="K472" s="2">
        <v>1</v>
      </c>
      <c r="L47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72" s="2" t="str">
        <f>IF(Table1[[#This Row],[Experience Years]]&lt;=2,"Entry Level",IF(Table1[[#This Row],[Experience Years]]&lt;=7,"Mid Level",IF(Table1[[#This Row],[Experience Years]]&lt;=15,"Senior Level")))</f>
        <v>Mid Level</v>
      </c>
      <c r="N472" s="1">
        <f>AVERAGE(Table1[[#This Row],[Interview Score]:[Personality Score]])</f>
        <v>56.333333333333336</v>
      </c>
      <c r="O4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72" s="2" t="str">
        <f t="shared" si="7"/>
        <v>10-20</v>
      </c>
    </row>
    <row r="473" spans="1:16" x14ac:dyDescent="0.25">
      <c r="A473">
        <v>36</v>
      </c>
      <c r="B473" s="2">
        <v>0</v>
      </c>
      <c r="C473" s="2">
        <v>2</v>
      </c>
      <c r="D473" s="2">
        <v>4</v>
      </c>
      <c r="E473" s="2">
        <v>3</v>
      </c>
      <c r="F473" s="1">
        <v>14.38962373</v>
      </c>
      <c r="G473" s="2">
        <v>20</v>
      </c>
      <c r="H473" s="2">
        <v>8</v>
      </c>
      <c r="I473" s="2">
        <v>28</v>
      </c>
      <c r="J473" s="2">
        <v>2</v>
      </c>
      <c r="K473" s="2">
        <v>0</v>
      </c>
      <c r="L47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73" s="2" t="str">
        <f>IF(Table1[[#This Row],[Experience Years]]&lt;=2,"Entry Level",IF(Table1[[#This Row],[Experience Years]]&lt;=7,"Mid Level",IF(Table1[[#This Row],[Experience Years]]&lt;=15,"Senior Level")))</f>
        <v>Mid Level</v>
      </c>
      <c r="N473" s="1">
        <f>AVERAGE(Table1[[#This Row],[Interview Score]:[Personality Score]])</f>
        <v>18.666666666666668</v>
      </c>
      <c r="O4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73" s="2" t="str">
        <f t="shared" si="7"/>
        <v>10-20</v>
      </c>
    </row>
    <row r="474" spans="1:16" x14ac:dyDescent="0.25">
      <c r="A474">
        <v>33</v>
      </c>
      <c r="B474" s="2">
        <v>1</v>
      </c>
      <c r="C474" s="2">
        <v>1</v>
      </c>
      <c r="D474" s="2">
        <v>0</v>
      </c>
      <c r="E474" s="2">
        <v>1</v>
      </c>
      <c r="F474" s="1">
        <v>22.611552979999999</v>
      </c>
      <c r="G474" s="2">
        <v>64</v>
      </c>
      <c r="H474" s="2">
        <v>52</v>
      </c>
      <c r="I474" s="2">
        <v>14</v>
      </c>
      <c r="J474" s="2">
        <v>2</v>
      </c>
      <c r="K474" s="2">
        <v>0</v>
      </c>
      <c r="L47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74" t="str">
        <f>IF(Table1[[#This Row],[Experience Years]]&lt;=2,"Entry Level",IF(Table1[[#This Row],[Experience Years]]&lt;=7,"Mid Level",IF(Table1[[#This Row],[Experience Years]]&lt;=15,"Senior Level")))</f>
        <v>Entry Level</v>
      </c>
      <c r="N474" s="1">
        <f>AVERAGE(Table1[[#This Row],[Interview Score]:[Personality Score]])</f>
        <v>43.333333333333336</v>
      </c>
      <c r="O4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74" s="2" t="str">
        <f t="shared" si="7"/>
        <v>20-30</v>
      </c>
    </row>
    <row r="475" spans="1:16" x14ac:dyDescent="0.25">
      <c r="A475">
        <v>40</v>
      </c>
      <c r="B475" s="2">
        <v>0</v>
      </c>
      <c r="C475" s="2">
        <v>1</v>
      </c>
      <c r="D475" s="2">
        <v>0</v>
      </c>
      <c r="E475" s="2">
        <v>1</v>
      </c>
      <c r="F475" s="1">
        <v>5.5743759190000004</v>
      </c>
      <c r="G475" s="2">
        <v>14</v>
      </c>
      <c r="H475" s="2">
        <v>76</v>
      </c>
      <c r="I475" s="2">
        <v>86</v>
      </c>
      <c r="J475" s="2">
        <v>1</v>
      </c>
      <c r="K475" s="2">
        <v>1</v>
      </c>
      <c r="L47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75" s="2" t="str">
        <f>IF(Table1[[#This Row],[Experience Years]]&lt;=2,"Entry Level",IF(Table1[[#This Row],[Experience Years]]&lt;=7,"Mid Level",IF(Table1[[#This Row],[Experience Years]]&lt;=15,"Senior Level")))</f>
        <v>Entry Level</v>
      </c>
      <c r="N475" s="1">
        <f>AVERAGE(Table1[[#This Row],[Interview Score]:[Personality Score]])</f>
        <v>58.666666666666664</v>
      </c>
      <c r="O4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75" s="2" t="str">
        <f t="shared" si="7"/>
        <v>0-10</v>
      </c>
    </row>
    <row r="476" spans="1:16" x14ac:dyDescent="0.25">
      <c r="A476">
        <v>50</v>
      </c>
      <c r="B476" s="2">
        <v>1</v>
      </c>
      <c r="C476" s="2">
        <v>2</v>
      </c>
      <c r="D476" s="2">
        <v>13</v>
      </c>
      <c r="E476" s="2">
        <v>4</v>
      </c>
      <c r="F476" s="1">
        <v>38.330160229999997</v>
      </c>
      <c r="G476" s="2">
        <v>3</v>
      </c>
      <c r="H476" s="2">
        <v>77</v>
      </c>
      <c r="I476" s="2">
        <v>22</v>
      </c>
      <c r="J476" s="2">
        <v>2</v>
      </c>
      <c r="K476" s="2">
        <v>0</v>
      </c>
      <c r="L47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76" t="str">
        <f>IF(Table1[[#This Row],[Experience Years]]&lt;=2,"Entry Level",IF(Table1[[#This Row],[Experience Years]]&lt;=7,"Mid Level",IF(Table1[[#This Row],[Experience Years]]&lt;=15,"Senior Level")))</f>
        <v>Senior Level</v>
      </c>
      <c r="N476" s="1">
        <f>AVERAGE(Table1[[#This Row],[Interview Score]:[Personality Score]])</f>
        <v>34</v>
      </c>
      <c r="O4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76" s="2" t="str">
        <f t="shared" si="7"/>
        <v>30-40</v>
      </c>
    </row>
    <row r="477" spans="1:16" x14ac:dyDescent="0.25">
      <c r="A477">
        <v>22</v>
      </c>
      <c r="B477" s="2">
        <v>1</v>
      </c>
      <c r="C477" s="2">
        <v>2</v>
      </c>
      <c r="D477" s="2">
        <v>0</v>
      </c>
      <c r="E477" s="2">
        <v>4</v>
      </c>
      <c r="F477" s="1">
        <v>1.629820064</v>
      </c>
      <c r="G477" s="2">
        <v>59</v>
      </c>
      <c r="H477" s="2">
        <v>59</v>
      </c>
      <c r="I477" s="2">
        <v>81</v>
      </c>
      <c r="J477" s="2">
        <v>2</v>
      </c>
      <c r="K477" s="2">
        <v>0</v>
      </c>
      <c r="L47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77" t="str">
        <f>IF(Table1[[#This Row],[Experience Years]]&lt;=2,"Entry Level",IF(Table1[[#This Row],[Experience Years]]&lt;=7,"Mid Level",IF(Table1[[#This Row],[Experience Years]]&lt;=15,"Senior Level")))</f>
        <v>Entry Level</v>
      </c>
      <c r="N477" s="1">
        <f>AVERAGE(Table1[[#This Row],[Interview Score]:[Personality Score]])</f>
        <v>66.333333333333329</v>
      </c>
      <c r="O4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77" s="2" t="str">
        <f t="shared" si="7"/>
        <v>0-10</v>
      </c>
    </row>
    <row r="478" spans="1:16" x14ac:dyDescent="0.25">
      <c r="A478">
        <v>47</v>
      </c>
      <c r="B478" s="2">
        <v>1</v>
      </c>
      <c r="C478" s="2">
        <v>3</v>
      </c>
      <c r="D478" s="2">
        <v>10</v>
      </c>
      <c r="E478" s="2">
        <v>3</v>
      </c>
      <c r="F478" s="1">
        <v>33.224253079999997</v>
      </c>
      <c r="G478" s="2">
        <v>60</v>
      </c>
      <c r="H478" s="2">
        <v>45</v>
      </c>
      <c r="I478" s="2">
        <v>45</v>
      </c>
      <c r="J478" s="2">
        <v>3</v>
      </c>
      <c r="K478" s="2">
        <v>0</v>
      </c>
      <c r="L47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78" t="str">
        <f>IF(Table1[[#This Row],[Experience Years]]&lt;=2,"Entry Level",IF(Table1[[#This Row],[Experience Years]]&lt;=7,"Mid Level",IF(Table1[[#This Row],[Experience Years]]&lt;=15,"Senior Level")))</f>
        <v>Senior Level</v>
      </c>
      <c r="N478" s="1">
        <f>AVERAGE(Table1[[#This Row],[Interview Score]:[Personality Score]])</f>
        <v>50</v>
      </c>
      <c r="O4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78" s="2" t="str">
        <f t="shared" si="7"/>
        <v>30-40</v>
      </c>
    </row>
    <row r="479" spans="1:16" x14ac:dyDescent="0.25">
      <c r="A479">
        <v>20</v>
      </c>
      <c r="B479" s="2">
        <v>0</v>
      </c>
      <c r="C479" s="2">
        <v>4</v>
      </c>
      <c r="D479" s="2">
        <v>8</v>
      </c>
      <c r="E479" s="2">
        <v>3</v>
      </c>
      <c r="F479" s="1">
        <v>10.14322634</v>
      </c>
      <c r="G479" s="2">
        <v>19</v>
      </c>
      <c r="H479" s="2">
        <v>53</v>
      </c>
      <c r="I479" s="2">
        <v>82</v>
      </c>
      <c r="J479" s="2">
        <v>3</v>
      </c>
      <c r="K479" s="2">
        <v>1</v>
      </c>
      <c r="L47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79" s="2" t="str">
        <f>IF(Table1[[#This Row],[Experience Years]]&lt;=2,"Entry Level",IF(Table1[[#This Row],[Experience Years]]&lt;=7,"Mid Level",IF(Table1[[#This Row],[Experience Years]]&lt;=15,"Senior Level")))</f>
        <v>Senior Level</v>
      </c>
      <c r="N479" s="1">
        <f>AVERAGE(Table1[[#This Row],[Interview Score]:[Personality Score]])</f>
        <v>51.333333333333336</v>
      </c>
      <c r="O4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79" s="2" t="str">
        <f t="shared" si="7"/>
        <v>10-20</v>
      </c>
    </row>
    <row r="480" spans="1:16" x14ac:dyDescent="0.25">
      <c r="A480">
        <v>39</v>
      </c>
      <c r="B480" s="2">
        <v>0</v>
      </c>
      <c r="C480" s="2">
        <v>2</v>
      </c>
      <c r="D480" s="2">
        <v>10</v>
      </c>
      <c r="E480" s="2">
        <v>5</v>
      </c>
      <c r="F480" s="1">
        <v>12.62020231</v>
      </c>
      <c r="G480" s="2">
        <v>9</v>
      </c>
      <c r="H480" s="2">
        <v>73</v>
      </c>
      <c r="I480" s="2">
        <v>27</v>
      </c>
      <c r="J480" s="2">
        <v>2</v>
      </c>
      <c r="K480" s="2">
        <v>0</v>
      </c>
      <c r="L48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80" s="2" t="str">
        <f>IF(Table1[[#This Row],[Experience Years]]&lt;=2,"Entry Level",IF(Table1[[#This Row],[Experience Years]]&lt;=7,"Mid Level",IF(Table1[[#This Row],[Experience Years]]&lt;=15,"Senior Level")))</f>
        <v>Senior Level</v>
      </c>
      <c r="N480" s="1">
        <f>AVERAGE(Table1[[#This Row],[Interview Score]:[Personality Score]])</f>
        <v>36.333333333333336</v>
      </c>
      <c r="O4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80" s="2" t="str">
        <f t="shared" si="7"/>
        <v>10-20</v>
      </c>
    </row>
    <row r="481" spans="1:16" x14ac:dyDescent="0.25">
      <c r="A481">
        <v>50</v>
      </c>
      <c r="B481" s="2">
        <v>0</v>
      </c>
      <c r="C481" s="2">
        <v>2</v>
      </c>
      <c r="D481" s="2">
        <v>12</v>
      </c>
      <c r="E481" s="2">
        <v>2</v>
      </c>
      <c r="F481" s="1">
        <v>32.781599929999999</v>
      </c>
      <c r="G481" s="2">
        <v>86</v>
      </c>
      <c r="H481" s="2">
        <v>94</v>
      </c>
      <c r="I481" s="2">
        <v>25</v>
      </c>
      <c r="J481" s="2">
        <v>1</v>
      </c>
      <c r="K481" s="2">
        <v>1</v>
      </c>
      <c r="L48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81" s="2" t="str">
        <f>IF(Table1[[#This Row],[Experience Years]]&lt;=2,"Entry Level",IF(Table1[[#This Row],[Experience Years]]&lt;=7,"Mid Level",IF(Table1[[#This Row],[Experience Years]]&lt;=15,"Senior Level")))</f>
        <v>Senior Level</v>
      </c>
      <c r="N481" s="1">
        <f>AVERAGE(Table1[[#This Row],[Interview Score]:[Personality Score]])</f>
        <v>68.333333333333329</v>
      </c>
      <c r="O4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81" s="2" t="str">
        <f t="shared" si="7"/>
        <v>30-40</v>
      </c>
    </row>
    <row r="482" spans="1:16" x14ac:dyDescent="0.25">
      <c r="A482">
        <v>48</v>
      </c>
      <c r="B482" s="2">
        <v>1</v>
      </c>
      <c r="C482" s="2">
        <v>3</v>
      </c>
      <c r="D482" s="2">
        <v>2</v>
      </c>
      <c r="E482" s="2">
        <v>3</v>
      </c>
      <c r="F482" s="1">
        <v>50.647173289999998</v>
      </c>
      <c r="G482" s="2">
        <v>33</v>
      </c>
      <c r="H482" s="2">
        <v>36</v>
      </c>
      <c r="I482" s="2">
        <v>9</v>
      </c>
      <c r="J482" s="2">
        <v>1</v>
      </c>
      <c r="K482" s="2">
        <v>0</v>
      </c>
      <c r="L48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82" t="str">
        <f>IF(Table1[[#This Row],[Experience Years]]&lt;=2,"Entry Level",IF(Table1[[#This Row],[Experience Years]]&lt;=7,"Mid Level",IF(Table1[[#This Row],[Experience Years]]&lt;=15,"Senior Level")))</f>
        <v>Entry Level</v>
      </c>
      <c r="N482" s="1">
        <f>AVERAGE(Table1[[#This Row],[Interview Score]:[Personality Score]])</f>
        <v>26</v>
      </c>
      <c r="O4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82" s="2" t="str">
        <f t="shared" si="7"/>
        <v>50+</v>
      </c>
    </row>
    <row r="483" spans="1:16" x14ac:dyDescent="0.25">
      <c r="A483">
        <v>40</v>
      </c>
      <c r="B483" s="2">
        <v>0</v>
      </c>
      <c r="C483" s="2">
        <v>2</v>
      </c>
      <c r="D483" s="2">
        <v>14</v>
      </c>
      <c r="E483" s="2">
        <v>4</v>
      </c>
      <c r="F483" s="1">
        <v>39.885874450000003</v>
      </c>
      <c r="G483" s="2">
        <v>47</v>
      </c>
      <c r="H483" s="2">
        <v>22</v>
      </c>
      <c r="I483" s="2">
        <v>46</v>
      </c>
      <c r="J483" s="2">
        <v>2</v>
      </c>
      <c r="K483" s="2">
        <v>0</v>
      </c>
      <c r="L48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83" s="2" t="str">
        <f>IF(Table1[[#This Row],[Experience Years]]&lt;=2,"Entry Level",IF(Table1[[#This Row],[Experience Years]]&lt;=7,"Mid Level",IF(Table1[[#This Row],[Experience Years]]&lt;=15,"Senior Level")))</f>
        <v>Senior Level</v>
      </c>
      <c r="N483" s="1">
        <f>AVERAGE(Table1[[#This Row],[Interview Score]:[Personality Score]])</f>
        <v>38.333333333333336</v>
      </c>
      <c r="O4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83" s="2" t="str">
        <f t="shared" si="7"/>
        <v>30-40</v>
      </c>
    </row>
    <row r="484" spans="1:16" x14ac:dyDescent="0.25">
      <c r="A484">
        <v>42</v>
      </c>
      <c r="B484" s="2">
        <v>1</v>
      </c>
      <c r="C484" s="2">
        <v>1</v>
      </c>
      <c r="D484" s="2">
        <v>12</v>
      </c>
      <c r="E484" s="2">
        <v>3</v>
      </c>
      <c r="F484" s="1">
        <v>12.291981610000001</v>
      </c>
      <c r="G484" s="2">
        <v>32</v>
      </c>
      <c r="H484" s="2">
        <v>26</v>
      </c>
      <c r="I484" s="2">
        <v>3</v>
      </c>
      <c r="J484" s="2">
        <v>3</v>
      </c>
      <c r="K484" s="2">
        <v>0</v>
      </c>
      <c r="L48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84" t="str">
        <f>IF(Table1[[#This Row],[Experience Years]]&lt;=2,"Entry Level",IF(Table1[[#This Row],[Experience Years]]&lt;=7,"Mid Level",IF(Table1[[#This Row],[Experience Years]]&lt;=15,"Senior Level")))</f>
        <v>Senior Level</v>
      </c>
      <c r="N484" s="1">
        <f>AVERAGE(Table1[[#This Row],[Interview Score]:[Personality Score]])</f>
        <v>20.333333333333332</v>
      </c>
      <c r="O4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84" s="2" t="str">
        <f t="shared" si="7"/>
        <v>10-20</v>
      </c>
    </row>
    <row r="485" spans="1:16" x14ac:dyDescent="0.25">
      <c r="A485">
        <v>20</v>
      </c>
      <c r="B485" s="2">
        <v>1</v>
      </c>
      <c r="C485" s="2">
        <v>3</v>
      </c>
      <c r="D485" s="2">
        <v>4</v>
      </c>
      <c r="E485" s="2">
        <v>1</v>
      </c>
      <c r="F485" s="1">
        <v>9.8012377520000005</v>
      </c>
      <c r="G485" s="2">
        <v>97</v>
      </c>
      <c r="H485" s="2">
        <v>69</v>
      </c>
      <c r="I485" s="2">
        <v>54</v>
      </c>
      <c r="J485" s="2">
        <v>2</v>
      </c>
      <c r="K485" s="2">
        <v>0</v>
      </c>
      <c r="L48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85" t="str">
        <f>IF(Table1[[#This Row],[Experience Years]]&lt;=2,"Entry Level",IF(Table1[[#This Row],[Experience Years]]&lt;=7,"Mid Level",IF(Table1[[#This Row],[Experience Years]]&lt;=15,"Senior Level")))</f>
        <v>Mid Level</v>
      </c>
      <c r="N485" s="1">
        <f>AVERAGE(Table1[[#This Row],[Interview Score]:[Personality Score]])</f>
        <v>73.333333333333329</v>
      </c>
      <c r="O4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485" s="2" t="str">
        <f t="shared" si="7"/>
        <v>0-10</v>
      </c>
    </row>
    <row r="486" spans="1:16" x14ac:dyDescent="0.25">
      <c r="A486">
        <v>22</v>
      </c>
      <c r="B486" s="2">
        <v>0</v>
      </c>
      <c r="C486" s="2">
        <v>1</v>
      </c>
      <c r="D486" s="2">
        <v>10</v>
      </c>
      <c r="E486" s="2">
        <v>2</v>
      </c>
      <c r="F486" s="1">
        <v>44.311643510000003</v>
      </c>
      <c r="G486" s="2">
        <v>60</v>
      </c>
      <c r="H486" s="2">
        <v>89</v>
      </c>
      <c r="I486" s="2">
        <v>65</v>
      </c>
      <c r="J486" s="2">
        <v>2</v>
      </c>
      <c r="K486" s="2">
        <v>0</v>
      </c>
      <c r="L48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86" s="2" t="str">
        <f>IF(Table1[[#This Row],[Experience Years]]&lt;=2,"Entry Level",IF(Table1[[#This Row],[Experience Years]]&lt;=7,"Mid Level",IF(Table1[[#This Row],[Experience Years]]&lt;=15,"Senior Level")))</f>
        <v>Senior Level</v>
      </c>
      <c r="N486" s="1">
        <f>AVERAGE(Table1[[#This Row],[Interview Score]:[Personality Score]])</f>
        <v>71.333333333333329</v>
      </c>
      <c r="O4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486" s="2" t="str">
        <f t="shared" si="7"/>
        <v>40-50</v>
      </c>
    </row>
    <row r="487" spans="1:16" x14ac:dyDescent="0.25">
      <c r="A487">
        <v>37</v>
      </c>
      <c r="B487" s="2">
        <v>1</v>
      </c>
      <c r="C487" s="2">
        <v>2</v>
      </c>
      <c r="D487" s="2">
        <v>15</v>
      </c>
      <c r="E487" s="2">
        <v>5</v>
      </c>
      <c r="F487" s="1">
        <v>23.209197400000001</v>
      </c>
      <c r="G487" s="2">
        <v>9</v>
      </c>
      <c r="H487" s="2">
        <v>65</v>
      </c>
      <c r="I487" s="2">
        <v>66</v>
      </c>
      <c r="J487" s="2">
        <v>2</v>
      </c>
      <c r="K487" s="2">
        <v>0</v>
      </c>
      <c r="L48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87" t="str">
        <f>IF(Table1[[#This Row],[Experience Years]]&lt;=2,"Entry Level",IF(Table1[[#This Row],[Experience Years]]&lt;=7,"Mid Level",IF(Table1[[#This Row],[Experience Years]]&lt;=15,"Senior Level")))</f>
        <v>Senior Level</v>
      </c>
      <c r="N487" s="1">
        <f>AVERAGE(Table1[[#This Row],[Interview Score]:[Personality Score]])</f>
        <v>46.666666666666664</v>
      </c>
      <c r="O4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87" s="2" t="str">
        <f t="shared" si="7"/>
        <v>20-30</v>
      </c>
    </row>
    <row r="488" spans="1:16" x14ac:dyDescent="0.25">
      <c r="A488">
        <v>44</v>
      </c>
      <c r="B488" s="2">
        <v>0</v>
      </c>
      <c r="C488" s="2">
        <v>2</v>
      </c>
      <c r="D488" s="2">
        <v>9</v>
      </c>
      <c r="E488" s="2">
        <v>1</v>
      </c>
      <c r="F488" s="1">
        <v>7.8526401410000002</v>
      </c>
      <c r="G488" s="2">
        <v>53</v>
      </c>
      <c r="H488" s="2">
        <v>60</v>
      </c>
      <c r="I488" s="2">
        <v>6</v>
      </c>
      <c r="J488" s="2">
        <v>2</v>
      </c>
      <c r="K488" s="2">
        <v>0</v>
      </c>
      <c r="L48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88" s="2" t="str">
        <f>IF(Table1[[#This Row],[Experience Years]]&lt;=2,"Entry Level",IF(Table1[[#This Row],[Experience Years]]&lt;=7,"Mid Level",IF(Table1[[#This Row],[Experience Years]]&lt;=15,"Senior Level")))</f>
        <v>Senior Level</v>
      </c>
      <c r="N488" s="1">
        <f>AVERAGE(Table1[[#This Row],[Interview Score]:[Personality Score]])</f>
        <v>39.666666666666664</v>
      </c>
      <c r="O4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88" s="2" t="str">
        <f t="shared" si="7"/>
        <v>0-10</v>
      </c>
    </row>
    <row r="489" spans="1:16" x14ac:dyDescent="0.25">
      <c r="A489">
        <v>29</v>
      </c>
      <c r="B489" s="2">
        <v>0</v>
      </c>
      <c r="C489" s="2">
        <v>2</v>
      </c>
      <c r="D489" s="2">
        <v>11</v>
      </c>
      <c r="E489" s="2">
        <v>1</v>
      </c>
      <c r="F489" s="1">
        <v>44.11057117</v>
      </c>
      <c r="G489" s="2">
        <v>83</v>
      </c>
      <c r="H489" s="2">
        <v>76</v>
      </c>
      <c r="I489" s="2">
        <v>54</v>
      </c>
      <c r="J489" s="2">
        <v>1</v>
      </c>
      <c r="K489" s="2">
        <v>1</v>
      </c>
      <c r="L48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489" s="2" t="str">
        <f>IF(Table1[[#This Row],[Experience Years]]&lt;=2,"Entry Level",IF(Table1[[#This Row],[Experience Years]]&lt;=7,"Mid Level",IF(Table1[[#This Row],[Experience Years]]&lt;=15,"Senior Level")))</f>
        <v>Senior Level</v>
      </c>
      <c r="N489" s="1">
        <f>AVERAGE(Table1[[#This Row],[Interview Score]:[Personality Score]])</f>
        <v>71</v>
      </c>
      <c r="O4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489" s="2" t="str">
        <f t="shared" si="7"/>
        <v>40-50</v>
      </c>
    </row>
    <row r="490" spans="1:16" x14ac:dyDescent="0.25">
      <c r="A490">
        <v>50</v>
      </c>
      <c r="B490" s="2">
        <v>0</v>
      </c>
      <c r="C490" s="2">
        <v>2</v>
      </c>
      <c r="D490" s="2">
        <v>15</v>
      </c>
      <c r="E490" s="2">
        <v>2</v>
      </c>
      <c r="F490" s="1">
        <v>41.804617649999997</v>
      </c>
      <c r="G490" s="2">
        <v>64</v>
      </c>
      <c r="H490" s="2">
        <v>50</v>
      </c>
      <c r="I490" s="2">
        <v>79</v>
      </c>
      <c r="J490" s="2">
        <v>2</v>
      </c>
      <c r="K490" s="2">
        <v>0</v>
      </c>
      <c r="L49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490" s="2" t="str">
        <f>IF(Table1[[#This Row],[Experience Years]]&lt;=2,"Entry Level",IF(Table1[[#This Row],[Experience Years]]&lt;=7,"Mid Level",IF(Table1[[#This Row],[Experience Years]]&lt;=15,"Senior Level")))</f>
        <v>Senior Level</v>
      </c>
      <c r="N490" s="1">
        <f>AVERAGE(Table1[[#This Row],[Interview Score]:[Personality Score]])</f>
        <v>64.333333333333329</v>
      </c>
      <c r="O4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90" s="2" t="str">
        <f t="shared" si="7"/>
        <v>40-50</v>
      </c>
    </row>
    <row r="491" spans="1:16" x14ac:dyDescent="0.25">
      <c r="A491">
        <v>41</v>
      </c>
      <c r="B491" s="2">
        <v>0</v>
      </c>
      <c r="C491" s="2">
        <v>3</v>
      </c>
      <c r="D491" s="2">
        <v>8</v>
      </c>
      <c r="E491" s="2">
        <v>5</v>
      </c>
      <c r="F491" s="1">
        <v>50.195318190000002</v>
      </c>
      <c r="G491" s="2">
        <v>76</v>
      </c>
      <c r="H491" s="2">
        <v>49</v>
      </c>
      <c r="I491" s="2">
        <v>30</v>
      </c>
      <c r="J491" s="2">
        <v>1</v>
      </c>
      <c r="K491" s="2">
        <v>1</v>
      </c>
      <c r="L49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91" s="2" t="str">
        <f>IF(Table1[[#This Row],[Experience Years]]&lt;=2,"Entry Level",IF(Table1[[#This Row],[Experience Years]]&lt;=7,"Mid Level",IF(Table1[[#This Row],[Experience Years]]&lt;=15,"Senior Level")))</f>
        <v>Senior Level</v>
      </c>
      <c r="N491" s="1">
        <f>AVERAGE(Table1[[#This Row],[Interview Score]:[Personality Score]])</f>
        <v>51.666666666666664</v>
      </c>
      <c r="O4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491" s="2" t="str">
        <f t="shared" si="7"/>
        <v>50+</v>
      </c>
    </row>
    <row r="492" spans="1:16" x14ac:dyDescent="0.25">
      <c r="A492">
        <v>45</v>
      </c>
      <c r="B492" s="2">
        <v>0</v>
      </c>
      <c r="C492" s="2">
        <v>1</v>
      </c>
      <c r="D492" s="2">
        <v>5</v>
      </c>
      <c r="E492" s="2">
        <v>4</v>
      </c>
      <c r="F492" s="1">
        <v>46.487184339999999</v>
      </c>
      <c r="G492" s="2">
        <v>0</v>
      </c>
      <c r="H492" s="2">
        <v>18</v>
      </c>
      <c r="I492" s="2">
        <v>73</v>
      </c>
      <c r="J492" s="2">
        <v>1</v>
      </c>
      <c r="K492" s="2">
        <v>0</v>
      </c>
      <c r="L49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92" s="2" t="str">
        <f>IF(Table1[[#This Row],[Experience Years]]&lt;=2,"Entry Level",IF(Table1[[#This Row],[Experience Years]]&lt;=7,"Mid Level",IF(Table1[[#This Row],[Experience Years]]&lt;=15,"Senior Level")))</f>
        <v>Mid Level</v>
      </c>
      <c r="N492" s="1">
        <f>AVERAGE(Table1[[#This Row],[Interview Score]:[Personality Score]])</f>
        <v>30.333333333333332</v>
      </c>
      <c r="O4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92" s="2" t="str">
        <f t="shared" si="7"/>
        <v>40-50</v>
      </c>
    </row>
    <row r="493" spans="1:16" x14ac:dyDescent="0.25">
      <c r="A493">
        <v>22</v>
      </c>
      <c r="B493" s="2">
        <v>1</v>
      </c>
      <c r="C493" s="2">
        <v>2</v>
      </c>
      <c r="D493" s="2">
        <v>11</v>
      </c>
      <c r="E493" s="2">
        <v>5</v>
      </c>
      <c r="F493" s="1">
        <v>43.589516930000002</v>
      </c>
      <c r="G493" s="2">
        <v>4</v>
      </c>
      <c r="H493" s="2">
        <v>0</v>
      </c>
      <c r="I493" s="2">
        <v>18</v>
      </c>
      <c r="J493" s="2">
        <v>2</v>
      </c>
      <c r="K493" s="2">
        <v>0</v>
      </c>
      <c r="L49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493" t="str">
        <f>IF(Table1[[#This Row],[Experience Years]]&lt;=2,"Entry Level",IF(Table1[[#This Row],[Experience Years]]&lt;=7,"Mid Level",IF(Table1[[#This Row],[Experience Years]]&lt;=15,"Senior Level")))</f>
        <v>Senior Level</v>
      </c>
      <c r="N493" s="1">
        <f>AVERAGE(Table1[[#This Row],[Interview Score]:[Personality Score]])</f>
        <v>7.333333333333333</v>
      </c>
      <c r="O4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93" s="2" t="str">
        <f t="shared" si="7"/>
        <v>40-50</v>
      </c>
    </row>
    <row r="494" spans="1:16" x14ac:dyDescent="0.25">
      <c r="A494">
        <v>27</v>
      </c>
      <c r="B494" s="2">
        <v>1</v>
      </c>
      <c r="C494" s="2">
        <v>3</v>
      </c>
      <c r="D494" s="2">
        <v>8</v>
      </c>
      <c r="E494" s="2">
        <v>3</v>
      </c>
      <c r="F494" s="1">
        <v>3.6287198909999998</v>
      </c>
      <c r="G494" s="2">
        <v>79</v>
      </c>
      <c r="H494" s="2">
        <v>39</v>
      </c>
      <c r="I494" s="2">
        <v>27</v>
      </c>
      <c r="J494" s="2">
        <v>1</v>
      </c>
      <c r="K494" s="2">
        <v>1</v>
      </c>
      <c r="L49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494" t="str">
        <f>IF(Table1[[#This Row],[Experience Years]]&lt;=2,"Entry Level",IF(Table1[[#This Row],[Experience Years]]&lt;=7,"Mid Level",IF(Table1[[#This Row],[Experience Years]]&lt;=15,"Senior Level")))</f>
        <v>Senior Level</v>
      </c>
      <c r="N494" s="1">
        <f>AVERAGE(Table1[[#This Row],[Interview Score]:[Personality Score]])</f>
        <v>48.333333333333336</v>
      </c>
      <c r="O4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94" s="2" t="str">
        <f t="shared" si="7"/>
        <v>0-10</v>
      </c>
    </row>
    <row r="495" spans="1:16" x14ac:dyDescent="0.25">
      <c r="A495">
        <v>33</v>
      </c>
      <c r="B495" s="2">
        <v>1</v>
      </c>
      <c r="C495" s="2">
        <v>2</v>
      </c>
      <c r="D495" s="2">
        <v>7</v>
      </c>
      <c r="E495" s="2">
        <v>1</v>
      </c>
      <c r="F495" s="1">
        <v>6.2207684749999999</v>
      </c>
      <c r="G495" s="2">
        <v>14</v>
      </c>
      <c r="H495" s="2">
        <v>31</v>
      </c>
      <c r="I495" s="2">
        <v>80</v>
      </c>
      <c r="J495" s="2">
        <v>1</v>
      </c>
      <c r="K495" s="2">
        <v>1</v>
      </c>
      <c r="L49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95" t="str">
        <f>IF(Table1[[#This Row],[Experience Years]]&lt;=2,"Entry Level",IF(Table1[[#This Row],[Experience Years]]&lt;=7,"Mid Level",IF(Table1[[#This Row],[Experience Years]]&lt;=15,"Senior Level")))</f>
        <v>Mid Level</v>
      </c>
      <c r="N495" s="1">
        <f>AVERAGE(Table1[[#This Row],[Interview Score]:[Personality Score]])</f>
        <v>41.666666666666664</v>
      </c>
      <c r="O4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95" s="2" t="str">
        <f t="shared" si="7"/>
        <v>0-10</v>
      </c>
    </row>
    <row r="496" spans="1:16" x14ac:dyDescent="0.25">
      <c r="A496">
        <v>43</v>
      </c>
      <c r="B496" s="2">
        <v>0</v>
      </c>
      <c r="C496" s="2">
        <v>1</v>
      </c>
      <c r="D496" s="2">
        <v>7</v>
      </c>
      <c r="E496" s="2">
        <v>3</v>
      </c>
      <c r="F496" s="1">
        <v>29.449159720000001</v>
      </c>
      <c r="G496" s="2">
        <v>27</v>
      </c>
      <c r="H496" s="2">
        <v>21</v>
      </c>
      <c r="I496" s="2">
        <v>27</v>
      </c>
      <c r="J496" s="2">
        <v>1</v>
      </c>
      <c r="K496" s="2">
        <v>0</v>
      </c>
      <c r="L49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96" s="2" t="str">
        <f>IF(Table1[[#This Row],[Experience Years]]&lt;=2,"Entry Level",IF(Table1[[#This Row],[Experience Years]]&lt;=7,"Mid Level",IF(Table1[[#This Row],[Experience Years]]&lt;=15,"Senior Level")))</f>
        <v>Mid Level</v>
      </c>
      <c r="N496" s="1">
        <f>AVERAGE(Table1[[#This Row],[Interview Score]:[Personality Score]])</f>
        <v>25</v>
      </c>
      <c r="O4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96" s="2" t="str">
        <f t="shared" si="7"/>
        <v>20-30</v>
      </c>
    </row>
    <row r="497" spans="1:16" x14ac:dyDescent="0.25">
      <c r="A497">
        <v>37</v>
      </c>
      <c r="B497" s="2">
        <v>0</v>
      </c>
      <c r="C497" s="2">
        <v>3</v>
      </c>
      <c r="D497" s="2">
        <v>0</v>
      </c>
      <c r="E497" s="2">
        <v>4</v>
      </c>
      <c r="F497" s="1">
        <v>27.573962309999999</v>
      </c>
      <c r="G497" s="2">
        <v>94</v>
      </c>
      <c r="H497" s="2">
        <v>92</v>
      </c>
      <c r="I497" s="2">
        <v>18</v>
      </c>
      <c r="J497" s="2">
        <v>3</v>
      </c>
      <c r="K497" s="2">
        <v>0</v>
      </c>
      <c r="L49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497" s="2" t="str">
        <f>IF(Table1[[#This Row],[Experience Years]]&lt;=2,"Entry Level",IF(Table1[[#This Row],[Experience Years]]&lt;=7,"Mid Level",IF(Table1[[#This Row],[Experience Years]]&lt;=15,"Senior Level")))</f>
        <v>Entry Level</v>
      </c>
      <c r="N497" s="1">
        <f>AVERAGE(Table1[[#This Row],[Interview Score]:[Personality Score]])</f>
        <v>68</v>
      </c>
      <c r="O4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97" s="2" t="str">
        <f t="shared" si="7"/>
        <v>20-30</v>
      </c>
    </row>
    <row r="498" spans="1:16" x14ac:dyDescent="0.25">
      <c r="A498">
        <v>34</v>
      </c>
      <c r="B498" s="2">
        <v>0</v>
      </c>
      <c r="C498" s="2">
        <v>2</v>
      </c>
      <c r="D498" s="2">
        <v>12</v>
      </c>
      <c r="E498" s="2">
        <v>3</v>
      </c>
      <c r="F498" s="1">
        <v>23.89816072</v>
      </c>
      <c r="G498" s="2">
        <v>22</v>
      </c>
      <c r="H498" s="2">
        <v>65</v>
      </c>
      <c r="I498" s="2">
        <v>100</v>
      </c>
      <c r="J498" s="2">
        <v>2</v>
      </c>
      <c r="K498" s="2">
        <v>0</v>
      </c>
      <c r="L49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498" s="2" t="str">
        <f>IF(Table1[[#This Row],[Experience Years]]&lt;=2,"Entry Level",IF(Table1[[#This Row],[Experience Years]]&lt;=7,"Mid Level",IF(Table1[[#This Row],[Experience Years]]&lt;=15,"Senior Level")))</f>
        <v>Senior Level</v>
      </c>
      <c r="N498" s="1">
        <f>AVERAGE(Table1[[#This Row],[Interview Score]:[Personality Score]])</f>
        <v>62.333333333333336</v>
      </c>
      <c r="O4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498" s="2" t="str">
        <f t="shared" si="7"/>
        <v>20-30</v>
      </c>
    </row>
    <row r="499" spans="1:16" x14ac:dyDescent="0.25">
      <c r="A499">
        <v>41</v>
      </c>
      <c r="B499" s="2">
        <v>1</v>
      </c>
      <c r="C499" s="2">
        <v>3</v>
      </c>
      <c r="D499" s="2">
        <v>8</v>
      </c>
      <c r="E499" s="2">
        <v>5</v>
      </c>
      <c r="F499" s="1">
        <v>20.839466269999999</v>
      </c>
      <c r="G499" s="2">
        <v>16</v>
      </c>
      <c r="H499" s="2">
        <v>39</v>
      </c>
      <c r="I499" s="2">
        <v>86</v>
      </c>
      <c r="J499" s="2">
        <v>1</v>
      </c>
      <c r="K499" s="2">
        <v>1</v>
      </c>
      <c r="L49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499" t="str">
        <f>IF(Table1[[#This Row],[Experience Years]]&lt;=2,"Entry Level",IF(Table1[[#This Row],[Experience Years]]&lt;=7,"Mid Level",IF(Table1[[#This Row],[Experience Years]]&lt;=15,"Senior Level")))</f>
        <v>Senior Level</v>
      </c>
      <c r="N499" s="1">
        <f>AVERAGE(Table1[[#This Row],[Interview Score]:[Personality Score]])</f>
        <v>47</v>
      </c>
      <c r="O4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499" s="2" t="str">
        <f t="shared" si="7"/>
        <v>20-30</v>
      </c>
    </row>
    <row r="500" spans="1:16" x14ac:dyDescent="0.25">
      <c r="A500">
        <v>42</v>
      </c>
      <c r="B500" s="2">
        <v>0</v>
      </c>
      <c r="C500" s="2">
        <v>3</v>
      </c>
      <c r="D500" s="2">
        <v>5</v>
      </c>
      <c r="E500" s="2">
        <v>3</v>
      </c>
      <c r="F500" s="1">
        <v>22.560524239999999</v>
      </c>
      <c r="G500" s="2">
        <v>97</v>
      </c>
      <c r="H500" s="2">
        <v>37</v>
      </c>
      <c r="I500" s="2">
        <v>19</v>
      </c>
      <c r="J500" s="2">
        <v>2</v>
      </c>
      <c r="K500" s="2">
        <v>0</v>
      </c>
      <c r="L50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00" s="2" t="str">
        <f>IF(Table1[[#This Row],[Experience Years]]&lt;=2,"Entry Level",IF(Table1[[#This Row],[Experience Years]]&lt;=7,"Mid Level",IF(Table1[[#This Row],[Experience Years]]&lt;=15,"Senior Level")))</f>
        <v>Mid Level</v>
      </c>
      <c r="N500" s="1">
        <f>AVERAGE(Table1[[#This Row],[Interview Score]:[Personality Score]])</f>
        <v>51</v>
      </c>
      <c r="O5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00" s="2" t="str">
        <f t="shared" si="7"/>
        <v>20-30</v>
      </c>
    </row>
    <row r="501" spans="1:16" x14ac:dyDescent="0.25">
      <c r="A501">
        <v>21</v>
      </c>
      <c r="B501" s="2">
        <v>1</v>
      </c>
      <c r="C501" s="2">
        <v>2</v>
      </c>
      <c r="D501" s="2">
        <v>15</v>
      </c>
      <c r="E501" s="2">
        <v>4</v>
      </c>
      <c r="F501" s="1">
        <v>29.464896710000001</v>
      </c>
      <c r="G501" s="2">
        <v>12</v>
      </c>
      <c r="H501" s="2">
        <v>47</v>
      </c>
      <c r="I501" s="2">
        <v>12</v>
      </c>
      <c r="J501" s="2">
        <v>1</v>
      </c>
      <c r="K501" s="2">
        <v>0</v>
      </c>
      <c r="L50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01" t="str">
        <f>IF(Table1[[#This Row],[Experience Years]]&lt;=2,"Entry Level",IF(Table1[[#This Row],[Experience Years]]&lt;=7,"Mid Level",IF(Table1[[#This Row],[Experience Years]]&lt;=15,"Senior Level")))</f>
        <v>Senior Level</v>
      </c>
      <c r="N501" s="1">
        <f>AVERAGE(Table1[[#This Row],[Interview Score]:[Personality Score]])</f>
        <v>23.666666666666668</v>
      </c>
      <c r="O5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01" s="2" t="str">
        <f t="shared" si="7"/>
        <v>20-30</v>
      </c>
    </row>
    <row r="502" spans="1:16" x14ac:dyDescent="0.25">
      <c r="A502">
        <v>50</v>
      </c>
      <c r="B502" s="2">
        <v>1</v>
      </c>
      <c r="C502" s="2">
        <v>2</v>
      </c>
      <c r="D502" s="2">
        <v>8</v>
      </c>
      <c r="E502" s="2">
        <v>4</v>
      </c>
      <c r="F502" s="1">
        <v>1.10382588</v>
      </c>
      <c r="G502" s="2">
        <v>13</v>
      </c>
      <c r="H502" s="2">
        <v>54</v>
      </c>
      <c r="I502" s="2">
        <v>76</v>
      </c>
      <c r="J502" s="2">
        <v>2</v>
      </c>
      <c r="K502" s="2">
        <v>0</v>
      </c>
      <c r="L50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02" t="str">
        <f>IF(Table1[[#This Row],[Experience Years]]&lt;=2,"Entry Level",IF(Table1[[#This Row],[Experience Years]]&lt;=7,"Mid Level",IF(Table1[[#This Row],[Experience Years]]&lt;=15,"Senior Level")))</f>
        <v>Senior Level</v>
      </c>
      <c r="N502" s="1">
        <f>AVERAGE(Table1[[#This Row],[Interview Score]:[Personality Score]])</f>
        <v>47.666666666666664</v>
      </c>
      <c r="O5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02" s="2" t="str">
        <f t="shared" si="7"/>
        <v>0-10</v>
      </c>
    </row>
    <row r="503" spans="1:16" x14ac:dyDescent="0.25">
      <c r="A503">
        <v>46</v>
      </c>
      <c r="B503" s="2">
        <v>0</v>
      </c>
      <c r="C503" s="2">
        <v>4</v>
      </c>
      <c r="D503" s="2">
        <v>2</v>
      </c>
      <c r="E503" s="2">
        <v>4</v>
      </c>
      <c r="F503" s="1">
        <v>14.035438709999999</v>
      </c>
      <c r="G503" s="2">
        <v>10</v>
      </c>
      <c r="H503" s="2">
        <v>74</v>
      </c>
      <c r="I503" s="2">
        <v>42</v>
      </c>
      <c r="J503" s="2">
        <v>2</v>
      </c>
      <c r="K503" s="2">
        <v>0</v>
      </c>
      <c r="L50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03" s="2" t="str">
        <f>IF(Table1[[#This Row],[Experience Years]]&lt;=2,"Entry Level",IF(Table1[[#This Row],[Experience Years]]&lt;=7,"Mid Level",IF(Table1[[#This Row],[Experience Years]]&lt;=15,"Senior Level")))</f>
        <v>Entry Level</v>
      </c>
      <c r="N503" s="1">
        <f>AVERAGE(Table1[[#This Row],[Interview Score]:[Personality Score]])</f>
        <v>42</v>
      </c>
      <c r="O5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03" s="2" t="str">
        <f t="shared" si="7"/>
        <v>10-20</v>
      </c>
    </row>
    <row r="504" spans="1:16" x14ac:dyDescent="0.25">
      <c r="A504">
        <v>29</v>
      </c>
      <c r="B504" s="2">
        <v>0</v>
      </c>
      <c r="C504" s="2">
        <v>1</v>
      </c>
      <c r="D504" s="2">
        <v>11</v>
      </c>
      <c r="E504" s="2">
        <v>5</v>
      </c>
      <c r="F504" s="1">
        <v>26.91398603</v>
      </c>
      <c r="G504" s="2">
        <v>27</v>
      </c>
      <c r="H504" s="2">
        <v>80</v>
      </c>
      <c r="I504" s="2">
        <v>10</v>
      </c>
      <c r="J504" s="2">
        <v>3</v>
      </c>
      <c r="K504" s="2">
        <v>0</v>
      </c>
      <c r="L50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04" s="2" t="str">
        <f>IF(Table1[[#This Row],[Experience Years]]&lt;=2,"Entry Level",IF(Table1[[#This Row],[Experience Years]]&lt;=7,"Mid Level",IF(Table1[[#This Row],[Experience Years]]&lt;=15,"Senior Level")))</f>
        <v>Senior Level</v>
      </c>
      <c r="N504" s="1">
        <f>AVERAGE(Table1[[#This Row],[Interview Score]:[Personality Score]])</f>
        <v>39</v>
      </c>
      <c r="O5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04" s="2" t="str">
        <f t="shared" si="7"/>
        <v>20-30</v>
      </c>
    </row>
    <row r="505" spans="1:16" x14ac:dyDescent="0.25">
      <c r="A505">
        <v>21</v>
      </c>
      <c r="B505" s="2">
        <v>1</v>
      </c>
      <c r="C505" s="2">
        <v>3</v>
      </c>
      <c r="D505" s="2">
        <v>2</v>
      </c>
      <c r="E505" s="2">
        <v>4</v>
      </c>
      <c r="F505" s="1">
        <v>37.11080493</v>
      </c>
      <c r="G505" s="2">
        <v>41</v>
      </c>
      <c r="H505" s="2">
        <v>54</v>
      </c>
      <c r="I505" s="2">
        <v>47</v>
      </c>
      <c r="J505" s="2">
        <v>2</v>
      </c>
      <c r="K505" s="2">
        <v>0</v>
      </c>
      <c r="L50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05" t="str">
        <f>IF(Table1[[#This Row],[Experience Years]]&lt;=2,"Entry Level",IF(Table1[[#This Row],[Experience Years]]&lt;=7,"Mid Level",IF(Table1[[#This Row],[Experience Years]]&lt;=15,"Senior Level")))</f>
        <v>Entry Level</v>
      </c>
      <c r="N505" s="1">
        <f>AVERAGE(Table1[[#This Row],[Interview Score]:[Personality Score]])</f>
        <v>47.333333333333336</v>
      </c>
      <c r="O5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05" s="2" t="str">
        <f t="shared" si="7"/>
        <v>30-40</v>
      </c>
    </row>
    <row r="506" spans="1:16" x14ac:dyDescent="0.25">
      <c r="A506">
        <v>45</v>
      </c>
      <c r="B506" s="2">
        <v>0</v>
      </c>
      <c r="C506" s="2">
        <v>1</v>
      </c>
      <c r="D506" s="2">
        <v>5</v>
      </c>
      <c r="E506" s="2">
        <v>1</v>
      </c>
      <c r="F506" s="1">
        <v>9.7078346199999999</v>
      </c>
      <c r="G506" s="2">
        <v>95</v>
      </c>
      <c r="H506" s="2">
        <v>50</v>
      </c>
      <c r="I506" s="2">
        <v>14</v>
      </c>
      <c r="J506" s="2">
        <v>3</v>
      </c>
      <c r="K506" s="2">
        <v>0</v>
      </c>
      <c r="L50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06" s="2" t="str">
        <f>IF(Table1[[#This Row],[Experience Years]]&lt;=2,"Entry Level",IF(Table1[[#This Row],[Experience Years]]&lt;=7,"Mid Level",IF(Table1[[#This Row],[Experience Years]]&lt;=15,"Senior Level")))</f>
        <v>Mid Level</v>
      </c>
      <c r="N506" s="1">
        <f>AVERAGE(Table1[[#This Row],[Interview Score]:[Personality Score]])</f>
        <v>53</v>
      </c>
      <c r="O5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06" s="2" t="str">
        <f t="shared" si="7"/>
        <v>0-10</v>
      </c>
    </row>
    <row r="507" spans="1:16" x14ac:dyDescent="0.25">
      <c r="A507">
        <v>36</v>
      </c>
      <c r="B507" s="2">
        <v>1</v>
      </c>
      <c r="C507" s="2">
        <v>2</v>
      </c>
      <c r="D507" s="2">
        <v>8</v>
      </c>
      <c r="E507" s="2">
        <v>4</v>
      </c>
      <c r="F507" s="1">
        <v>28.344058690000001</v>
      </c>
      <c r="G507" s="2">
        <v>98</v>
      </c>
      <c r="H507" s="2">
        <v>59</v>
      </c>
      <c r="I507" s="2">
        <v>16</v>
      </c>
      <c r="J507" s="2">
        <v>3</v>
      </c>
      <c r="K507" s="2">
        <v>0</v>
      </c>
      <c r="L50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07" t="str">
        <f>IF(Table1[[#This Row],[Experience Years]]&lt;=2,"Entry Level",IF(Table1[[#This Row],[Experience Years]]&lt;=7,"Mid Level",IF(Table1[[#This Row],[Experience Years]]&lt;=15,"Senior Level")))</f>
        <v>Senior Level</v>
      </c>
      <c r="N507" s="1">
        <f>AVERAGE(Table1[[#This Row],[Interview Score]:[Personality Score]])</f>
        <v>57.666666666666664</v>
      </c>
      <c r="O5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07" s="2" t="str">
        <f t="shared" si="7"/>
        <v>20-30</v>
      </c>
    </row>
    <row r="508" spans="1:16" x14ac:dyDescent="0.25">
      <c r="A508">
        <v>27</v>
      </c>
      <c r="B508" s="2">
        <v>0</v>
      </c>
      <c r="C508" s="2">
        <v>2</v>
      </c>
      <c r="D508" s="2">
        <v>6</v>
      </c>
      <c r="E508" s="2">
        <v>3</v>
      </c>
      <c r="F508" s="1">
        <v>36.722984189999998</v>
      </c>
      <c r="G508" s="2">
        <v>60</v>
      </c>
      <c r="H508" s="2">
        <v>7</v>
      </c>
      <c r="I508" s="2">
        <v>53</v>
      </c>
      <c r="J508" s="2">
        <v>3</v>
      </c>
      <c r="K508" s="2">
        <v>0</v>
      </c>
      <c r="L50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08" s="2" t="str">
        <f>IF(Table1[[#This Row],[Experience Years]]&lt;=2,"Entry Level",IF(Table1[[#This Row],[Experience Years]]&lt;=7,"Mid Level",IF(Table1[[#This Row],[Experience Years]]&lt;=15,"Senior Level")))</f>
        <v>Mid Level</v>
      </c>
      <c r="N508" s="1">
        <f>AVERAGE(Table1[[#This Row],[Interview Score]:[Personality Score]])</f>
        <v>40</v>
      </c>
      <c r="O5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08" s="2" t="str">
        <f t="shared" si="7"/>
        <v>30-40</v>
      </c>
    </row>
    <row r="509" spans="1:16" x14ac:dyDescent="0.25">
      <c r="A509">
        <v>20</v>
      </c>
      <c r="B509" s="2">
        <v>0</v>
      </c>
      <c r="C509" s="2">
        <v>4</v>
      </c>
      <c r="D509" s="2">
        <v>13</v>
      </c>
      <c r="E509" s="2">
        <v>3</v>
      </c>
      <c r="F509" s="1">
        <v>23.2313829</v>
      </c>
      <c r="G509" s="2">
        <v>63</v>
      </c>
      <c r="H509" s="2">
        <v>85</v>
      </c>
      <c r="I509" s="2">
        <v>49</v>
      </c>
      <c r="J509" s="2">
        <v>2</v>
      </c>
      <c r="K509" s="2">
        <v>0</v>
      </c>
      <c r="L50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09" s="2" t="str">
        <f>IF(Table1[[#This Row],[Experience Years]]&lt;=2,"Entry Level",IF(Table1[[#This Row],[Experience Years]]&lt;=7,"Mid Level",IF(Table1[[#This Row],[Experience Years]]&lt;=15,"Senior Level")))</f>
        <v>Senior Level</v>
      </c>
      <c r="N509" s="1">
        <f>AVERAGE(Table1[[#This Row],[Interview Score]:[Personality Score]])</f>
        <v>65.666666666666671</v>
      </c>
      <c r="O5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09" s="2" t="str">
        <f t="shared" si="7"/>
        <v>20-30</v>
      </c>
    </row>
    <row r="510" spans="1:16" x14ac:dyDescent="0.25">
      <c r="A510">
        <v>28</v>
      </c>
      <c r="B510" s="2">
        <v>1</v>
      </c>
      <c r="C510" s="2">
        <v>4</v>
      </c>
      <c r="D510" s="2">
        <v>12</v>
      </c>
      <c r="E510" s="2">
        <v>3</v>
      </c>
      <c r="F510" s="1">
        <v>2.3540566840000001</v>
      </c>
      <c r="G510" s="2">
        <v>30</v>
      </c>
      <c r="H510" s="2">
        <v>67</v>
      </c>
      <c r="I510" s="2">
        <v>27</v>
      </c>
      <c r="J510" s="2">
        <v>2</v>
      </c>
      <c r="K510" s="2">
        <v>0</v>
      </c>
      <c r="L51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10" t="str">
        <f>IF(Table1[[#This Row],[Experience Years]]&lt;=2,"Entry Level",IF(Table1[[#This Row],[Experience Years]]&lt;=7,"Mid Level",IF(Table1[[#This Row],[Experience Years]]&lt;=15,"Senior Level")))</f>
        <v>Senior Level</v>
      </c>
      <c r="N510" s="1">
        <f>AVERAGE(Table1[[#This Row],[Interview Score]:[Personality Score]])</f>
        <v>41.333333333333336</v>
      </c>
      <c r="O5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10" s="2" t="str">
        <f t="shared" si="7"/>
        <v>0-10</v>
      </c>
    </row>
    <row r="511" spans="1:16" x14ac:dyDescent="0.25">
      <c r="A511">
        <v>30</v>
      </c>
      <c r="B511" s="2">
        <v>0</v>
      </c>
      <c r="C511" s="2">
        <v>1</v>
      </c>
      <c r="D511" s="2">
        <v>2</v>
      </c>
      <c r="E511" s="2">
        <v>5</v>
      </c>
      <c r="F511" s="1">
        <v>23.463407920000002</v>
      </c>
      <c r="G511" s="2">
        <v>80</v>
      </c>
      <c r="H511" s="2">
        <v>74</v>
      </c>
      <c r="I511" s="2">
        <v>82</v>
      </c>
      <c r="J511" s="2">
        <v>2</v>
      </c>
      <c r="K511" s="2">
        <v>0</v>
      </c>
      <c r="L51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11" s="2" t="str">
        <f>IF(Table1[[#This Row],[Experience Years]]&lt;=2,"Entry Level",IF(Table1[[#This Row],[Experience Years]]&lt;=7,"Mid Level",IF(Table1[[#This Row],[Experience Years]]&lt;=15,"Senior Level")))</f>
        <v>Entry Level</v>
      </c>
      <c r="N511" s="1">
        <f>AVERAGE(Table1[[#This Row],[Interview Score]:[Personality Score]])</f>
        <v>78.666666666666671</v>
      </c>
      <c r="O5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11" s="2" t="str">
        <f t="shared" si="7"/>
        <v>20-30</v>
      </c>
    </row>
    <row r="512" spans="1:16" x14ac:dyDescent="0.25">
      <c r="A512">
        <v>41</v>
      </c>
      <c r="B512" s="2">
        <v>1</v>
      </c>
      <c r="C512" s="2">
        <v>1</v>
      </c>
      <c r="D512" s="2">
        <v>2</v>
      </c>
      <c r="E512" s="2">
        <v>3</v>
      </c>
      <c r="F512" s="1">
        <v>15.82224439</v>
      </c>
      <c r="G512" s="2">
        <v>72</v>
      </c>
      <c r="H512" s="2">
        <v>71</v>
      </c>
      <c r="I512" s="2">
        <v>3</v>
      </c>
      <c r="J512" s="2">
        <v>1</v>
      </c>
      <c r="K512" s="2">
        <v>1</v>
      </c>
      <c r="L51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12" t="str">
        <f>IF(Table1[[#This Row],[Experience Years]]&lt;=2,"Entry Level",IF(Table1[[#This Row],[Experience Years]]&lt;=7,"Mid Level",IF(Table1[[#This Row],[Experience Years]]&lt;=15,"Senior Level")))</f>
        <v>Entry Level</v>
      </c>
      <c r="N512" s="1">
        <f>AVERAGE(Table1[[#This Row],[Interview Score]:[Personality Score]])</f>
        <v>48.666666666666664</v>
      </c>
      <c r="O5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12" s="2" t="str">
        <f t="shared" si="7"/>
        <v>10-20</v>
      </c>
    </row>
    <row r="513" spans="1:16" x14ac:dyDescent="0.25">
      <c r="A513">
        <v>35</v>
      </c>
      <c r="B513" s="2">
        <v>0</v>
      </c>
      <c r="C513" s="2">
        <v>3</v>
      </c>
      <c r="D513" s="2">
        <v>1</v>
      </c>
      <c r="E513" s="2">
        <v>5</v>
      </c>
      <c r="F513" s="1">
        <v>47.482480389999999</v>
      </c>
      <c r="G513" s="2">
        <v>9</v>
      </c>
      <c r="H513" s="2">
        <v>8</v>
      </c>
      <c r="I513" s="2">
        <v>21</v>
      </c>
      <c r="J513" s="2">
        <v>1</v>
      </c>
      <c r="K513" s="2">
        <v>0</v>
      </c>
      <c r="L51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13" s="2" t="str">
        <f>IF(Table1[[#This Row],[Experience Years]]&lt;=2,"Entry Level",IF(Table1[[#This Row],[Experience Years]]&lt;=7,"Mid Level",IF(Table1[[#This Row],[Experience Years]]&lt;=15,"Senior Level")))</f>
        <v>Entry Level</v>
      </c>
      <c r="N513" s="1">
        <f>AVERAGE(Table1[[#This Row],[Interview Score]:[Personality Score]])</f>
        <v>12.666666666666666</v>
      </c>
      <c r="O5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13" s="2" t="str">
        <f t="shared" si="7"/>
        <v>40-50</v>
      </c>
    </row>
    <row r="514" spans="1:16" x14ac:dyDescent="0.25">
      <c r="A514">
        <v>26</v>
      </c>
      <c r="B514" s="2">
        <v>1</v>
      </c>
      <c r="C514" s="2">
        <v>2</v>
      </c>
      <c r="D514" s="2">
        <v>8</v>
      </c>
      <c r="E514" s="2">
        <v>5</v>
      </c>
      <c r="F514" s="1">
        <v>7.2306692840000002</v>
      </c>
      <c r="G514" s="2">
        <v>7</v>
      </c>
      <c r="H514" s="2">
        <v>89</v>
      </c>
      <c r="I514" s="2">
        <v>85</v>
      </c>
      <c r="J514" s="2">
        <v>2</v>
      </c>
      <c r="K514" s="2">
        <v>0</v>
      </c>
      <c r="L51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14" t="str">
        <f>IF(Table1[[#This Row],[Experience Years]]&lt;=2,"Entry Level",IF(Table1[[#This Row],[Experience Years]]&lt;=7,"Mid Level",IF(Table1[[#This Row],[Experience Years]]&lt;=15,"Senior Level")))</f>
        <v>Senior Level</v>
      </c>
      <c r="N514" s="1">
        <f>AVERAGE(Table1[[#This Row],[Interview Score]:[Personality Score]])</f>
        <v>60.333333333333336</v>
      </c>
      <c r="O5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14" s="2" t="str">
        <f t="shared" ref="P514:P577" si="8">IF(F514&lt;10,"0-10",IF(F514&lt;20,"10-20",IF(F514&lt;30,"20-30",IF(F514&lt;40,"30-40",IF(F514&lt;50,"40-50","50+")))))</f>
        <v>0-10</v>
      </c>
    </row>
    <row r="515" spans="1:16" x14ac:dyDescent="0.25">
      <c r="A515">
        <v>48</v>
      </c>
      <c r="B515" s="2">
        <v>1</v>
      </c>
      <c r="C515" s="2">
        <v>1</v>
      </c>
      <c r="D515" s="2">
        <v>12</v>
      </c>
      <c r="E515" s="2">
        <v>4</v>
      </c>
      <c r="F515" s="1">
        <v>33.623797779999997</v>
      </c>
      <c r="G515" s="2">
        <v>20</v>
      </c>
      <c r="H515" s="2">
        <v>1</v>
      </c>
      <c r="I515" s="2">
        <v>100</v>
      </c>
      <c r="J515" s="2">
        <v>2</v>
      </c>
      <c r="K515" s="2">
        <v>0</v>
      </c>
      <c r="L51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15" t="str">
        <f>IF(Table1[[#This Row],[Experience Years]]&lt;=2,"Entry Level",IF(Table1[[#This Row],[Experience Years]]&lt;=7,"Mid Level",IF(Table1[[#This Row],[Experience Years]]&lt;=15,"Senior Level")))</f>
        <v>Senior Level</v>
      </c>
      <c r="N515" s="1">
        <f>AVERAGE(Table1[[#This Row],[Interview Score]:[Personality Score]])</f>
        <v>40.333333333333336</v>
      </c>
      <c r="O5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15" s="2" t="str">
        <f t="shared" si="8"/>
        <v>30-40</v>
      </c>
    </row>
    <row r="516" spans="1:16" x14ac:dyDescent="0.25">
      <c r="A516">
        <v>29</v>
      </c>
      <c r="B516" s="2">
        <v>0</v>
      </c>
      <c r="C516" s="2">
        <v>2</v>
      </c>
      <c r="D516" s="2">
        <v>14</v>
      </c>
      <c r="E516" s="2">
        <v>1</v>
      </c>
      <c r="F516" s="1">
        <v>3.6359883169999998</v>
      </c>
      <c r="G516" s="2">
        <v>76</v>
      </c>
      <c r="H516" s="2">
        <v>79</v>
      </c>
      <c r="I516" s="2">
        <v>38</v>
      </c>
      <c r="J516" s="2">
        <v>3</v>
      </c>
      <c r="K516" s="2">
        <v>0</v>
      </c>
      <c r="L51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16" s="2" t="str">
        <f>IF(Table1[[#This Row],[Experience Years]]&lt;=2,"Entry Level",IF(Table1[[#This Row],[Experience Years]]&lt;=7,"Mid Level",IF(Table1[[#This Row],[Experience Years]]&lt;=15,"Senior Level")))</f>
        <v>Senior Level</v>
      </c>
      <c r="N516" s="1">
        <f>AVERAGE(Table1[[#This Row],[Interview Score]:[Personality Score]])</f>
        <v>64.333333333333329</v>
      </c>
      <c r="O5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16" s="2" t="str">
        <f t="shared" si="8"/>
        <v>0-10</v>
      </c>
    </row>
    <row r="517" spans="1:16" x14ac:dyDescent="0.25">
      <c r="A517">
        <v>42</v>
      </c>
      <c r="B517" s="2">
        <v>1</v>
      </c>
      <c r="C517" s="2">
        <v>2</v>
      </c>
      <c r="D517" s="2">
        <v>2</v>
      </c>
      <c r="E517" s="2">
        <v>4</v>
      </c>
      <c r="F517" s="1">
        <v>23.308521890000002</v>
      </c>
      <c r="G517" s="2">
        <v>58</v>
      </c>
      <c r="H517" s="2">
        <v>94</v>
      </c>
      <c r="I517" s="2">
        <v>33</v>
      </c>
      <c r="J517" s="2">
        <v>1</v>
      </c>
      <c r="K517" s="2">
        <v>0</v>
      </c>
      <c r="L51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17" t="str">
        <f>IF(Table1[[#This Row],[Experience Years]]&lt;=2,"Entry Level",IF(Table1[[#This Row],[Experience Years]]&lt;=7,"Mid Level",IF(Table1[[#This Row],[Experience Years]]&lt;=15,"Senior Level")))</f>
        <v>Entry Level</v>
      </c>
      <c r="N517" s="1">
        <f>AVERAGE(Table1[[#This Row],[Interview Score]:[Personality Score]])</f>
        <v>61.666666666666664</v>
      </c>
      <c r="O5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17" s="2" t="str">
        <f t="shared" si="8"/>
        <v>20-30</v>
      </c>
    </row>
    <row r="518" spans="1:16" x14ac:dyDescent="0.25">
      <c r="A518">
        <v>45</v>
      </c>
      <c r="B518" s="2">
        <v>0</v>
      </c>
      <c r="C518" s="2">
        <v>4</v>
      </c>
      <c r="D518" s="2">
        <v>10</v>
      </c>
      <c r="E518" s="2">
        <v>4</v>
      </c>
      <c r="F518" s="1">
        <v>28.698974360000001</v>
      </c>
      <c r="G518" s="2">
        <v>49</v>
      </c>
      <c r="H518" s="2">
        <v>69</v>
      </c>
      <c r="I518" s="2">
        <v>96</v>
      </c>
      <c r="J518" s="2">
        <v>1</v>
      </c>
      <c r="K518" s="2">
        <v>1</v>
      </c>
      <c r="L51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18" s="2" t="str">
        <f>IF(Table1[[#This Row],[Experience Years]]&lt;=2,"Entry Level",IF(Table1[[#This Row],[Experience Years]]&lt;=7,"Mid Level",IF(Table1[[#This Row],[Experience Years]]&lt;=15,"Senior Level")))</f>
        <v>Senior Level</v>
      </c>
      <c r="N518" s="1">
        <f>AVERAGE(Table1[[#This Row],[Interview Score]:[Personality Score]])</f>
        <v>71.333333333333329</v>
      </c>
      <c r="O5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18" s="2" t="str">
        <f t="shared" si="8"/>
        <v>20-30</v>
      </c>
    </row>
    <row r="519" spans="1:16" x14ac:dyDescent="0.25">
      <c r="A519">
        <v>22</v>
      </c>
      <c r="B519" s="2">
        <v>0</v>
      </c>
      <c r="C519" s="2">
        <v>2</v>
      </c>
      <c r="D519" s="2">
        <v>4</v>
      </c>
      <c r="E519" s="2">
        <v>5</v>
      </c>
      <c r="F519" s="1">
        <v>15.897746570000001</v>
      </c>
      <c r="G519" s="2">
        <v>68</v>
      </c>
      <c r="H519" s="2">
        <v>84</v>
      </c>
      <c r="I519" s="2">
        <v>43</v>
      </c>
      <c r="J519" s="2">
        <v>2</v>
      </c>
      <c r="K519" s="2">
        <v>0</v>
      </c>
      <c r="L51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19" s="2" t="str">
        <f>IF(Table1[[#This Row],[Experience Years]]&lt;=2,"Entry Level",IF(Table1[[#This Row],[Experience Years]]&lt;=7,"Mid Level",IF(Table1[[#This Row],[Experience Years]]&lt;=15,"Senior Level")))</f>
        <v>Mid Level</v>
      </c>
      <c r="N519" s="1">
        <f>AVERAGE(Table1[[#This Row],[Interview Score]:[Personality Score]])</f>
        <v>65</v>
      </c>
      <c r="O5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19" s="2" t="str">
        <f t="shared" si="8"/>
        <v>10-20</v>
      </c>
    </row>
    <row r="520" spans="1:16" x14ac:dyDescent="0.25">
      <c r="A520">
        <v>37</v>
      </c>
      <c r="B520" s="2">
        <v>0</v>
      </c>
      <c r="C520" s="2">
        <v>2</v>
      </c>
      <c r="D520" s="2">
        <v>13</v>
      </c>
      <c r="E520" s="2">
        <v>5</v>
      </c>
      <c r="F520" s="1">
        <v>23.753781780000001</v>
      </c>
      <c r="G520" s="2">
        <v>69</v>
      </c>
      <c r="H520" s="2">
        <v>89</v>
      </c>
      <c r="I520" s="2">
        <v>41</v>
      </c>
      <c r="J520" s="2">
        <v>2</v>
      </c>
      <c r="K520" s="2">
        <v>0</v>
      </c>
      <c r="L52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20" s="2" t="str">
        <f>IF(Table1[[#This Row],[Experience Years]]&lt;=2,"Entry Level",IF(Table1[[#This Row],[Experience Years]]&lt;=7,"Mid Level",IF(Table1[[#This Row],[Experience Years]]&lt;=15,"Senior Level")))</f>
        <v>Senior Level</v>
      </c>
      <c r="N520" s="1">
        <f>AVERAGE(Table1[[#This Row],[Interview Score]:[Personality Score]])</f>
        <v>66.333333333333329</v>
      </c>
      <c r="O5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20" s="2" t="str">
        <f t="shared" si="8"/>
        <v>20-30</v>
      </c>
    </row>
    <row r="521" spans="1:16" x14ac:dyDescent="0.25">
      <c r="A521">
        <v>44</v>
      </c>
      <c r="B521" s="2">
        <v>1</v>
      </c>
      <c r="C521" s="2">
        <v>2</v>
      </c>
      <c r="D521" s="2">
        <v>13</v>
      </c>
      <c r="E521" s="2">
        <v>3</v>
      </c>
      <c r="F521" s="1">
        <v>9.1776897270000006</v>
      </c>
      <c r="G521" s="2">
        <v>29</v>
      </c>
      <c r="H521" s="2">
        <v>58</v>
      </c>
      <c r="I521" s="2">
        <v>39</v>
      </c>
      <c r="J521" s="2">
        <v>1</v>
      </c>
      <c r="K521" s="2">
        <v>1</v>
      </c>
      <c r="L52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21" t="str">
        <f>IF(Table1[[#This Row],[Experience Years]]&lt;=2,"Entry Level",IF(Table1[[#This Row],[Experience Years]]&lt;=7,"Mid Level",IF(Table1[[#This Row],[Experience Years]]&lt;=15,"Senior Level")))</f>
        <v>Senior Level</v>
      </c>
      <c r="N521" s="1">
        <f>AVERAGE(Table1[[#This Row],[Interview Score]:[Personality Score]])</f>
        <v>42</v>
      </c>
      <c r="O5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21" s="2" t="str">
        <f t="shared" si="8"/>
        <v>0-10</v>
      </c>
    </row>
    <row r="522" spans="1:16" x14ac:dyDescent="0.25">
      <c r="A522">
        <v>43</v>
      </c>
      <c r="B522" s="2">
        <v>1</v>
      </c>
      <c r="C522" s="2">
        <v>3</v>
      </c>
      <c r="D522" s="2">
        <v>8</v>
      </c>
      <c r="E522" s="2">
        <v>3</v>
      </c>
      <c r="F522" s="1">
        <v>16.206192470000001</v>
      </c>
      <c r="G522" s="2">
        <v>94</v>
      </c>
      <c r="H522" s="2">
        <v>18</v>
      </c>
      <c r="I522" s="2">
        <v>96</v>
      </c>
      <c r="J522" s="2">
        <v>3</v>
      </c>
      <c r="K522" s="2">
        <v>1</v>
      </c>
      <c r="L52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22" t="str">
        <f>IF(Table1[[#This Row],[Experience Years]]&lt;=2,"Entry Level",IF(Table1[[#This Row],[Experience Years]]&lt;=7,"Mid Level",IF(Table1[[#This Row],[Experience Years]]&lt;=15,"Senior Level")))</f>
        <v>Senior Level</v>
      </c>
      <c r="N522" s="1">
        <f>AVERAGE(Table1[[#This Row],[Interview Score]:[Personality Score]])</f>
        <v>69.333333333333329</v>
      </c>
      <c r="O5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22" s="2" t="str">
        <f t="shared" si="8"/>
        <v>10-20</v>
      </c>
    </row>
    <row r="523" spans="1:16" x14ac:dyDescent="0.25">
      <c r="A523">
        <v>32</v>
      </c>
      <c r="B523" s="2">
        <v>0</v>
      </c>
      <c r="C523" s="2">
        <v>2</v>
      </c>
      <c r="D523" s="2">
        <v>7</v>
      </c>
      <c r="E523" s="2">
        <v>4</v>
      </c>
      <c r="F523" s="1">
        <v>32.055316249999997</v>
      </c>
      <c r="G523" s="2">
        <v>16</v>
      </c>
      <c r="H523" s="2">
        <v>27</v>
      </c>
      <c r="I523" s="2">
        <v>11</v>
      </c>
      <c r="J523" s="2">
        <v>2</v>
      </c>
      <c r="K523" s="2">
        <v>0</v>
      </c>
      <c r="L52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23" s="2" t="str">
        <f>IF(Table1[[#This Row],[Experience Years]]&lt;=2,"Entry Level",IF(Table1[[#This Row],[Experience Years]]&lt;=7,"Mid Level",IF(Table1[[#This Row],[Experience Years]]&lt;=15,"Senior Level")))</f>
        <v>Mid Level</v>
      </c>
      <c r="N523" s="1">
        <f>AVERAGE(Table1[[#This Row],[Interview Score]:[Personality Score]])</f>
        <v>18</v>
      </c>
      <c r="O5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23" s="2" t="str">
        <f t="shared" si="8"/>
        <v>30-40</v>
      </c>
    </row>
    <row r="524" spans="1:16" x14ac:dyDescent="0.25">
      <c r="A524">
        <v>47</v>
      </c>
      <c r="B524" s="2">
        <v>0</v>
      </c>
      <c r="C524" s="2">
        <v>2</v>
      </c>
      <c r="D524" s="2">
        <v>1</v>
      </c>
      <c r="E524" s="2">
        <v>2</v>
      </c>
      <c r="F524" s="1">
        <v>16.09000279</v>
      </c>
      <c r="G524" s="2">
        <v>74</v>
      </c>
      <c r="H524" s="2">
        <v>71</v>
      </c>
      <c r="I524" s="2">
        <v>1</v>
      </c>
      <c r="J524" s="2">
        <v>2</v>
      </c>
      <c r="K524" s="2">
        <v>0</v>
      </c>
      <c r="L52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24" s="2" t="str">
        <f>IF(Table1[[#This Row],[Experience Years]]&lt;=2,"Entry Level",IF(Table1[[#This Row],[Experience Years]]&lt;=7,"Mid Level",IF(Table1[[#This Row],[Experience Years]]&lt;=15,"Senior Level")))</f>
        <v>Entry Level</v>
      </c>
      <c r="N524" s="1">
        <f>AVERAGE(Table1[[#This Row],[Interview Score]:[Personality Score]])</f>
        <v>48.666666666666664</v>
      </c>
      <c r="O5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24" s="2" t="str">
        <f t="shared" si="8"/>
        <v>10-20</v>
      </c>
    </row>
    <row r="525" spans="1:16" x14ac:dyDescent="0.25">
      <c r="A525">
        <v>45</v>
      </c>
      <c r="B525" s="2">
        <v>1</v>
      </c>
      <c r="C525" s="2">
        <v>2</v>
      </c>
      <c r="D525" s="2">
        <v>2</v>
      </c>
      <c r="E525" s="2">
        <v>2</v>
      </c>
      <c r="F525" s="1">
        <v>45.987153919999997</v>
      </c>
      <c r="G525" s="2">
        <v>19</v>
      </c>
      <c r="H525" s="2">
        <v>13</v>
      </c>
      <c r="I525" s="2">
        <v>27</v>
      </c>
      <c r="J525" s="2">
        <v>3</v>
      </c>
      <c r="K525" s="2">
        <v>0</v>
      </c>
      <c r="L52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25" t="str">
        <f>IF(Table1[[#This Row],[Experience Years]]&lt;=2,"Entry Level",IF(Table1[[#This Row],[Experience Years]]&lt;=7,"Mid Level",IF(Table1[[#This Row],[Experience Years]]&lt;=15,"Senior Level")))</f>
        <v>Entry Level</v>
      </c>
      <c r="N525" s="1">
        <f>AVERAGE(Table1[[#This Row],[Interview Score]:[Personality Score]])</f>
        <v>19.666666666666668</v>
      </c>
      <c r="O5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25" s="2" t="str">
        <f t="shared" si="8"/>
        <v>40-50</v>
      </c>
    </row>
    <row r="526" spans="1:16" x14ac:dyDescent="0.25">
      <c r="A526">
        <v>26</v>
      </c>
      <c r="B526" s="2">
        <v>0</v>
      </c>
      <c r="C526" s="2">
        <v>3</v>
      </c>
      <c r="D526" s="2">
        <v>15</v>
      </c>
      <c r="E526" s="2">
        <v>3</v>
      </c>
      <c r="F526" s="1">
        <v>32.420347880000001</v>
      </c>
      <c r="G526" s="2">
        <v>47</v>
      </c>
      <c r="H526" s="2">
        <v>23</v>
      </c>
      <c r="I526" s="2">
        <v>73</v>
      </c>
      <c r="J526" s="2">
        <v>2</v>
      </c>
      <c r="K526" s="2">
        <v>0</v>
      </c>
      <c r="L52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26" s="2" t="str">
        <f>IF(Table1[[#This Row],[Experience Years]]&lt;=2,"Entry Level",IF(Table1[[#This Row],[Experience Years]]&lt;=7,"Mid Level",IF(Table1[[#This Row],[Experience Years]]&lt;=15,"Senior Level")))</f>
        <v>Senior Level</v>
      </c>
      <c r="N526" s="1">
        <f>AVERAGE(Table1[[#This Row],[Interview Score]:[Personality Score]])</f>
        <v>47.666666666666664</v>
      </c>
      <c r="O5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26" s="2" t="str">
        <f t="shared" si="8"/>
        <v>30-40</v>
      </c>
    </row>
    <row r="527" spans="1:16" x14ac:dyDescent="0.25">
      <c r="A527">
        <v>44</v>
      </c>
      <c r="B527" s="2">
        <v>0</v>
      </c>
      <c r="C527" s="2">
        <v>2</v>
      </c>
      <c r="D527" s="2">
        <v>15</v>
      </c>
      <c r="E527" s="2">
        <v>2</v>
      </c>
      <c r="F527" s="1">
        <v>22.932450920000001</v>
      </c>
      <c r="G527" s="2">
        <v>72</v>
      </c>
      <c r="H527" s="2">
        <v>43</v>
      </c>
      <c r="I527" s="2">
        <v>85</v>
      </c>
      <c r="J527" s="2">
        <v>2</v>
      </c>
      <c r="K527" s="2">
        <v>0</v>
      </c>
      <c r="L52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27" s="2" t="str">
        <f>IF(Table1[[#This Row],[Experience Years]]&lt;=2,"Entry Level",IF(Table1[[#This Row],[Experience Years]]&lt;=7,"Mid Level",IF(Table1[[#This Row],[Experience Years]]&lt;=15,"Senior Level")))</f>
        <v>Senior Level</v>
      </c>
      <c r="N527" s="1">
        <f>AVERAGE(Table1[[#This Row],[Interview Score]:[Personality Score]])</f>
        <v>66.666666666666671</v>
      </c>
      <c r="O5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27" s="2" t="str">
        <f t="shared" si="8"/>
        <v>20-30</v>
      </c>
    </row>
    <row r="528" spans="1:16" x14ac:dyDescent="0.25">
      <c r="A528">
        <v>23</v>
      </c>
      <c r="B528" s="2">
        <v>1</v>
      </c>
      <c r="C528" s="2">
        <v>1</v>
      </c>
      <c r="D528" s="2">
        <v>1</v>
      </c>
      <c r="E528" s="2">
        <v>3</v>
      </c>
      <c r="F528" s="1">
        <v>2.9378467779999999</v>
      </c>
      <c r="G528" s="2">
        <v>1</v>
      </c>
      <c r="H528" s="2">
        <v>100</v>
      </c>
      <c r="I528" s="2">
        <v>80</v>
      </c>
      <c r="J528" s="2">
        <v>3</v>
      </c>
      <c r="K528" s="2">
        <v>0</v>
      </c>
      <c r="L52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28" t="str">
        <f>IF(Table1[[#This Row],[Experience Years]]&lt;=2,"Entry Level",IF(Table1[[#This Row],[Experience Years]]&lt;=7,"Mid Level",IF(Table1[[#This Row],[Experience Years]]&lt;=15,"Senior Level")))</f>
        <v>Entry Level</v>
      </c>
      <c r="N528" s="1">
        <f>AVERAGE(Table1[[#This Row],[Interview Score]:[Personality Score]])</f>
        <v>60.333333333333336</v>
      </c>
      <c r="O5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28" s="2" t="str">
        <f t="shared" si="8"/>
        <v>0-10</v>
      </c>
    </row>
    <row r="529" spans="1:16" x14ac:dyDescent="0.25">
      <c r="A529">
        <v>32</v>
      </c>
      <c r="B529" s="2">
        <v>0</v>
      </c>
      <c r="C529" s="2">
        <v>2</v>
      </c>
      <c r="D529" s="2">
        <v>15</v>
      </c>
      <c r="E529" s="2">
        <v>5</v>
      </c>
      <c r="F529" s="1">
        <v>25.977416760000001</v>
      </c>
      <c r="G529" s="2">
        <v>36</v>
      </c>
      <c r="H529" s="2">
        <v>55</v>
      </c>
      <c r="I529" s="2">
        <v>89</v>
      </c>
      <c r="J529" s="2">
        <v>1</v>
      </c>
      <c r="K529" s="2">
        <v>1</v>
      </c>
      <c r="L52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29" s="2" t="str">
        <f>IF(Table1[[#This Row],[Experience Years]]&lt;=2,"Entry Level",IF(Table1[[#This Row],[Experience Years]]&lt;=7,"Mid Level",IF(Table1[[#This Row],[Experience Years]]&lt;=15,"Senior Level")))</f>
        <v>Senior Level</v>
      </c>
      <c r="N529" s="1">
        <f>AVERAGE(Table1[[#This Row],[Interview Score]:[Personality Score]])</f>
        <v>60</v>
      </c>
      <c r="O5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29" s="2" t="str">
        <f t="shared" si="8"/>
        <v>20-30</v>
      </c>
    </row>
    <row r="530" spans="1:16" x14ac:dyDescent="0.25">
      <c r="A530">
        <v>39</v>
      </c>
      <c r="B530" s="2">
        <v>1</v>
      </c>
      <c r="C530" s="2">
        <v>2</v>
      </c>
      <c r="D530" s="2">
        <v>7</v>
      </c>
      <c r="E530" s="2">
        <v>4</v>
      </c>
      <c r="F530" s="1">
        <v>39.238812109999998</v>
      </c>
      <c r="G530" s="2">
        <v>0</v>
      </c>
      <c r="H530" s="2">
        <v>89</v>
      </c>
      <c r="I530" s="2">
        <v>66</v>
      </c>
      <c r="J530" s="2">
        <v>2</v>
      </c>
      <c r="K530" s="2">
        <v>0</v>
      </c>
      <c r="L53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30" t="str">
        <f>IF(Table1[[#This Row],[Experience Years]]&lt;=2,"Entry Level",IF(Table1[[#This Row],[Experience Years]]&lt;=7,"Mid Level",IF(Table1[[#This Row],[Experience Years]]&lt;=15,"Senior Level")))</f>
        <v>Mid Level</v>
      </c>
      <c r="N530" s="1">
        <f>AVERAGE(Table1[[#This Row],[Interview Score]:[Personality Score]])</f>
        <v>51.666666666666664</v>
      </c>
      <c r="O5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30" s="2" t="str">
        <f t="shared" si="8"/>
        <v>30-40</v>
      </c>
    </row>
    <row r="531" spans="1:16" x14ac:dyDescent="0.25">
      <c r="A531">
        <v>20</v>
      </c>
      <c r="B531" s="2">
        <v>0</v>
      </c>
      <c r="C531" s="2">
        <v>1</v>
      </c>
      <c r="D531" s="2">
        <v>5</v>
      </c>
      <c r="E531" s="2">
        <v>1</v>
      </c>
      <c r="F531" s="1">
        <v>14.2778799</v>
      </c>
      <c r="G531" s="2">
        <v>3</v>
      </c>
      <c r="H531" s="2">
        <v>94</v>
      </c>
      <c r="I531" s="2">
        <v>70</v>
      </c>
      <c r="J531" s="2">
        <v>1</v>
      </c>
      <c r="K531" s="2">
        <v>1</v>
      </c>
      <c r="L53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31" s="2" t="str">
        <f>IF(Table1[[#This Row],[Experience Years]]&lt;=2,"Entry Level",IF(Table1[[#This Row],[Experience Years]]&lt;=7,"Mid Level",IF(Table1[[#This Row],[Experience Years]]&lt;=15,"Senior Level")))</f>
        <v>Mid Level</v>
      </c>
      <c r="N531" s="1">
        <f>AVERAGE(Table1[[#This Row],[Interview Score]:[Personality Score]])</f>
        <v>55.666666666666664</v>
      </c>
      <c r="O5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31" s="2" t="str">
        <f t="shared" si="8"/>
        <v>10-20</v>
      </c>
    </row>
    <row r="532" spans="1:16" x14ac:dyDescent="0.25">
      <c r="A532">
        <v>27</v>
      </c>
      <c r="B532" s="2">
        <v>1</v>
      </c>
      <c r="C532" s="2">
        <v>3</v>
      </c>
      <c r="D532" s="2">
        <v>5</v>
      </c>
      <c r="E532" s="2">
        <v>4</v>
      </c>
      <c r="F532" s="1">
        <v>41.338678479999999</v>
      </c>
      <c r="G532" s="2">
        <v>99</v>
      </c>
      <c r="H532" s="2">
        <v>50</v>
      </c>
      <c r="I532" s="2">
        <v>71</v>
      </c>
      <c r="J532" s="2">
        <v>1</v>
      </c>
      <c r="K532" s="2">
        <v>1</v>
      </c>
      <c r="L53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32" t="str">
        <f>IF(Table1[[#This Row],[Experience Years]]&lt;=2,"Entry Level",IF(Table1[[#This Row],[Experience Years]]&lt;=7,"Mid Level",IF(Table1[[#This Row],[Experience Years]]&lt;=15,"Senior Level")))</f>
        <v>Mid Level</v>
      </c>
      <c r="N532" s="1">
        <f>AVERAGE(Table1[[#This Row],[Interview Score]:[Personality Score]])</f>
        <v>73.333333333333329</v>
      </c>
      <c r="O5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32" s="2" t="str">
        <f t="shared" si="8"/>
        <v>40-50</v>
      </c>
    </row>
    <row r="533" spans="1:16" x14ac:dyDescent="0.25">
      <c r="A533">
        <v>33</v>
      </c>
      <c r="B533" s="2">
        <v>0</v>
      </c>
      <c r="C533" s="2">
        <v>2</v>
      </c>
      <c r="D533" s="2">
        <v>11</v>
      </c>
      <c r="E533" s="2">
        <v>3</v>
      </c>
      <c r="F533" s="1">
        <v>13.590338300000001</v>
      </c>
      <c r="G533" s="2">
        <v>53</v>
      </c>
      <c r="H533" s="2">
        <v>31</v>
      </c>
      <c r="I533" s="2">
        <v>83</v>
      </c>
      <c r="J533" s="2">
        <v>3</v>
      </c>
      <c r="K533" s="2">
        <v>0</v>
      </c>
      <c r="L53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33" s="2" t="str">
        <f>IF(Table1[[#This Row],[Experience Years]]&lt;=2,"Entry Level",IF(Table1[[#This Row],[Experience Years]]&lt;=7,"Mid Level",IF(Table1[[#This Row],[Experience Years]]&lt;=15,"Senior Level")))</f>
        <v>Senior Level</v>
      </c>
      <c r="N533" s="1">
        <f>AVERAGE(Table1[[#This Row],[Interview Score]:[Personality Score]])</f>
        <v>55.666666666666664</v>
      </c>
      <c r="O5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33" s="2" t="str">
        <f t="shared" si="8"/>
        <v>10-20</v>
      </c>
    </row>
    <row r="534" spans="1:16" x14ac:dyDescent="0.25">
      <c r="A534">
        <v>35</v>
      </c>
      <c r="B534" s="2">
        <v>0</v>
      </c>
      <c r="C534" s="2">
        <v>3</v>
      </c>
      <c r="D534" s="2">
        <v>14</v>
      </c>
      <c r="E534" s="2">
        <v>3</v>
      </c>
      <c r="F534" s="1">
        <v>42.1873194</v>
      </c>
      <c r="G534" s="2">
        <v>24</v>
      </c>
      <c r="H534" s="2">
        <v>49</v>
      </c>
      <c r="I534" s="2">
        <v>75</v>
      </c>
      <c r="J534" s="2">
        <v>2</v>
      </c>
      <c r="K534" s="2">
        <v>0</v>
      </c>
      <c r="L53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34" s="2" t="str">
        <f>IF(Table1[[#This Row],[Experience Years]]&lt;=2,"Entry Level",IF(Table1[[#This Row],[Experience Years]]&lt;=7,"Mid Level",IF(Table1[[#This Row],[Experience Years]]&lt;=15,"Senior Level")))</f>
        <v>Senior Level</v>
      </c>
      <c r="N534" s="1">
        <f>AVERAGE(Table1[[#This Row],[Interview Score]:[Personality Score]])</f>
        <v>49.333333333333336</v>
      </c>
      <c r="O5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34" s="2" t="str">
        <f t="shared" si="8"/>
        <v>40-50</v>
      </c>
    </row>
    <row r="535" spans="1:16" x14ac:dyDescent="0.25">
      <c r="A535">
        <v>33</v>
      </c>
      <c r="B535" s="2">
        <v>1</v>
      </c>
      <c r="C535" s="2">
        <v>2</v>
      </c>
      <c r="D535" s="2">
        <v>8</v>
      </c>
      <c r="E535" s="2">
        <v>4</v>
      </c>
      <c r="F535" s="1">
        <v>5.2634170810000001</v>
      </c>
      <c r="G535" s="2">
        <v>2</v>
      </c>
      <c r="H535" s="2">
        <v>40</v>
      </c>
      <c r="I535" s="2">
        <v>98</v>
      </c>
      <c r="J535" s="2">
        <v>2</v>
      </c>
      <c r="K535" s="2">
        <v>0</v>
      </c>
      <c r="L53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35" t="str">
        <f>IF(Table1[[#This Row],[Experience Years]]&lt;=2,"Entry Level",IF(Table1[[#This Row],[Experience Years]]&lt;=7,"Mid Level",IF(Table1[[#This Row],[Experience Years]]&lt;=15,"Senior Level")))</f>
        <v>Senior Level</v>
      </c>
      <c r="N535" s="1">
        <f>AVERAGE(Table1[[#This Row],[Interview Score]:[Personality Score]])</f>
        <v>46.666666666666664</v>
      </c>
      <c r="O5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35" s="2" t="str">
        <f t="shared" si="8"/>
        <v>0-10</v>
      </c>
    </row>
    <row r="536" spans="1:16" x14ac:dyDescent="0.25">
      <c r="A536">
        <v>31</v>
      </c>
      <c r="B536" s="2">
        <v>0</v>
      </c>
      <c r="C536" s="2">
        <v>3</v>
      </c>
      <c r="D536" s="2">
        <v>7</v>
      </c>
      <c r="E536" s="2">
        <v>3</v>
      </c>
      <c r="F536" s="1">
        <v>44.30918544</v>
      </c>
      <c r="G536" s="2">
        <v>8</v>
      </c>
      <c r="H536" s="2">
        <v>65</v>
      </c>
      <c r="I536" s="2">
        <v>80</v>
      </c>
      <c r="J536" s="2">
        <v>3</v>
      </c>
      <c r="K536" s="2">
        <v>1</v>
      </c>
      <c r="L53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36" s="2" t="str">
        <f>IF(Table1[[#This Row],[Experience Years]]&lt;=2,"Entry Level",IF(Table1[[#This Row],[Experience Years]]&lt;=7,"Mid Level",IF(Table1[[#This Row],[Experience Years]]&lt;=15,"Senior Level")))</f>
        <v>Mid Level</v>
      </c>
      <c r="N536" s="1">
        <f>AVERAGE(Table1[[#This Row],[Interview Score]:[Personality Score]])</f>
        <v>51</v>
      </c>
      <c r="O5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36" s="2" t="str">
        <f t="shared" si="8"/>
        <v>40-50</v>
      </c>
    </row>
    <row r="537" spans="1:16" x14ac:dyDescent="0.25">
      <c r="A537">
        <v>38</v>
      </c>
      <c r="B537" s="2">
        <v>1</v>
      </c>
      <c r="C537" s="2">
        <v>1</v>
      </c>
      <c r="D537" s="2">
        <v>3</v>
      </c>
      <c r="E537" s="2">
        <v>2</v>
      </c>
      <c r="F537" s="1">
        <v>25.95932255</v>
      </c>
      <c r="G537" s="2">
        <v>85</v>
      </c>
      <c r="H537" s="2">
        <v>24</v>
      </c>
      <c r="I537" s="2">
        <v>91</v>
      </c>
      <c r="J537" s="2">
        <v>3</v>
      </c>
      <c r="K537" s="2">
        <v>0</v>
      </c>
      <c r="L53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37" t="str">
        <f>IF(Table1[[#This Row],[Experience Years]]&lt;=2,"Entry Level",IF(Table1[[#This Row],[Experience Years]]&lt;=7,"Mid Level",IF(Table1[[#This Row],[Experience Years]]&lt;=15,"Senior Level")))</f>
        <v>Mid Level</v>
      </c>
      <c r="N537" s="1">
        <f>AVERAGE(Table1[[#This Row],[Interview Score]:[Personality Score]])</f>
        <v>66.666666666666671</v>
      </c>
      <c r="O5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37" s="2" t="str">
        <f t="shared" si="8"/>
        <v>20-30</v>
      </c>
    </row>
    <row r="538" spans="1:16" x14ac:dyDescent="0.25">
      <c r="A538">
        <v>42</v>
      </c>
      <c r="B538" s="2">
        <v>0</v>
      </c>
      <c r="C538" s="2">
        <v>2</v>
      </c>
      <c r="D538" s="2">
        <v>14</v>
      </c>
      <c r="E538" s="2">
        <v>2</v>
      </c>
      <c r="F538" s="1">
        <v>15.826879480000001</v>
      </c>
      <c r="G538" s="2">
        <v>86</v>
      </c>
      <c r="H538" s="2">
        <v>60</v>
      </c>
      <c r="I538" s="2">
        <v>9</v>
      </c>
      <c r="J538" s="2">
        <v>3</v>
      </c>
      <c r="K538" s="2">
        <v>0</v>
      </c>
      <c r="L53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38" s="2" t="str">
        <f>IF(Table1[[#This Row],[Experience Years]]&lt;=2,"Entry Level",IF(Table1[[#This Row],[Experience Years]]&lt;=7,"Mid Level",IF(Table1[[#This Row],[Experience Years]]&lt;=15,"Senior Level")))</f>
        <v>Senior Level</v>
      </c>
      <c r="N538" s="1">
        <f>AVERAGE(Table1[[#This Row],[Interview Score]:[Personality Score]])</f>
        <v>51.666666666666664</v>
      </c>
      <c r="O5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38" s="2" t="str">
        <f t="shared" si="8"/>
        <v>10-20</v>
      </c>
    </row>
    <row r="539" spans="1:16" x14ac:dyDescent="0.25">
      <c r="A539">
        <v>34</v>
      </c>
      <c r="B539" s="2">
        <v>1</v>
      </c>
      <c r="C539" s="2">
        <v>4</v>
      </c>
      <c r="D539" s="2">
        <v>11</v>
      </c>
      <c r="E539" s="2">
        <v>3</v>
      </c>
      <c r="F539" s="1">
        <v>14.25566252</v>
      </c>
      <c r="G539" s="2">
        <v>75</v>
      </c>
      <c r="H539" s="2">
        <v>65</v>
      </c>
      <c r="I539" s="2">
        <v>85</v>
      </c>
      <c r="J539" s="2">
        <v>2</v>
      </c>
      <c r="K539" s="2">
        <v>1</v>
      </c>
      <c r="L53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39" t="str">
        <f>IF(Table1[[#This Row],[Experience Years]]&lt;=2,"Entry Level",IF(Table1[[#This Row],[Experience Years]]&lt;=7,"Mid Level",IF(Table1[[#This Row],[Experience Years]]&lt;=15,"Senior Level")))</f>
        <v>Senior Level</v>
      </c>
      <c r="N539" s="1">
        <f>AVERAGE(Table1[[#This Row],[Interview Score]:[Personality Score]])</f>
        <v>75</v>
      </c>
      <c r="O5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39" s="2" t="str">
        <f t="shared" si="8"/>
        <v>10-20</v>
      </c>
    </row>
    <row r="540" spans="1:16" x14ac:dyDescent="0.25">
      <c r="A540">
        <v>47</v>
      </c>
      <c r="B540" s="2">
        <v>1</v>
      </c>
      <c r="C540" s="2">
        <v>3</v>
      </c>
      <c r="D540" s="2">
        <v>3</v>
      </c>
      <c r="E540" s="2">
        <v>3</v>
      </c>
      <c r="F540" s="1">
        <v>22.60052795</v>
      </c>
      <c r="G540" s="2">
        <v>73</v>
      </c>
      <c r="H540" s="2">
        <v>41</v>
      </c>
      <c r="I540" s="2">
        <v>56</v>
      </c>
      <c r="J540" s="2">
        <v>2</v>
      </c>
      <c r="K540" s="2">
        <v>0</v>
      </c>
      <c r="L54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40" t="str">
        <f>IF(Table1[[#This Row],[Experience Years]]&lt;=2,"Entry Level",IF(Table1[[#This Row],[Experience Years]]&lt;=7,"Mid Level",IF(Table1[[#This Row],[Experience Years]]&lt;=15,"Senior Level")))</f>
        <v>Mid Level</v>
      </c>
      <c r="N540" s="1">
        <f>AVERAGE(Table1[[#This Row],[Interview Score]:[Personality Score]])</f>
        <v>56.666666666666664</v>
      </c>
      <c r="O5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40" s="2" t="str">
        <f t="shared" si="8"/>
        <v>20-30</v>
      </c>
    </row>
    <row r="541" spans="1:16" x14ac:dyDescent="0.25">
      <c r="A541">
        <v>21</v>
      </c>
      <c r="B541" s="2">
        <v>1</v>
      </c>
      <c r="C541" s="2">
        <v>2</v>
      </c>
      <c r="D541" s="2">
        <v>8</v>
      </c>
      <c r="E541" s="2">
        <v>2</v>
      </c>
      <c r="F541" s="1">
        <v>50.952474909999999</v>
      </c>
      <c r="G541" s="2">
        <v>33</v>
      </c>
      <c r="H541" s="2">
        <v>64</v>
      </c>
      <c r="I541" s="2">
        <v>96</v>
      </c>
      <c r="J541" s="2">
        <v>1</v>
      </c>
      <c r="K541" s="2">
        <v>1</v>
      </c>
      <c r="L54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41" t="str">
        <f>IF(Table1[[#This Row],[Experience Years]]&lt;=2,"Entry Level",IF(Table1[[#This Row],[Experience Years]]&lt;=7,"Mid Level",IF(Table1[[#This Row],[Experience Years]]&lt;=15,"Senior Level")))</f>
        <v>Senior Level</v>
      </c>
      <c r="N541" s="1">
        <f>AVERAGE(Table1[[#This Row],[Interview Score]:[Personality Score]])</f>
        <v>64.333333333333329</v>
      </c>
      <c r="O5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41" s="2" t="str">
        <f t="shared" si="8"/>
        <v>50+</v>
      </c>
    </row>
    <row r="542" spans="1:16" x14ac:dyDescent="0.25">
      <c r="A542">
        <v>21</v>
      </c>
      <c r="B542" s="2">
        <v>1</v>
      </c>
      <c r="C542" s="2">
        <v>2</v>
      </c>
      <c r="D542" s="2">
        <v>0</v>
      </c>
      <c r="E542" s="2">
        <v>3</v>
      </c>
      <c r="F542" s="1">
        <v>12.01636967</v>
      </c>
      <c r="G542" s="2">
        <v>42</v>
      </c>
      <c r="H542" s="2">
        <v>35</v>
      </c>
      <c r="I542" s="2">
        <v>85</v>
      </c>
      <c r="J542" s="2">
        <v>2</v>
      </c>
      <c r="K542" s="2">
        <v>0</v>
      </c>
      <c r="L54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42" t="str">
        <f>IF(Table1[[#This Row],[Experience Years]]&lt;=2,"Entry Level",IF(Table1[[#This Row],[Experience Years]]&lt;=7,"Mid Level",IF(Table1[[#This Row],[Experience Years]]&lt;=15,"Senior Level")))</f>
        <v>Entry Level</v>
      </c>
      <c r="N542" s="1">
        <f>AVERAGE(Table1[[#This Row],[Interview Score]:[Personality Score]])</f>
        <v>54</v>
      </c>
      <c r="O5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42" s="2" t="str">
        <f t="shared" si="8"/>
        <v>10-20</v>
      </c>
    </row>
    <row r="543" spans="1:16" x14ac:dyDescent="0.25">
      <c r="A543">
        <v>42</v>
      </c>
      <c r="B543" s="2">
        <v>0</v>
      </c>
      <c r="C543" s="2">
        <v>3</v>
      </c>
      <c r="D543" s="2">
        <v>12</v>
      </c>
      <c r="E543" s="2">
        <v>3</v>
      </c>
      <c r="F543" s="1">
        <v>6.1608324440000004</v>
      </c>
      <c r="G543" s="2">
        <v>73</v>
      </c>
      <c r="H543" s="2">
        <v>75</v>
      </c>
      <c r="I543" s="2">
        <v>36</v>
      </c>
      <c r="J543" s="2">
        <v>2</v>
      </c>
      <c r="K543" s="2">
        <v>1</v>
      </c>
      <c r="L54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43" s="2" t="str">
        <f>IF(Table1[[#This Row],[Experience Years]]&lt;=2,"Entry Level",IF(Table1[[#This Row],[Experience Years]]&lt;=7,"Mid Level",IF(Table1[[#This Row],[Experience Years]]&lt;=15,"Senior Level")))</f>
        <v>Senior Level</v>
      </c>
      <c r="N543" s="1">
        <f>AVERAGE(Table1[[#This Row],[Interview Score]:[Personality Score]])</f>
        <v>61.333333333333336</v>
      </c>
      <c r="O5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43" s="2" t="str">
        <f t="shared" si="8"/>
        <v>0-10</v>
      </c>
    </row>
    <row r="544" spans="1:16" x14ac:dyDescent="0.25">
      <c r="A544">
        <v>50</v>
      </c>
      <c r="B544" s="2">
        <v>0</v>
      </c>
      <c r="C544" s="2">
        <v>2</v>
      </c>
      <c r="D544" s="2">
        <v>1</v>
      </c>
      <c r="E544" s="2">
        <v>4</v>
      </c>
      <c r="F544" s="1">
        <v>30.25175844</v>
      </c>
      <c r="G544" s="2">
        <v>93</v>
      </c>
      <c r="H544" s="2">
        <v>8</v>
      </c>
      <c r="I544" s="2">
        <v>76</v>
      </c>
      <c r="J544" s="2">
        <v>2</v>
      </c>
      <c r="K544" s="2">
        <v>0</v>
      </c>
      <c r="L54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44" s="2" t="str">
        <f>IF(Table1[[#This Row],[Experience Years]]&lt;=2,"Entry Level",IF(Table1[[#This Row],[Experience Years]]&lt;=7,"Mid Level",IF(Table1[[#This Row],[Experience Years]]&lt;=15,"Senior Level")))</f>
        <v>Entry Level</v>
      </c>
      <c r="N544" s="1">
        <f>AVERAGE(Table1[[#This Row],[Interview Score]:[Personality Score]])</f>
        <v>59</v>
      </c>
      <c r="O5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44" s="2" t="str">
        <f t="shared" si="8"/>
        <v>30-40</v>
      </c>
    </row>
    <row r="545" spans="1:16" x14ac:dyDescent="0.25">
      <c r="A545">
        <v>41</v>
      </c>
      <c r="B545" s="2">
        <v>1</v>
      </c>
      <c r="C545" s="2">
        <v>3</v>
      </c>
      <c r="D545" s="2">
        <v>1</v>
      </c>
      <c r="E545" s="2">
        <v>1</v>
      </c>
      <c r="F545" s="1">
        <v>25.42712332</v>
      </c>
      <c r="G545" s="2">
        <v>21</v>
      </c>
      <c r="H545" s="2">
        <v>35</v>
      </c>
      <c r="I545" s="2">
        <v>90</v>
      </c>
      <c r="J545" s="2">
        <v>2</v>
      </c>
      <c r="K545" s="2">
        <v>0</v>
      </c>
      <c r="L54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45" t="str">
        <f>IF(Table1[[#This Row],[Experience Years]]&lt;=2,"Entry Level",IF(Table1[[#This Row],[Experience Years]]&lt;=7,"Mid Level",IF(Table1[[#This Row],[Experience Years]]&lt;=15,"Senior Level")))</f>
        <v>Entry Level</v>
      </c>
      <c r="N545" s="1">
        <f>AVERAGE(Table1[[#This Row],[Interview Score]:[Personality Score]])</f>
        <v>48.666666666666664</v>
      </c>
      <c r="O5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45" s="2" t="str">
        <f t="shared" si="8"/>
        <v>20-30</v>
      </c>
    </row>
    <row r="546" spans="1:16" x14ac:dyDescent="0.25">
      <c r="A546">
        <v>38</v>
      </c>
      <c r="B546" s="2">
        <v>1</v>
      </c>
      <c r="C546" s="2">
        <v>3</v>
      </c>
      <c r="D546" s="2">
        <v>12</v>
      </c>
      <c r="E546" s="2">
        <v>2</v>
      </c>
      <c r="F546" s="1">
        <v>27.20981355</v>
      </c>
      <c r="G546" s="2">
        <v>69</v>
      </c>
      <c r="H546" s="2">
        <v>91</v>
      </c>
      <c r="I546" s="2">
        <v>63</v>
      </c>
      <c r="J546" s="2">
        <v>3</v>
      </c>
      <c r="K546" s="2">
        <v>1</v>
      </c>
      <c r="L54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46" t="str">
        <f>IF(Table1[[#This Row],[Experience Years]]&lt;=2,"Entry Level",IF(Table1[[#This Row],[Experience Years]]&lt;=7,"Mid Level",IF(Table1[[#This Row],[Experience Years]]&lt;=15,"Senior Level")))</f>
        <v>Senior Level</v>
      </c>
      <c r="N546" s="1">
        <f>AVERAGE(Table1[[#This Row],[Interview Score]:[Personality Score]])</f>
        <v>74.333333333333329</v>
      </c>
      <c r="O5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46" s="2" t="str">
        <f t="shared" si="8"/>
        <v>20-30</v>
      </c>
    </row>
    <row r="547" spans="1:16" x14ac:dyDescent="0.25">
      <c r="A547">
        <v>44</v>
      </c>
      <c r="B547" s="2">
        <v>1</v>
      </c>
      <c r="C547" s="2">
        <v>1</v>
      </c>
      <c r="D547" s="2">
        <v>12</v>
      </c>
      <c r="E547" s="2">
        <v>4</v>
      </c>
      <c r="F547" s="1">
        <v>34.346770880000001</v>
      </c>
      <c r="G547" s="2">
        <v>1</v>
      </c>
      <c r="H547" s="2">
        <v>37</v>
      </c>
      <c r="I547" s="2">
        <v>78</v>
      </c>
      <c r="J547" s="2">
        <v>2</v>
      </c>
      <c r="K547" s="2">
        <v>0</v>
      </c>
      <c r="L54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47" t="str">
        <f>IF(Table1[[#This Row],[Experience Years]]&lt;=2,"Entry Level",IF(Table1[[#This Row],[Experience Years]]&lt;=7,"Mid Level",IF(Table1[[#This Row],[Experience Years]]&lt;=15,"Senior Level")))</f>
        <v>Senior Level</v>
      </c>
      <c r="N547" s="1">
        <f>AVERAGE(Table1[[#This Row],[Interview Score]:[Personality Score]])</f>
        <v>38.666666666666664</v>
      </c>
      <c r="O5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47" s="2" t="str">
        <f t="shared" si="8"/>
        <v>30-40</v>
      </c>
    </row>
    <row r="548" spans="1:16" x14ac:dyDescent="0.25">
      <c r="A548">
        <v>45</v>
      </c>
      <c r="B548" s="2">
        <v>0</v>
      </c>
      <c r="C548" s="2">
        <v>1</v>
      </c>
      <c r="D548" s="2">
        <v>5</v>
      </c>
      <c r="E548" s="2">
        <v>1</v>
      </c>
      <c r="F548" s="1">
        <v>14.35720349</v>
      </c>
      <c r="G548" s="2">
        <v>93</v>
      </c>
      <c r="H548" s="2">
        <v>32</v>
      </c>
      <c r="I548" s="2">
        <v>85</v>
      </c>
      <c r="J548" s="2">
        <v>2</v>
      </c>
      <c r="K548" s="2">
        <v>0</v>
      </c>
      <c r="L54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48" s="2" t="str">
        <f>IF(Table1[[#This Row],[Experience Years]]&lt;=2,"Entry Level",IF(Table1[[#This Row],[Experience Years]]&lt;=7,"Mid Level",IF(Table1[[#This Row],[Experience Years]]&lt;=15,"Senior Level")))</f>
        <v>Mid Level</v>
      </c>
      <c r="N548" s="1">
        <f>AVERAGE(Table1[[#This Row],[Interview Score]:[Personality Score]])</f>
        <v>70</v>
      </c>
      <c r="O5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48" s="2" t="str">
        <f t="shared" si="8"/>
        <v>10-20</v>
      </c>
    </row>
    <row r="549" spans="1:16" x14ac:dyDescent="0.25">
      <c r="A549">
        <v>50</v>
      </c>
      <c r="B549" s="2">
        <v>0</v>
      </c>
      <c r="C549" s="2">
        <v>2</v>
      </c>
      <c r="D549" s="2">
        <v>14</v>
      </c>
      <c r="E549" s="2">
        <v>3</v>
      </c>
      <c r="F549" s="1">
        <v>46.533249769999998</v>
      </c>
      <c r="G549" s="2">
        <v>65</v>
      </c>
      <c r="H549" s="2">
        <v>41</v>
      </c>
      <c r="I549" s="2">
        <v>93</v>
      </c>
      <c r="J549" s="2">
        <v>2</v>
      </c>
      <c r="K549" s="2">
        <v>0</v>
      </c>
      <c r="L54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49" s="2" t="str">
        <f>IF(Table1[[#This Row],[Experience Years]]&lt;=2,"Entry Level",IF(Table1[[#This Row],[Experience Years]]&lt;=7,"Mid Level",IF(Table1[[#This Row],[Experience Years]]&lt;=15,"Senior Level")))</f>
        <v>Senior Level</v>
      </c>
      <c r="N549" s="1">
        <f>AVERAGE(Table1[[#This Row],[Interview Score]:[Personality Score]])</f>
        <v>66.333333333333329</v>
      </c>
      <c r="O5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49" s="2" t="str">
        <f t="shared" si="8"/>
        <v>40-50</v>
      </c>
    </row>
    <row r="550" spans="1:16" x14ac:dyDescent="0.25">
      <c r="A550">
        <v>49</v>
      </c>
      <c r="B550" s="2">
        <v>0</v>
      </c>
      <c r="C550" s="2">
        <v>1</v>
      </c>
      <c r="D550" s="2">
        <v>3</v>
      </c>
      <c r="E550" s="2">
        <v>3</v>
      </c>
      <c r="F550" s="1">
        <v>22.78360331</v>
      </c>
      <c r="G550" s="2">
        <v>31</v>
      </c>
      <c r="H550" s="2">
        <v>60</v>
      </c>
      <c r="I550" s="2">
        <v>39</v>
      </c>
      <c r="J550" s="2">
        <v>1</v>
      </c>
      <c r="K550" s="2">
        <v>0</v>
      </c>
      <c r="L55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50" s="2" t="str">
        <f>IF(Table1[[#This Row],[Experience Years]]&lt;=2,"Entry Level",IF(Table1[[#This Row],[Experience Years]]&lt;=7,"Mid Level",IF(Table1[[#This Row],[Experience Years]]&lt;=15,"Senior Level")))</f>
        <v>Mid Level</v>
      </c>
      <c r="N550" s="1">
        <f>AVERAGE(Table1[[#This Row],[Interview Score]:[Personality Score]])</f>
        <v>43.333333333333336</v>
      </c>
      <c r="O5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50" s="2" t="str">
        <f t="shared" si="8"/>
        <v>20-30</v>
      </c>
    </row>
    <row r="551" spans="1:16" x14ac:dyDescent="0.25">
      <c r="A551">
        <v>48</v>
      </c>
      <c r="B551" s="2">
        <v>0</v>
      </c>
      <c r="C551" s="2">
        <v>2</v>
      </c>
      <c r="D551" s="2">
        <v>15</v>
      </c>
      <c r="E551" s="2">
        <v>4</v>
      </c>
      <c r="F551" s="1">
        <v>7.4543097569999999</v>
      </c>
      <c r="G551" s="2">
        <v>15</v>
      </c>
      <c r="H551" s="2">
        <v>45</v>
      </c>
      <c r="I551" s="2">
        <v>100</v>
      </c>
      <c r="J551" s="2">
        <v>1</v>
      </c>
      <c r="K551" s="2">
        <v>1</v>
      </c>
      <c r="L55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51" s="2" t="str">
        <f>IF(Table1[[#This Row],[Experience Years]]&lt;=2,"Entry Level",IF(Table1[[#This Row],[Experience Years]]&lt;=7,"Mid Level",IF(Table1[[#This Row],[Experience Years]]&lt;=15,"Senior Level")))</f>
        <v>Senior Level</v>
      </c>
      <c r="N551" s="1">
        <f>AVERAGE(Table1[[#This Row],[Interview Score]:[Personality Score]])</f>
        <v>53.333333333333336</v>
      </c>
      <c r="O5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51" s="2" t="str">
        <f t="shared" si="8"/>
        <v>0-10</v>
      </c>
    </row>
    <row r="552" spans="1:16" x14ac:dyDescent="0.25">
      <c r="A552">
        <v>41</v>
      </c>
      <c r="B552" s="2">
        <v>1</v>
      </c>
      <c r="C552" s="2">
        <v>4</v>
      </c>
      <c r="D552" s="2">
        <v>12</v>
      </c>
      <c r="E552" s="2">
        <v>3</v>
      </c>
      <c r="F552" s="1">
        <v>38.114937840000003</v>
      </c>
      <c r="G552" s="2">
        <v>75</v>
      </c>
      <c r="H552" s="2">
        <v>85</v>
      </c>
      <c r="I552" s="2">
        <v>97</v>
      </c>
      <c r="J552" s="2">
        <v>2</v>
      </c>
      <c r="K552" s="2">
        <v>1</v>
      </c>
      <c r="L55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52" t="str">
        <f>IF(Table1[[#This Row],[Experience Years]]&lt;=2,"Entry Level",IF(Table1[[#This Row],[Experience Years]]&lt;=7,"Mid Level",IF(Table1[[#This Row],[Experience Years]]&lt;=15,"Senior Level")))</f>
        <v>Senior Level</v>
      </c>
      <c r="N552" s="1">
        <f>AVERAGE(Table1[[#This Row],[Interview Score]:[Personality Score]])</f>
        <v>85.666666666666671</v>
      </c>
      <c r="O5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552" s="2" t="str">
        <f t="shared" si="8"/>
        <v>30-40</v>
      </c>
    </row>
    <row r="553" spans="1:16" x14ac:dyDescent="0.25">
      <c r="A553">
        <v>45</v>
      </c>
      <c r="B553" s="2">
        <v>1</v>
      </c>
      <c r="C553" s="2">
        <v>2</v>
      </c>
      <c r="D553" s="2">
        <v>10</v>
      </c>
      <c r="E553" s="2">
        <v>5</v>
      </c>
      <c r="F553" s="1">
        <v>33.155217630000003</v>
      </c>
      <c r="G553" s="2">
        <v>0</v>
      </c>
      <c r="H553" s="2">
        <v>88</v>
      </c>
      <c r="I553" s="2">
        <v>59</v>
      </c>
      <c r="J553" s="2">
        <v>1</v>
      </c>
      <c r="K553" s="2">
        <v>1</v>
      </c>
      <c r="L55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53" t="str">
        <f>IF(Table1[[#This Row],[Experience Years]]&lt;=2,"Entry Level",IF(Table1[[#This Row],[Experience Years]]&lt;=7,"Mid Level",IF(Table1[[#This Row],[Experience Years]]&lt;=15,"Senior Level")))</f>
        <v>Senior Level</v>
      </c>
      <c r="N553" s="1">
        <f>AVERAGE(Table1[[#This Row],[Interview Score]:[Personality Score]])</f>
        <v>49</v>
      </c>
      <c r="O5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53" s="2" t="str">
        <f t="shared" si="8"/>
        <v>30-40</v>
      </c>
    </row>
    <row r="554" spans="1:16" x14ac:dyDescent="0.25">
      <c r="A554">
        <v>45</v>
      </c>
      <c r="B554" s="2">
        <v>1</v>
      </c>
      <c r="C554" s="2">
        <v>3</v>
      </c>
      <c r="D554" s="2">
        <v>9</v>
      </c>
      <c r="E554" s="2">
        <v>4</v>
      </c>
      <c r="F554" s="1">
        <v>16.787170119999999</v>
      </c>
      <c r="G554" s="2">
        <v>71</v>
      </c>
      <c r="H554" s="2">
        <v>60</v>
      </c>
      <c r="I554" s="2">
        <v>97</v>
      </c>
      <c r="J554" s="2">
        <v>2</v>
      </c>
      <c r="K554" s="2">
        <v>1</v>
      </c>
      <c r="L55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54" t="str">
        <f>IF(Table1[[#This Row],[Experience Years]]&lt;=2,"Entry Level",IF(Table1[[#This Row],[Experience Years]]&lt;=7,"Mid Level",IF(Table1[[#This Row],[Experience Years]]&lt;=15,"Senior Level")))</f>
        <v>Senior Level</v>
      </c>
      <c r="N554" s="1">
        <f>AVERAGE(Table1[[#This Row],[Interview Score]:[Personality Score]])</f>
        <v>76</v>
      </c>
      <c r="O5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54" s="2" t="str">
        <f t="shared" si="8"/>
        <v>10-20</v>
      </c>
    </row>
    <row r="555" spans="1:16" x14ac:dyDescent="0.25">
      <c r="A555">
        <v>41</v>
      </c>
      <c r="B555" s="2">
        <v>0</v>
      </c>
      <c r="C555" s="2">
        <v>2</v>
      </c>
      <c r="D555" s="2">
        <v>12</v>
      </c>
      <c r="E555" s="2">
        <v>1</v>
      </c>
      <c r="F555" s="1">
        <v>32.075936200000001</v>
      </c>
      <c r="G555" s="2">
        <v>47</v>
      </c>
      <c r="H555" s="2">
        <v>17</v>
      </c>
      <c r="I555" s="2">
        <v>47</v>
      </c>
      <c r="J555" s="2">
        <v>2</v>
      </c>
      <c r="K555" s="2">
        <v>0</v>
      </c>
      <c r="L55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55" s="2" t="str">
        <f>IF(Table1[[#This Row],[Experience Years]]&lt;=2,"Entry Level",IF(Table1[[#This Row],[Experience Years]]&lt;=7,"Mid Level",IF(Table1[[#This Row],[Experience Years]]&lt;=15,"Senior Level")))</f>
        <v>Senior Level</v>
      </c>
      <c r="N555" s="1">
        <f>AVERAGE(Table1[[#This Row],[Interview Score]:[Personality Score]])</f>
        <v>37</v>
      </c>
      <c r="O5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55" s="2" t="str">
        <f t="shared" si="8"/>
        <v>30-40</v>
      </c>
    </row>
    <row r="556" spans="1:16" x14ac:dyDescent="0.25">
      <c r="A556">
        <v>36</v>
      </c>
      <c r="B556" s="2">
        <v>0</v>
      </c>
      <c r="C556" s="2">
        <v>2</v>
      </c>
      <c r="D556" s="2">
        <v>2</v>
      </c>
      <c r="E556" s="2">
        <v>4</v>
      </c>
      <c r="F556" s="1">
        <v>11.993097819999999</v>
      </c>
      <c r="G556" s="2">
        <v>49</v>
      </c>
      <c r="H556" s="2">
        <v>69</v>
      </c>
      <c r="I556" s="2">
        <v>98</v>
      </c>
      <c r="J556" s="2">
        <v>1</v>
      </c>
      <c r="K556" s="2">
        <v>1</v>
      </c>
      <c r="L55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56" s="2" t="str">
        <f>IF(Table1[[#This Row],[Experience Years]]&lt;=2,"Entry Level",IF(Table1[[#This Row],[Experience Years]]&lt;=7,"Mid Level",IF(Table1[[#This Row],[Experience Years]]&lt;=15,"Senior Level")))</f>
        <v>Entry Level</v>
      </c>
      <c r="N556" s="1">
        <f>AVERAGE(Table1[[#This Row],[Interview Score]:[Personality Score]])</f>
        <v>72</v>
      </c>
      <c r="O5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56" s="2" t="str">
        <f t="shared" si="8"/>
        <v>10-20</v>
      </c>
    </row>
    <row r="557" spans="1:16" x14ac:dyDescent="0.25">
      <c r="A557">
        <v>39</v>
      </c>
      <c r="B557" s="2">
        <v>0</v>
      </c>
      <c r="C557" s="2">
        <v>1</v>
      </c>
      <c r="D557" s="2">
        <v>2</v>
      </c>
      <c r="E557" s="2">
        <v>2</v>
      </c>
      <c r="F557" s="1">
        <v>23.241967970000001</v>
      </c>
      <c r="G557" s="2">
        <v>12</v>
      </c>
      <c r="H557" s="2">
        <v>81</v>
      </c>
      <c r="I557" s="2">
        <v>18</v>
      </c>
      <c r="J557" s="2">
        <v>1</v>
      </c>
      <c r="K557" s="2">
        <v>0</v>
      </c>
      <c r="L55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57" s="2" t="str">
        <f>IF(Table1[[#This Row],[Experience Years]]&lt;=2,"Entry Level",IF(Table1[[#This Row],[Experience Years]]&lt;=7,"Mid Level",IF(Table1[[#This Row],[Experience Years]]&lt;=15,"Senior Level")))</f>
        <v>Entry Level</v>
      </c>
      <c r="N557" s="1">
        <f>AVERAGE(Table1[[#This Row],[Interview Score]:[Personality Score]])</f>
        <v>37</v>
      </c>
      <c r="O5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57" s="2" t="str">
        <f t="shared" si="8"/>
        <v>20-30</v>
      </c>
    </row>
    <row r="558" spans="1:16" x14ac:dyDescent="0.25">
      <c r="A558">
        <v>29</v>
      </c>
      <c r="B558" s="2">
        <v>1</v>
      </c>
      <c r="C558" s="2">
        <v>2</v>
      </c>
      <c r="D558" s="2">
        <v>2</v>
      </c>
      <c r="E558" s="2">
        <v>4</v>
      </c>
      <c r="F558" s="1">
        <v>45.970626109999998</v>
      </c>
      <c r="G558" s="2">
        <v>14</v>
      </c>
      <c r="H558" s="2">
        <v>79</v>
      </c>
      <c r="I558" s="2">
        <v>71</v>
      </c>
      <c r="J558" s="2">
        <v>2</v>
      </c>
      <c r="K558" s="2">
        <v>0</v>
      </c>
      <c r="L55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58" t="str">
        <f>IF(Table1[[#This Row],[Experience Years]]&lt;=2,"Entry Level",IF(Table1[[#This Row],[Experience Years]]&lt;=7,"Mid Level",IF(Table1[[#This Row],[Experience Years]]&lt;=15,"Senior Level")))</f>
        <v>Entry Level</v>
      </c>
      <c r="N558" s="1">
        <f>AVERAGE(Table1[[#This Row],[Interview Score]:[Personality Score]])</f>
        <v>54.666666666666664</v>
      </c>
      <c r="O5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58" s="2" t="str">
        <f t="shared" si="8"/>
        <v>40-50</v>
      </c>
    </row>
    <row r="559" spans="1:16" x14ac:dyDescent="0.25">
      <c r="A559">
        <v>25</v>
      </c>
      <c r="B559" s="2">
        <v>1</v>
      </c>
      <c r="C559" s="2">
        <v>2</v>
      </c>
      <c r="D559" s="2">
        <v>5</v>
      </c>
      <c r="E559" s="2">
        <v>3</v>
      </c>
      <c r="F559" s="1">
        <v>7.6767116580000003</v>
      </c>
      <c r="G559" s="2">
        <v>52</v>
      </c>
      <c r="H559" s="2">
        <v>14</v>
      </c>
      <c r="I559" s="2">
        <v>32</v>
      </c>
      <c r="J559" s="2">
        <v>2</v>
      </c>
      <c r="K559" s="2">
        <v>0</v>
      </c>
      <c r="L55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59" t="str">
        <f>IF(Table1[[#This Row],[Experience Years]]&lt;=2,"Entry Level",IF(Table1[[#This Row],[Experience Years]]&lt;=7,"Mid Level",IF(Table1[[#This Row],[Experience Years]]&lt;=15,"Senior Level")))</f>
        <v>Mid Level</v>
      </c>
      <c r="N559" s="1">
        <f>AVERAGE(Table1[[#This Row],[Interview Score]:[Personality Score]])</f>
        <v>32.666666666666664</v>
      </c>
      <c r="O5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59" s="2" t="str">
        <f t="shared" si="8"/>
        <v>0-10</v>
      </c>
    </row>
    <row r="560" spans="1:16" x14ac:dyDescent="0.25">
      <c r="A560">
        <v>34</v>
      </c>
      <c r="B560" s="2">
        <v>0</v>
      </c>
      <c r="C560" s="2">
        <v>2</v>
      </c>
      <c r="D560" s="2">
        <v>13</v>
      </c>
      <c r="E560" s="2">
        <v>3</v>
      </c>
      <c r="F560" s="1">
        <v>20.334822500000001</v>
      </c>
      <c r="G560" s="2">
        <v>43</v>
      </c>
      <c r="H560" s="2">
        <v>47</v>
      </c>
      <c r="I560" s="2">
        <v>43</v>
      </c>
      <c r="J560" s="2">
        <v>2</v>
      </c>
      <c r="K560" s="2">
        <v>0</v>
      </c>
      <c r="L56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60" s="2" t="str">
        <f>IF(Table1[[#This Row],[Experience Years]]&lt;=2,"Entry Level",IF(Table1[[#This Row],[Experience Years]]&lt;=7,"Mid Level",IF(Table1[[#This Row],[Experience Years]]&lt;=15,"Senior Level")))</f>
        <v>Senior Level</v>
      </c>
      <c r="N560" s="1">
        <f>AVERAGE(Table1[[#This Row],[Interview Score]:[Personality Score]])</f>
        <v>44.333333333333336</v>
      </c>
      <c r="O5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60" s="2" t="str">
        <f t="shared" si="8"/>
        <v>20-30</v>
      </c>
    </row>
    <row r="561" spans="1:16" x14ac:dyDescent="0.25">
      <c r="A561">
        <v>41</v>
      </c>
      <c r="B561" s="2">
        <v>1</v>
      </c>
      <c r="C561" s="2">
        <v>3</v>
      </c>
      <c r="D561" s="2">
        <v>15</v>
      </c>
      <c r="E561" s="2">
        <v>5</v>
      </c>
      <c r="F561" s="1">
        <v>42.057121240000001</v>
      </c>
      <c r="G561" s="2">
        <v>7</v>
      </c>
      <c r="H561" s="2">
        <v>71</v>
      </c>
      <c r="I561" s="2">
        <v>91</v>
      </c>
      <c r="J561" s="2">
        <v>2</v>
      </c>
      <c r="K561" s="2">
        <v>1</v>
      </c>
      <c r="L56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61" t="str">
        <f>IF(Table1[[#This Row],[Experience Years]]&lt;=2,"Entry Level",IF(Table1[[#This Row],[Experience Years]]&lt;=7,"Mid Level",IF(Table1[[#This Row],[Experience Years]]&lt;=15,"Senior Level")))</f>
        <v>Senior Level</v>
      </c>
      <c r="N561" s="1">
        <f>AVERAGE(Table1[[#This Row],[Interview Score]:[Personality Score]])</f>
        <v>56.333333333333336</v>
      </c>
      <c r="O5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61" s="2" t="str">
        <f t="shared" si="8"/>
        <v>40-50</v>
      </c>
    </row>
    <row r="562" spans="1:16" x14ac:dyDescent="0.25">
      <c r="A562">
        <v>30</v>
      </c>
      <c r="B562" s="2">
        <v>0</v>
      </c>
      <c r="C562" s="2">
        <v>2</v>
      </c>
      <c r="D562" s="2">
        <v>7</v>
      </c>
      <c r="E562" s="2">
        <v>5</v>
      </c>
      <c r="F562" s="1">
        <v>49.474544969999997</v>
      </c>
      <c r="G562" s="2">
        <v>73</v>
      </c>
      <c r="H562" s="2">
        <v>12</v>
      </c>
      <c r="I562" s="2">
        <v>36</v>
      </c>
      <c r="J562" s="2">
        <v>2</v>
      </c>
      <c r="K562" s="2">
        <v>0</v>
      </c>
      <c r="L56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62" s="2" t="str">
        <f>IF(Table1[[#This Row],[Experience Years]]&lt;=2,"Entry Level",IF(Table1[[#This Row],[Experience Years]]&lt;=7,"Mid Level",IF(Table1[[#This Row],[Experience Years]]&lt;=15,"Senior Level")))</f>
        <v>Mid Level</v>
      </c>
      <c r="N562" s="1">
        <f>AVERAGE(Table1[[#This Row],[Interview Score]:[Personality Score]])</f>
        <v>40.333333333333336</v>
      </c>
      <c r="O5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62" s="2" t="str">
        <f t="shared" si="8"/>
        <v>40-50</v>
      </c>
    </row>
    <row r="563" spans="1:16" x14ac:dyDescent="0.25">
      <c r="A563">
        <v>47</v>
      </c>
      <c r="B563" s="2">
        <v>0</v>
      </c>
      <c r="C563" s="2">
        <v>2</v>
      </c>
      <c r="D563" s="2">
        <v>10</v>
      </c>
      <c r="E563" s="2">
        <v>5</v>
      </c>
      <c r="F563" s="1">
        <v>23.69630682</v>
      </c>
      <c r="G563" s="2">
        <v>45</v>
      </c>
      <c r="H563" s="2">
        <v>42</v>
      </c>
      <c r="I563" s="2">
        <v>88</v>
      </c>
      <c r="J563" s="2">
        <v>3</v>
      </c>
      <c r="K563" s="2">
        <v>0</v>
      </c>
      <c r="L56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63" s="2" t="str">
        <f>IF(Table1[[#This Row],[Experience Years]]&lt;=2,"Entry Level",IF(Table1[[#This Row],[Experience Years]]&lt;=7,"Mid Level",IF(Table1[[#This Row],[Experience Years]]&lt;=15,"Senior Level")))</f>
        <v>Senior Level</v>
      </c>
      <c r="N563" s="1">
        <f>AVERAGE(Table1[[#This Row],[Interview Score]:[Personality Score]])</f>
        <v>58.333333333333336</v>
      </c>
      <c r="O5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63" s="2" t="str">
        <f t="shared" si="8"/>
        <v>20-30</v>
      </c>
    </row>
    <row r="564" spans="1:16" x14ac:dyDescent="0.25">
      <c r="A564">
        <v>24</v>
      </c>
      <c r="B564" s="2">
        <v>1</v>
      </c>
      <c r="C564" s="2">
        <v>2</v>
      </c>
      <c r="D564" s="2">
        <v>6</v>
      </c>
      <c r="E564" s="2">
        <v>1</v>
      </c>
      <c r="F564" s="1">
        <v>26.34998101</v>
      </c>
      <c r="G564" s="2">
        <v>68</v>
      </c>
      <c r="H564" s="2">
        <v>59</v>
      </c>
      <c r="I564" s="2">
        <v>35</v>
      </c>
      <c r="J564" s="2">
        <v>2</v>
      </c>
      <c r="K564" s="2">
        <v>0</v>
      </c>
      <c r="L56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64" t="str">
        <f>IF(Table1[[#This Row],[Experience Years]]&lt;=2,"Entry Level",IF(Table1[[#This Row],[Experience Years]]&lt;=7,"Mid Level",IF(Table1[[#This Row],[Experience Years]]&lt;=15,"Senior Level")))</f>
        <v>Mid Level</v>
      </c>
      <c r="N564" s="1">
        <f>AVERAGE(Table1[[#This Row],[Interview Score]:[Personality Score]])</f>
        <v>54</v>
      </c>
      <c r="O5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64" s="2" t="str">
        <f t="shared" si="8"/>
        <v>20-30</v>
      </c>
    </row>
    <row r="565" spans="1:16" x14ac:dyDescent="0.25">
      <c r="A565">
        <v>20</v>
      </c>
      <c r="B565" s="2">
        <v>0</v>
      </c>
      <c r="C565" s="2">
        <v>1</v>
      </c>
      <c r="D565" s="2">
        <v>13</v>
      </c>
      <c r="E565" s="2">
        <v>5</v>
      </c>
      <c r="F565" s="1">
        <v>29.608598090000001</v>
      </c>
      <c r="G565" s="2">
        <v>18</v>
      </c>
      <c r="H565" s="2">
        <v>56</v>
      </c>
      <c r="I565" s="2">
        <v>80</v>
      </c>
      <c r="J565" s="2">
        <v>3</v>
      </c>
      <c r="K565" s="2">
        <v>0</v>
      </c>
      <c r="L56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65" s="2" t="str">
        <f>IF(Table1[[#This Row],[Experience Years]]&lt;=2,"Entry Level",IF(Table1[[#This Row],[Experience Years]]&lt;=7,"Mid Level",IF(Table1[[#This Row],[Experience Years]]&lt;=15,"Senior Level")))</f>
        <v>Senior Level</v>
      </c>
      <c r="N565" s="1">
        <f>AVERAGE(Table1[[#This Row],[Interview Score]:[Personality Score]])</f>
        <v>51.333333333333336</v>
      </c>
      <c r="O5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65" s="2" t="str">
        <f t="shared" si="8"/>
        <v>20-30</v>
      </c>
    </row>
    <row r="566" spans="1:16" x14ac:dyDescent="0.25">
      <c r="A566">
        <v>27</v>
      </c>
      <c r="B566" s="2">
        <v>1</v>
      </c>
      <c r="C566" s="2">
        <v>2</v>
      </c>
      <c r="D566" s="2">
        <v>3</v>
      </c>
      <c r="E566" s="2">
        <v>1</v>
      </c>
      <c r="F566" s="1">
        <v>47.61740708</v>
      </c>
      <c r="G566" s="2">
        <v>37</v>
      </c>
      <c r="H566" s="2">
        <v>70</v>
      </c>
      <c r="I566" s="2">
        <v>87</v>
      </c>
      <c r="J566" s="2">
        <v>1</v>
      </c>
      <c r="K566" s="2">
        <v>1</v>
      </c>
      <c r="L56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66" t="str">
        <f>IF(Table1[[#This Row],[Experience Years]]&lt;=2,"Entry Level",IF(Table1[[#This Row],[Experience Years]]&lt;=7,"Mid Level",IF(Table1[[#This Row],[Experience Years]]&lt;=15,"Senior Level")))</f>
        <v>Mid Level</v>
      </c>
      <c r="N566" s="1">
        <f>AVERAGE(Table1[[#This Row],[Interview Score]:[Personality Score]])</f>
        <v>64.666666666666671</v>
      </c>
      <c r="O5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66" s="2" t="str">
        <f t="shared" si="8"/>
        <v>40-50</v>
      </c>
    </row>
    <row r="567" spans="1:16" x14ac:dyDescent="0.25">
      <c r="A567">
        <v>40</v>
      </c>
      <c r="B567" s="2">
        <v>0</v>
      </c>
      <c r="C567" s="2">
        <v>1</v>
      </c>
      <c r="D567" s="2">
        <v>10</v>
      </c>
      <c r="E567" s="2">
        <v>5</v>
      </c>
      <c r="F567" s="1">
        <v>43.910339550000003</v>
      </c>
      <c r="G567" s="2">
        <v>10</v>
      </c>
      <c r="H567" s="2">
        <v>16</v>
      </c>
      <c r="I567" s="2">
        <v>20</v>
      </c>
      <c r="J567" s="2">
        <v>2</v>
      </c>
      <c r="K567" s="2">
        <v>0</v>
      </c>
      <c r="L56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67" s="2" t="str">
        <f>IF(Table1[[#This Row],[Experience Years]]&lt;=2,"Entry Level",IF(Table1[[#This Row],[Experience Years]]&lt;=7,"Mid Level",IF(Table1[[#This Row],[Experience Years]]&lt;=15,"Senior Level")))</f>
        <v>Senior Level</v>
      </c>
      <c r="N567" s="1">
        <f>AVERAGE(Table1[[#This Row],[Interview Score]:[Personality Score]])</f>
        <v>15.333333333333334</v>
      </c>
      <c r="O5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67" s="2" t="str">
        <f t="shared" si="8"/>
        <v>40-50</v>
      </c>
    </row>
    <row r="568" spans="1:16" x14ac:dyDescent="0.25">
      <c r="A568">
        <v>47</v>
      </c>
      <c r="B568" s="2">
        <v>1</v>
      </c>
      <c r="C568" s="2">
        <v>1</v>
      </c>
      <c r="D568" s="2">
        <v>11</v>
      </c>
      <c r="E568" s="2">
        <v>1</v>
      </c>
      <c r="F568" s="1">
        <v>9.5300562309999997</v>
      </c>
      <c r="G568" s="2">
        <v>42</v>
      </c>
      <c r="H568" s="2">
        <v>49</v>
      </c>
      <c r="I568" s="2">
        <v>1</v>
      </c>
      <c r="J568" s="2">
        <v>2</v>
      </c>
      <c r="K568" s="2">
        <v>0</v>
      </c>
      <c r="L56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68" t="str">
        <f>IF(Table1[[#This Row],[Experience Years]]&lt;=2,"Entry Level",IF(Table1[[#This Row],[Experience Years]]&lt;=7,"Mid Level",IF(Table1[[#This Row],[Experience Years]]&lt;=15,"Senior Level")))</f>
        <v>Senior Level</v>
      </c>
      <c r="N568" s="1">
        <f>AVERAGE(Table1[[#This Row],[Interview Score]:[Personality Score]])</f>
        <v>30.666666666666668</v>
      </c>
      <c r="O5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68" s="2" t="str">
        <f t="shared" si="8"/>
        <v>0-10</v>
      </c>
    </row>
    <row r="569" spans="1:16" x14ac:dyDescent="0.25">
      <c r="A569">
        <v>31</v>
      </c>
      <c r="B569" s="2">
        <v>1</v>
      </c>
      <c r="C569" s="2">
        <v>1</v>
      </c>
      <c r="D569" s="2">
        <v>3</v>
      </c>
      <c r="E569" s="2">
        <v>4</v>
      </c>
      <c r="F569" s="1">
        <v>22.837890890000001</v>
      </c>
      <c r="G569" s="2">
        <v>19</v>
      </c>
      <c r="H569" s="2">
        <v>31</v>
      </c>
      <c r="I569" s="2">
        <v>30</v>
      </c>
      <c r="J569" s="2">
        <v>1</v>
      </c>
      <c r="K569" s="2">
        <v>0</v>
      </c>
      <c r="L56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69" t="str">
        <f>IF(Table1[[#This Row],[Experience Years]]&lt;=2,"Entry Level",IF(Table1[[#This Row],[Experience Years]]&lt;=7,"Mid Level",IF(Table1[[#This Row],[Experience Years]]&lt;=15,"Senior Level")))</f>
        <v>Mid Level</v>
      </c>
      <c r="N569" s="1">
        <f>AVERAGE(Table1[[#This Row],[Interview Score]:[Personality Score]])</f>
        <v>26.666666666666668</v>
      </c>
      <c r="O5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69" s="2" t="str">
        <f t="shared" si="8"/>
        <v>20-30</v>
      </c>
    </row>
    <row r="570" spans="1:16" x14ac:dyDescent="0.25">
      <c r="A570">
        <v>31</v>
      </c>
      <c r="B570" s="2">
        <v>1</v>
      </c>
      <c r="C570" s="2">
        <v>2</v>
      </c>
      <c r="D570" s="2">
        <v>10</v>
      </c>
      <c r="E570" s="2">
        <v>4</v>
      </c>
      <c r="F570" s="1">
        <v>24.200021410000002</v>
      </c>
      <c r="G570" s="2">
        <v>19</v>
      </c>
      <c r="H570" s="2">
        <v>21</v>
      </c>
      <c r="I570" s="2">
        <v>96</v>
      </c>
      <c r="J570" s="2">
        <v>1</v>
      </c>
      <c r="K570" s="2">
        <v>1</v>
      </c>
      <c r="L57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70" t="str">
        <f>IF(Table1[[#This Row],[Experience Years]]&lt;=2,"Entry Level",IF(Table1[[#This Row],[Experience Years]]&lt;=7,"Mid Level",IF(Table1[[#This Row],[Experience Years]]&lt;=15,"Senior Level")))</f>
        <v>Senior Level</v>
      </c>
      <c r="N570" s="1">
        <f>AVERAGE(Table1[[#This Row],[Interview Score]:[Personality Score]])</f>
        <v>45.333333333333336</v>
      </c>
      <c r="O5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70" s="2" t="str">
        <f t="shared" si="8"/>
        <v>20-30</v>
      </c>
    </row>
    <row r="571" spans="1:16" x14ac:dyDescent="0.25">
      <c r="A571">
        <v>24</v>
      </c>
      <c r="B571" s="2">
        <v>0</v>
      </c>
      <c r="C571" s="2">
        <v>3</v>
      </c>
      <c r="D571" s="2">
        <v>9</v>
      </c>
      <c r="E571" s="2">
        <v>3</v>
      </c>
      <c r="F571" s="1">
        <v>40.454805579999999</v>
      </c>
      <c r="G571" s="2">
        <v>20</v>
      </c>
      <c r="H571" s="2">
        <v>54</v>
      </c>
      <c r="I571" s="2">
        <v>29</v>
      </c>
      <c r="J571" s="2">
        <v>2</v>
      </c>
      <c r="K571" s="2">
        <v>0</v>
      </c>
      <c r="L57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71" s="2" t="str">
        <f>IF(Table1[[#This Row],[Experience Years]]&lt;=2,"Entry Level",IF(Table1[[#This Row],[Experience Years]]&lt;=7,"Mid Level",IF(Table1[[#This Row],[Experience Years]]&lt;=15,"Senior Level")))</f>
        <v>Senior Level</v>
      </c>
      <c r="N571" s="1">
        <f>AVERAGE(Table1[[#This Row],[Interview Score]:[Personality Score]])</f>
        <v>34.333333333333336</v>
      </c>
      <c r="O5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71" s="2" t="str">
        <f t="shared" si="8"/>
        <v>40-50</v>
      </c>
    </row>
    <row r="572" spans="1:16" x14ac:dyDescent="0.25">
      <c r="A572">
        <v>26</v>
      </c>
      <c r="B572" s="2">
        <v>0</v>
      </c>
      <c r="C572" s="2">
        <v>2</v>
      </c>
      <c r="D572" s="2">
        <v>14</v>
      </c>
      <c r="E572" s="2">
        <v>1</v>
      </c>
      <c r="F572" s="1">
        <v>31.14464413</v>
      </c>
      <c r="G572" s="2">
        <v>81</v>
      </c>
      <c r="H572" s="2">
        <v>56</v>
      </c>
      <c r="I572" s="2">
        <v>75</v>
      </c>
      <c r="J572" s="2">
        <v>1</v>
      </c>
      <c r="K572" s="2">
        <v>1</v>
      </c>
      <c r="L57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72" s="2" t="str">
        <f>IF(Table1[[#This Row],[Experience Years]]&lt;=2,"Entry Level",IF(Table1[[#This Row],[Experience Years]]&lt;=7,"Mid Level",IF(Table1[[#This Row],[Experience Years]]&lt;=15,"Senior Level")))</f>
        <v>Senior Level</v>
      </c>
      <c r="N572" s="1">
        <f>AVERAGE(Table1[[#This Row],[Interview Score]:[Personality Score]])</f>
        <v>70.666666666666671</v>
      </c>
      <c r="O5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72" s="2" t="str">
        <f t="shared" si="8"/>
        <v>30-40</v>
      </c>
    </row>
    <row r="573" spans="1:16" x14ac:dyDescent="0.25">
      <c r="A573">
        <v>23</v>
      </c>
      <c r="B573" s="2">
        <v>1</v>
      </c>
      <c r="C573" s="2">
        <v>2</v>
      </c>
      <c r="D573" s="2">
        <v>10</v>
      </c>
      <c r="E573" s="2">
        <v>2</v>
      </c>
      <c r="F573" s="1">
        <v>33.711023099999998</v>
      </c>
      <c r="G573" s="2">
        <v>56</v>
      </c>
      <c r="H573" s="2">
        <v>12</v>
      </c>
      <c r="I573" s="2">
        <v>43</v>
      </c>
      <c r="J573" s="2">
        <v>1</v>
      </c>
      <c r="K573" s="2">
        <v>0</v>
      </c>
      <c r="L57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73" t="str">
        <f>IF(Table1[[#This Row],[Experience Years]]&lt;=2,"Entry Level",IF(Table1[[#This Row],[Experience Years]]&lt;=7,"Mid Level",IF(Table1[[#This Row],[Experience Years]]&lt;=15,"Senior Level")))</f>
        <v>Senior Level</v>
      </c>
      <c r="N573" s="1">
        <f>AVERAGE(Table1[[#This Row],[Interview Score]:[Personality Score]])</f>
        <v>37</v>
      </c>
      <c r="O5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73" s="2" t="str">
        <f t="shared" si="8"/>
        <v>30-40</v>
      </c>
    </row>
    <row r="574" spans="1:16" x14ac:dyDescent="0.25">
      <c r="A574">
        <v>25</v>
      </c>
      <c r="B574" s="2">
        <v>1</v>
      </c>
      <c r="C574" s="2">
        <v>2</v>
      </c>
      <c r="D574" s="2">
        <v>15</v>
      </c>
      <c r="E574" s="2">
        <v>3</v>
      </c>
      <c r="F574" s="1">
        <v>50.909995379999998</v>
      </c>
      <c r="G574" s="2">
        <v>49</v>
      </c>
      <c r="H574" s="2">
        <v>46</v>
      </c>
      <c r="I574" s="2">
        <v>11</v>
      </c>
      <c r="J574" s="2">
        <v>3</v>
      </c>
      <c r="K574" s="2">
        <v>0</v>
      </c>
      <c r="L57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74" t="str">
        <f>IF(Table1[[#This Row],[Experience Years]]&lt;=2,"Entry Level",IF(Table1[[#This Row],[Experience Years]]&lt;=7,"Mid Level",IF(Table1[[#This Row],[Experience Years]]&lt;=15,"Senior Level")))</f>
        <v>Senior Level</v>
      </c>
      <c r="N574" s="1">
        <f>AVERAGE(Table1[[#This Row],[Interview Score]:[Personality Score]])</f>
        <v>35.333333333333336</v>
      </c>
      <c r="O5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74" s="2" t="str">
        <f t="shared" si="8"/>
        <v>50+</v>
      </c>
    </row>
    <row r="575" spans="1:16" x14ac:dyDescent="0.25">
      <c r="A575">
        <v>32</v>
      </c>
      <c r="B575" s="2">
        <v>0</v>
      </c>
      <c r="C575" s="2">
        <v>1</v>
      </c>
      <c r="D575" s="2">
        <v>10</v>
      </c>
      <c r="E575" s="2">
        <v>4</v>
      </c>
      <c r="F575" s="1">
        <v>4.7480021739999998</v>
      </c>
      <c r="G575" s="2">
        <v>73</v>
      </c>
      <c r="H575" s="2">
        <v>86</v>
      </c>
      <c r="I575" s="2">
        <v>50</v>
      </c>
      <c r="J575" s="2">
        <v>3</v>
      </c>
      <c r="K575" s="2">
        <v>0</v>
      </c>
      <c r="L57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75" s="2" t="str">
        <f>IF(Table1[[#This Row],[Experience Years]]&lt;=2,"Entry Level",IF(Table1[[#This Row],[Experience Years]]&lt;=7,"Mid Level",IF(Table1[[#This Row],[Experience Years]]&lt;=15,"Senior Level")))</f>
        <v>Senior Level</v>
      </c>
      <c r="N575" s="1">
        <f>AVERAGE(Table1[[#This Row],[Interview Score]:[Personality Score]])</f>
        <v>69.666666666666671</v>
      </c>
      <c r="O5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75" s="2" t="str">
        <f t="shared" si="8"/>
        <v>0-10</v>
      </c>
    </row>
    <row r="576" spans="1:16" x14ac:dyDescent="0.25">
      <c r="A576">
        <v>39</v>
      </c>
      <c r="B576" s="2">
        <v>0</v>
      </c>
      <c r="C576" s="2">
        <v>3</v>
      </c>
      <c r="D576" s="2">
        <v>13</v>
      </c>
      <c r="E576" s="2">
        <v>1</v>
      </c>
      <c r="F576" s="1">
        <v>12.15049118</v>
      </c>
      <c r="G576" s="2">
        <v>97</v>
      </c>
      <c r="H576" s="2">
        <v>61</v>
      </c>
      <c r="I576" s="2">
        <v>48</v>
      </c>
      <c r="J576" s="2">
        <v>2</v>
      </c>
      <c r="K576" s="2">
        <v>1</v>
      </c>
      <c r="L57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76" s="2" t="str">
        <f>IF(Table1[[#This Row],[Experience Years]]&lt;=2,"Entry Level",IF(Table1[[#This Row],[Experience Years]]&lt;=7,"Mid Level",IF(Table1[[#This Row],[Experience Years]]&lt;=15,"Senior Level")))</f>
        <v>Senior Level</v>
      </c>
      <c r="N576" s="1">
        <f>AVERAGE(Table1[[#This Row],[Interview Score]:[Personality Score]])</f>
        <v>68.666666666666671</v>
      </c>
      <c r="O5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76" s="2" t="str">
        <f t="shared" si="8"/>
        <v>10-20</v>
      </c>
    </row>
    <row r="577" spans="1:16" x14ac:dyDescent="0.25">
      <c r="A577">
        <v>49</v>
      </c>
      <c r="B577" s="2">
        <v>0</v>
      </c>
      <c r="C577" s="2">
        <v>2</v>
      </c>
      <c r="D577" s="2">
        <v>10</v>
      </c>
      <c r="E577" s="2">
        <v>5</v>
      </c>
      <c r="F577" s="1">
        <v>21.39479687</v>
      </c>
      <c r="G577" s="2">
        <v>25</v>
      </c>
      <c r="H577" s="2">
        <v>53</v>
      </c>
      <c r="I577" s="2">
        <v>23</v>
      </c>
      <c r="J577" s="2">
        <v>2</v>
      </c>
      <c r="K577" s="2">
        <v>0</v>
      </c>
      <c r="L57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77" s="2" t="str">
        <f>IF(Table1[[#This Row],[Experience Years]]&lt;=2,"Entry Level",IF(Table1[[#This Row],[Experience Years]]&lt;=7,"Mid Level",IF(Table1[[#This Row],[Experience Years]]&lt;=15,"Senior Level")))</f>
        <v>Senior Level</v>
      </c>
      <c r="N577" s="1">
        <f>AVERAGE(Table1[[#This Row],[Interview Score]:[Personality Score]])</f>
        <v>33.666666666666664</v>
      </c>
      <c r="O5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77" s="2" t="str">
        <f t="shared" si="8"/>
        <v>20-30</v>
      </c>
    </row>
    <row r="578" spans="1:16" x14ac:dyDescent="0.25">
      <c r="A578">
        <v>34</v>
      </c>
      <c r="B578" s="2">
        <v>1</v>
      </c>
      <c r="C578" s="2">
        <v>2</v>
      </c>
      <c r="D578" s="2">
        <v>1</v>
      </c>
      <c r="E578" s="2">
        <v>2</v>
      </c>
      <c r="F578" s="1">
        <v>18.38912015</v>
      </c>
      <c r="G578" s="2">
        <v>29</v>
      </c>
      <c r="H578" s="2">
        <v>28</v>
      </c>
      <c r="I578" s="2">
        <v>23</v>
      </c>
      <c r="J578" s="2">
        <v>3</v>
      </c>
      <c r="K578" s="2">
        <v>0</v>
      </c>
      <c r="L57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78" t="str">
        <f>IF(Table1[[#This Row],[Experience Years]]&lt;=2,"Entry Level",IF(Table1[[#This Row],[Experience Years]]&lt;=7,"Mid Level",IF(Table1[[#This Row],[Experience Years]]&lt;=15,"Senior Level")))</f>
        <v>Entry Level</v>
      </c>
      <c r="N578" s="1">
        <f>AVERAGE(Table1[[#This Row],[Interview Score]:[Personality Score]])</f>
        <v>26.666666666666668</v>
      </c>
      <c r="O5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78" s="2" t="str">
        <f t="shared" ref="P578:P641" si="9">IF(F578&lt;10,"0-10",IF(F578&lt;20,"10-20",IF(F578&lt;30,"20-30",IF(F578&lt;40,"30-40",IF(F578&lt;50,"40-50","50+")))))</f>
        <v>10-20</v>
      </c>
    </row>
    <row r="579" spans="1:16" x14ac:dyDescent="0.25">
      <c r="A579">
        <v>22</v>
      </c>
      <c r="B579" s="2">
        <v>0</v>
      </c>
      <c r="C579" s="2">
        <v>2</v>
      </c>
      <c r="D579" s="2">
        <v>13</v>
      </c>
      <c r="E579" s="2">
        <v>4</v>
      </c>
      <c r="F579" s="1">
        <v>2.0822780669999998</v>
      </c>
      <c r="G579" s="2">
        <v>72</v>
      </c>
      <c r="H579" s="2">
        <v>21</v>
      </c>
      <c r="I579" s="2">
        <v>59</v>
      </c>
      <c r="J579" s="2">
        <v>2</v>
      </c>
      <c r="K579" s="2">
        <v>0</v>
      </c>
      <c r="L57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79" s="2" t="str">
        <f>IF(Table1[[#This Row],[Experience Years]]&lt;=2,"Entry Level",IF(Table1[[#This Row],[Experience Years]]&lt;=7,"Mid Level",IF(Table1[[#This Row],[Experience Years]]&lt;=15,"Senior Level")))</f>
        <v>Senior Level</v>
      </c>
      <c r="N579" s="1">
        <f>AVERAGE(Table1[[#This Row],[Interview Score]:[Personality Score]])</f>
        <v>50.666666666666664</v>
      </c>
      <c r="O5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79" s="2" t="str">
        <f t="shared" si="9"/>
        <v>0-10</v>
      </c>
    </row>
    <row r="580" spans="1:16" x14ac:dyDescent="0.25">
      <c r="A580">
        <v>42</v>
      </c>
      <c r="B580" s="2">
        <v>0</v>
      </c>
      <c r="C580" s="2">
        <v>1</v>
      </c>
      <c r="D580" s="2">
        <v>15</v>
      </c>
      <c r="E580" s="2">
        <v>3</v>
      </c>
      <c r="F580" s="1">
        <v>5.5888803239999998</v>
      </c>
      <c r="G580" s="2">
        <v>30</v>
      </c>
      <c r="H580" s="2">
        <v>64</v>
      </c>
      <c r="I580" s="2">
        <v>10</v>
      </c>
      <c r="J580" s="2">
        <v>1</v>
      </c>
      <c r="K580" s="2">
        <v>1</v>
      </c>
      <c r="L58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80" s="2" t="str">
        <f>IF(Table1[[#This Row],[Experience Years]]&lt;=2,"Entry Level",IF(Table1[[#This Row],[Experience Years]]&lt;=7,"Mid Level",IF(Table1[[#This Row],[Experience Years]]&lt;=15,"Senior Level")))</f>
        <v>Senior Level</v>
      </c>
      <c r="N580" s="1">
        <f>AVERAGE(Table1[[#This Row],[Interview Score]:[Personality Score]])</f>
        <v>34.666666666666664</v>
      </c>
      <c r="O5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80" s="2" t="str">
        <f t="shared" si="9"/>
        <v>0-10</v>
      </c>
    </row>
    <row r="581" spans="1:16" x14ac:dyDescent="0.25">
      <c r="A581">
        <v>27</v>
      </c>
      <c r="B581" s="2">
        <v>1</v>
      </c>
      <c r="C581" s="2">
        <v>2</v>
      </c>
      <c r="D581" s="2">
        <v>0</v>
      </c>
      <c r="E581" s="2">
        <v>1</v>
      </c>
      <c r="F581" s="1">
        <v>35.047664570000002</v>
      </c>
      <c r="G581" s="2">
        <v>41</v>
      </c>
      <c r="H581" s="2">
        <v>28</v>
      </c>
      <c r="I581" s="2">
        <v>12</v>
      </c>
      <c r="J581" s="2">
        <v>3</v>
      </c>
      <c r="K581" s="2">
        <v>0</v>
      </c>
      <c r="L58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81" t="str">
        <f>IF(Table1[[#This Row],[Experience Years]]&lt;=2,"Entry Level",IF(Table1[[#This Row],[Experience Years]]&lt;=7,"Mid Level",IF(Table1[[#This Row],[Experience Years]]&lt;=15,"Senior Level")))</f>
        <v>Entry Level</v>
      </c>
      <c r="N581" s="1">
        <f>AVERAGE(Table1[[#This Row],[Interview Score]:[Personality Score]])</f>
        <v>27</v>
      </c>
      <c r="O5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81" s="2" t="str">
        <f t="shared" si="9"/>
        <v>30-40</v>
      </c>
    </row>
    <row r="582" spans="1:16" x14ac:dyDescent="0.25">
      <c r="A582">
        <v>39</v>
      </c>
      <c r="B582" s="2">
        <v>0</v>
      </c>
      <c r="C582" s="2">
        <v>2</v>
      </c>
      <c r="D582" s="2">
        <v>8</v>
      </c>
      <c r="E582" s="2">
        <v>2</v>
      </c>
      <c r="F582" s="1">
        <v>44.966223169999999</v>
      </c>
      <c r="G582" s="2">
        <v>67</v>
      </c>
      <c r="H582" s="2">
        <v>47</v>
      </c>
      <c r="I582" s="2">
        <v>90</v>
      </c>
      <c r="J582" s="2">
        <v>2</v>
      </c>
      <c r="K582" s="2">
        <v>0</v>
      </c>
      <c r="L58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82" s="2" t="str">
        <f>IF(Table1[[#This Row],[Experience Years]]&lt;=2,"Entry Level",IF(Table1[[#This Row],[Experience Years]]&lt;=7,"Mid Level",IF(Table1[[#This Row],[Experience Years]]&lt;=15,"Senior Level")))</f>
        <v>Senior Level</v>
      </c>
      <c r="N582" s="1">
        <f>AVERAGE(Table1[[#This Row],[Interview Score]:[Personality Score]])</f>
        <v>68</v>
      </c>
      <c r="O5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82" s="2" t="str">
        <f t="shared" si="9"/>
        <v>40-50</v>
      </c>
    </row>
    <row r="583" spans="1:16" x14ac:dyDescent="0.25">
      <c r="A583">
        <v>35</v>
      </c>
      <c r="B583" s="2">
        <v>0</v>
      </c>
      <c r="C583" s="2">
        <v>3</v>
      </c>
      <c r="D583" s="2">
        <v>11</v>
      </c>
      <c r="E583" s="2">
        <v>1</v>
      </c>
      <c r="F583" s="1">
        <v>26.71135056</v>
      </c>
      <c r="G583" s="2">
        <v>60</v>
      </c>
      <c r="H583" s="2">
        <v>4</v>
      </c>
      <c r="I583" s="2">
        <v>71</v>
      </c>
      <c r="J583" s="2">
        <v>2</v>
      </c>
      <c r="K583" s="2">
        <v>0</v>
      </c>
      <c r="L58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83" s="2" t="str">
        <f>IF(Table1[[#This Row],[Experience Years]]&lt;=2,"Entry Level",IF(Table1[[#This Row],[Experience Years]]&lt;=7,"Mid Level",IF(Table1[[#This Row],[Experience Years]]&lt;=15,"Senior Level")))</f>
        <v>Senior Level</v>
      </c>
      <c r="N583" s="1">
        <f>AVERAGE(Table1[[#This Row],[Interview Score]:[Personality Score]])</f>
        <v>45</v>
      </c>
      <c r="O5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83" s="2" t="str">
        <f t="shared" si="9"/>
        <v>20-30</v>
      </c>
    </row>
    <row r="584" spans="1:16" x14ac:dyDescent="0.25">
      <c r="A584">
        <v>32</v>
      </c>
      <c r="B584" s="2">
        <v>0</v>
      </c>
      <c r="C584" s="2">
        <v>1</v>
      </c>
      <c r="D584" s="2">
        <v>14</v>
      </c>
      <c r="E584" s="2">
        <v>5</v>
      </c>
      <c r="F584" s="1">
        <v>27.959553979999999</v>
      </c>
      <c r="G584" s="2">
        <v>60</v>
      </c>
      <c r="H584" s="2">
        <v>34</v>
      </c>
      <c r="I584" s="2">
        <v>73</v>
      </c>
      <c r="J584" s="2">
        <v>2</v>
      </c>
      <c r="K584" s="2">
        <v>0</v>
      </c>
      <c r="L58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584" s="2" t="str">
        <f>IF(Table1[[#This Row],[Experience Years]]&lt;=2,"Entry Level",IF(Table1[[#This Row],[Experience Years]]&lt;=7,"Mid Level",IF(Table1[[#This Row],[Experience Years]]&lt;=15,"Senior Level")))</f>
        <v>Senior Level</v>
      </c>
      <c r="N584" s="1">
        <f>AVERAGE(Table1[[#This Row],[Interview Score]:[Personality Score]])</f>
        <v>55.666666666666664</v>
      </c>
      <c r="O5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84" s="2" t="str">
        <f t="shared" si="9"/>
        <v>20-30</v>
      </c>
    </row>
    <row r="585" spans="1:16" x14ac:dyDescent="0.25">
      <c r="A585">
        <v>37</v>
      </c>
      <c r="B585" s="2">
        <v>1</v>
      </c>
      <c r="C585" s="2">
        <v>2</v>
      </c>
      <c r="D585" s="2">
        <v>11</v>
      </c>
      <c r="E585" s="2">
        <v>3</v>
      </c>
      <c r="F585" s="1">
        <v>13.75467164</v>
      </c>
      <c r="G585" s="2">
        <v>69</v>
      </c>
      <c r="H585" s="2">
        <v>73</v>
      </c>
      <c r="I585" s="2">
        <v>71</v>
      </c>
      <c r="J585" s="2">
        <v>2</v>
      </c>
      <c r="K585" s="2">
        <v>0</v>
      </c>
      <c r="L58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85" t="str">
        <f>IF(Table1[[#This Row],[Experience Years]]&lt;=2,"Entry Level",IF(Table1[[#This Row],[Experience Years]]&lt;=7,"Mid Level",IF(Table1[[#This Row],[Experience Years]]&lt;=15,"Senior Level")))</f>
        <v>Senior Level</v>
      </c>
      <c r="N585" s="1">
        <f>AVERAGE(Table1[[#This Row],[Interview Score]:[Personality Score]])</f>
        <v>71</v>
      </c>
      <c r="O5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85" s="2" t="str">
        <f t="shared" si="9"/>
        <v>10-20</v>
      </c>
    </row>
    <row r="586" spans="1:16" x14ac:dyDescent="0.25">
      <c r="A586">
        <v>47</v>
      </c>
      <c r="B586" s="2">
        <v>1</v>
      </c>
      <c r="C586" s="2">
        <v>2</v>
      </c>
      <c r="D586" s="2">
        <v>1</v>
      </c>
      <c r="E586" s="2">
        <v>1</v>
      </c>
      <c r="F586" s="1">
        <v>39.393818179999997</v>
      </c>
      <c r="G586" s="2">
        <v>77</v>
      </c>
      <c r="H586" s="2">
        <v>82</v>
      </c>
      <c r="I586" s="2">
        <v>63</v>
      </c>
      <c r="J586" s="2">
        <v>3</v>
      </c>
      <c r="K586" s="2">
        <v>0</v>
      </c>
      <c r="L58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86" t="str">
        <f>IF(Table1[[#This Row],[Experience Years]]&lt;=2,"Entry Level",IF(Table1[[#This Row],[Experience Years]]&lt;=7,"Mid Level",IF(Table1[[#This Row],[Experience Years]]&lt;=15,"Senior Level")))</f>
        <v>Entry Level</v>
      </c>
      <c r="N586" s="1">
        <f>AVERAGE(Table1[[#This Row],[Interview Score]:[Personality Score]])</f>
        <v>74</v>
      </c>
      <c r="O5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86" s="2" t="str">
        <f t="shared" si="9"/>
        <v>30-40</v>
      </c>
    </row>
    <row r="587" spans="1:16" x14ac:dyDescent="0.25">
      <c r="A587">
        <v>29</v>
      </c>
      <c r="B587" s="2">
        <v>1</v>
      </c>
      <c r="C587" s="2">
        <v>1</v>
      </c>
      <c r="D587" s="2">
        <v>12</v>
      </c>
      <c r="E587" s="2">
        <v>4</v>
      </c>
      <c r="F587" s="1">
        <v>38.589729370000001</v>
      </c>
      <c r="G587" s="2">
        <v>67</v>
      </c>
      <c r="H587" s="2">
        <v>100</v>
      </c>
      <c r="I587" s="2">
        <v>19</v>
      </c>
      <c r="J587" s="2">
        <v>2</v>
      </c>
      <c r="K587" s="2">
        <v>0</v>
      </c>
      <c r="L58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587" t="str">
        <f>IF(Table1[[#This Row],[Experience Years]]&lt;=2,"Entry Level",IF(Table1[[#This Row],[Experience Years]]&lt;=7,"Mid Level",IF(Table1[[#This Row],[Experience Years]]&lt;=15,"Senior Level")))</f>
        <v>Senior Level</v>
      </c>
      <c r="N587" s="1">
        <f>AVERAGE(Table1[[#This Row],[Interview Score]:[Personality Score]])</f>
        <v>62</v>
      </c>
      <c r="O5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87" s="2" t="str">
        <f t="shared" si="9"/>
        <v>30-40</v>
      </c>
    </row>
    <row r="588" spans="1:16" x14ac:dyDescent="0.25">
      <c r="A588">
        <v>49</v>
      </c>
      <c r="B588" s="2">
        <v>1</v>
      </c>
      <c r="C588" s="2">
        <v>2</v>
      </c>
      <c r="D588" s="2">
        <v>7</v>
      </c>
      <c r="E588" s="2">
        <v>3</v>
      </c>
      <c r="F588" s="1">
        <v>30.418284459999999</v>
      </c>
      <c r="G588" s="2">
        <v>89</v>
      </c>
      <c r="H588" s="2">
        <v>70</v>
      </c>
      <c r="I588" s="2">
        <v>71</v>
      </c>
      <c r="J588" s="2">
        <v>3</v>
      </c>
      <c r="K588" s="2">
        <v>1</v>
      </c>
      <c r="L58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88" t="str">
        <f>IF(Table1[[#This Row],[Experience Years]]&lt;=2,"Entry Level",IF(Table1[[#This Row],[Experience Years]]&lt;=7,"Mid Level",IF(Table1[[#This Row],[Experience Years]]&lt;=15,"Senior Level")))</f>
        <v>Mid Level</v>
      </c>
      <c r="N588" s="1">
        <f>AVERAGE(Table1[[#This Row],[Interview Score]:[Personality Score]])</f>
        <v>76.666666666666671</v>
      </c>
      <c r="O5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88" s="2" t="str">
        <f t="shared" si="9"/>
        <v>30-40</v>
      </c>
    </row>
    <row r="589" spans="1:16" x14ac:dyDescent="0.25">
      <c r="A589">
        <v>38</v>
      </c>
      <c r="B589" s="2">
        <v>1</v>
      </c>
      <c r="C589" s="2">
        <v>3</v>
      </c>
      <c r="D589" s="2">
        <v>14</v>
      </c>
      <c r="E589" s="2">
        <v>4</v>
      </c>
      <c r="F589" s="1">
        <v>11.633214329999999</v>
      </c>
      <c r="G589" s="2">
        <v>16</v>
      </c>
      <c r="H589" s="2">
        <v>45</v>
      </c>
      <c r="I589" s="2">
        <v>72</v>
      </c>
      <c r="J589" s="2">
        <v>3</v>
      </c>
      <c r="K589" s="2">
        <v>0</v>
      </c>
      <c r="L58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89" t="str">
        <f>IF(Table1[[#This Row],[Experience Years]]&lt;=2,"Entry Level",IF(Table1[[#This Row],[Experience Years]]&lt;=7,"Mid Level",IF(Table1[[#This Row],[Experience Years]]&lt;=15,"Senior Level")))</f>
        <v>Senior Level</v>
      </c>
      <c r="N589" s="1">
        <f>AVERAGE(Table1[[#This Row],[Interview Score]:[Personality Score]])</f>
        <v>44.333333333333336</v>
      </c>
      <c r="O5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89" s="2" t="str">
        <f t="shared" si="9"/>
        <v>10-20</v>
      </c>
    </row>
    <row r="590" spans="1:16" x14ac:dyDescent="0.25">
      <c r="A590">
        <v>36</v>
      </c>
      <c r="B590" s="2">
        <v>1</v>
      </c>
      <c r="C590" s="2">
        <v>3</v>
      </c>
      <c r="D590" s="2">
        <v>15</v>
      </c>
      <c r="E590" s="2">
        <v>1</v>
      </c>
      <c r="F590" s="1">
        <v>5.8509109119999998</v>
      </c>
      <c r="G590" s="2">
        <v>18</v>
      </c>
      <c r="H590" s="2">
        <v>34</v>
      </c>
      <c r="I590" s="2">
        <v>70</v>
      </c>
      <c r="J590" s="2">
        <v>2</v>
      </c>
      <c r="K590" s="2">
        <v>0</v>
      </c>
      <c r="L59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90" t="str">
        <f>IF(Table1[[#This Row],[Experience Years]]&lt;=2,"Entry Level",IF(Table1[[#This Row],[Experience Years]]&lt;=7,"Mid Level",IF(Table1[[#This Row],[Experience Years]]&lt;=15,"Senior Level")))</f>
        <v>Senior Level</v>
      </c>
      <c r="N590" s="1">
        <f>AVERAGE(Table1[[#This Row],[Interview Score]:[Personality Score]])</f>
        <v>40.666666666666664</v>
      </c>
      <c r="O5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90" s="2" t="str">
        <f t="shared" si="9"/>
        <v>0-10</v>
      </c>
    </row>
    <row r="591" spans="1:16" x14ac:dyDescent="0.25">
      <c r="A591">
        <v>43</v>
      </c>
      <c r="B591" s="2">
        <v>1</v>
      </c>
      <c r="C591" s="2">
        <v>2</v>
      </c>
      <c r="D591" s="2">
        <v>8</v>
      </c>
      <c r="E591" s="2">
        <v>3</v>
      </c>
      <c r="F591" s="1">
        <v>4.2119287930000002</v>
      </c>
      <c r="G591" s="2">
        <v>50</v>
      </c>
      <c r="H591" s="2">
        <v>44</v>
      </c>
      <c r="I591" s="2">
        <v>77</v>
      </c>
      <c r="J591" s="2">
        <v>2</v>
      </c>
      <c r="K591" s="2">
        <v>0</v>
      </c>
      <c r="L59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91" t="str">
        <f>IF(Table1[[#This Row],[Experience Years]]&lt;=2,"Entry Level",IF(Table1[[#This Row],[Experience Years]]&lt;=7,"Mid Level",IF(Table1[[#This Row],[Experience Years]]&lt;=15,"Senior Level")))</f>
        <v>Senior Level</v>
      </c>
      <c r="N591" s="1">
        <f>AVERAGE(Table1[[#This Row],[Interview Score]:[Personality Score]])</f>
        <v>57</v>
      </c>
      <c r="O5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91" s="2" t="str">
        <f t="shared" si="9"/>
        <v>0-10</v>
      </c>
    </row>
    <row r="592" spans="1:16" x14ac:dyDescent="0.25">
      <c r="A592">
        <v>50</v>
      </c>
      <c r="B592" s="2">
        <v>0</v>
      </c>
      <c r="C592" s="2">
        <v>3</v>
      </c>
      <c r="D592" s="2">
        <v>3</v>
      </c>
      <c r="E592" s="2">
        <v>4</v>
      </c>
      <c r="F592" s="1">
        <v>30.63480333</v>
      </c>
      <c r="G592" s="2">
        <v>69</v>
      </c>
      <c r="H592" s="2">
        <v>12</v>
      </c>
      <c r="I592" s="2">
        <v>27</v>
      </c>
      <c r="J592" s="2">
        <v>2</v>
      </c>
      <c r="K592" s="2">
        <v>0</v>
      </c>
      <c r="L59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92" s="2" t="str">
        <f>IF(Table1[[#This Row],[Experience Years]]&lt;=2,"Entry Level",IF(Table1[[#This Row],[Experience Years]]&lt;=7,"Mid Level",IF(Table1[[#This Row],[Experience Years]]&lt;=15,"Senior Level")))</f>
        <v>Mid Level</v>
      </c>
      <c r="N592" s="1">
        <f>AVERAGE(Table1[[#This Row],[Interview Score]:[Personality Score]])</f>
        <v>36</v>
      </c>
      <c r="O5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92" s="2" t="str">
        <f t="shared" si="9"/>
        <v>30-40</v>
      </c>
    </row>
    <row r="593" spans="1:16" x14ac:dyDescent="0.25">
      <c r="A593">
        <v>38</v>
      </c>
      <c r="B593" s="2">
        <v>0</v>
      </c>
      <c r="C593" s="2">
        <v>4</v>
      </c>
      <c r="D593" s="2">
        <v>7</v>
      </c>
      <c r="E593" s="2">
        <v>5</v>
      </c>
      <c r="F593" s="1">
        <v>42.25176596</v>
      </c>
      <c r="G593" s="2">
        <v>62</v>
      </c>
      <c r="H593" s="2">
        <v>9</v>
      </c>
      <c r="I593" s="2">
        <v>1</v>
      </c>
      <c r="J593" s="2">
        <v>1</v>
      </c>
      <c r="K593" s="2">
        <v>1</v>
      </c>
      <c r="L59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593" s="2" t="str">
        <f>IF(Table1[[#This Row],[Experience Years]]&lt;=2,"Entry Level",IF(Table1[[#This Row],[Experience Years]]&lt;=7,"Mid Level",IF(Table1[[#This Row],[Experience Years]]&lt;=15,"Senior Level")))</f>
        <v>Mid Level</v>
      </c>
      <c r="N593" s="1">
        <f>AVERAGE(Table1[[#This Row],[Interview Score]:[Personality Score]])</f>
        <v>24</v>
      </c>
      <c r="O5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93" s="2" t="str">
        <f t="shared" si="9"/>
        <v>40-50</v>
      </c>
    </row>
    <row r="594" spans="1:16" x14ac:dyDescent="0.25">
      <c r="A594">
        <v>47</v>
      </c>
      <c r="B594" s="2">
        <v>1</v>
      </c>
      <c r="C594" s="2">
        <v>3</v>
      </c>
      <c r="D594" s="2">
        <v>8</v>
      </c>
      <c r="E594" s="2">
        <v>5</v>
      </c>
      <c r="F594" s="1">
        <v>43.916521590000002</v>
      </c>
      <c r="G594" s="2">
        <v>92</v>
      </c>
      <c r="H594" s="2">
        <v>65</v>
      </c>
      <c r="I594" s="2">
        <v>42</v>
      </c>
      <c r="J594" s="2">
        <v>1</v>
      </c>
      <c r="K594" s="2">
        <v>1</v>
      </c>
      <c r="L59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594" t="str">
        <f>IF(Table1[[#This Row],[Experience Years]]&lt;=2,"Entry Level",IF(Table1[[#This Row],[Experience Years]]&lt;=7,"Mid Level",IF(Table1[[#This Row],[Experience Years]]&lt;=15,"Senior Level")))</f>
        <v>Senior Level</v>
      </c>
      <c r="N594" s="1">
        <f>AVERAGE(Table1[[#This Row],[Interview Score]:[Personality Score]])</f>
        <v>66.333333333333329</v>
      </c>
      <c r="O5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594" s="2" t="str">
        <f t="shared" si="9"/>
        <v>40-50</v>
      </c>
    </row>
    <row r="595" spans="1:16" x14ac:dyDescent="0.25">
      <c r="A595">
        <v>45</v>
      </c>
      <c r="B595" s="2">
        <v>0</v>
      </c>
      <c r="C595" s="2">
        <v>1</v>
      </c>
      <c r="D595" s="2">
        <v>9</v>
      </c>
      <c r="E595" s="2">
        <v>1</v>
      </c>
      <c r="F595" s="1">
        <v>24.181103719999999</v>
      </c>
      <c r="G595" s="2">
        <v>74</v>
      </c>
      <c r="H595" s="2">
        <v>69</v>
      </c>
      <c r="I595" s="2">
        <v>7</v>
      </c>
      <c r="J595" s="2">
        <v>2</v>
      </c>
      <c r="K595" s="2">
        <v>0</v>
      </c>
      <c r="L59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95" s="2" t="str">
        <f>IF(Table1[[#This Row],[Experience Years]]&lt;=2,"Entry Level",IF(Table1[[#This Row],[Experience Years]]&lt;=7,"Mid Level",IF(Table1[[#This Row],[Experience Years]]&lt;=15,"Senior Level")))</f>
        <v>Senior Level</v>
      </c>
      <c r="N595" s="1">
        <f>AVERAGE(Table1[[#This Row],[Interview Score]:[Personality Score]])</f>
        <v>50</v>
      </c>
      <c r="O5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95" s="2" t="str">
        <f t="shared" si="9"/>
        <v>20-30</v>
      </c>
    </row>
    <row r="596" spans="1:16" x14ac:dyDescent="0.25">
      <c r="A596">
        <v>42</v>
      </c>
      <c r="B596" s="2">
        <v>0</v>
      </c>
      <c r="C596" s="2">
        <v>3</v>
      </c>
      <c r="D596" s="2">
        <v>9</v>
      </c>
      <c r="E596" s="2">
        <v>3</v>
      </c>
      <c r="F596" s="1">
        <v>40.21356497</v>
      </c>
      <c r="G596" s="2">
        <v>79</v>
      </c>
      <c r="H596" s="2">
        <v>71</v>
      </c>
      <c r="I596" s="2">
        <v>12</v>
      </c>
      <c r="J596" s="2">
        <v>2</v>
      </c>
      <c r="K596" s="2">
        <v>1</v>
      </c>
      <c r="L59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96" s="2" t="str">
        <f>IF(Table1[[#This Row],[Experience Years]]&lt;=2,"Entry Level",IF(Table1[[#This Row],[Experience Years]]&lt;=7,"Mid Level",IF(Table1[[#This Row],[Experience Years]]&lt;=15,"Senior Level")))</f>
        <v>Senior Level</v>
      </c>
      <c r="N596" s="1">
        <f>AVERAGE(Table1[[#This Row],[Interview Score]:[Personality Score]])</f>
        <v>54</v>
      </c>
      <c r="O5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96" s="2" t="str">
        <f t="shared" si="9"/>
        <v>40-50</v>
      </c>
    </row>
    <row r="597" spans="1:16" x14ac:dyDescent="0.25">
      <c r="A597">
        <v>45</v>
      </c>
      <c r="B597" s="2">
        <v>1</v>
      </c>
      <c r="C597" s="2">
        <v>2</v>
      </c>
      <c r="D597" s="2">
        <v>4</v>
      </c>
      <c r="E597" s="2">
        <v>2</v>
      </c>
      <c r="F597" s="1">
        <v>48.344009819999997</v>
      </c>
      <c r="G597" s="2">
        <v>29</v>
      </c>
      <c r="H597" s="2">
        <v>99</v>
      </c>
      <c r="I597" s="2">
        <v>84</v>
      </c>
      <c r="J597" s="2">
        <v>1</v>
      </c>
      <c r="K597" s="2">
        <v>1</v>
      </c>
      <c r="L59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97" t="str">
        <f>IF(Table1[[#This Row],[Experience Years]]&lt;=2,"Entry Level",IF(Table1[[#This Row],[Experience Years]]&lt;=7,"Mid Level",IF(Table1[[#This Row],[Experience Years]]&lt;=15,"Senior Level")))</f>
        <v>Mid Level</v>
      </c>
      <c r="N597" s="1">
        <f>AVERAGE(Table1[[#This Row],[Interview Score]:[Personality Score]])</f>
        <v>70.666666666666671</v>
      </c>
      <c r="O5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597" s="2" t="str">
        <f t="shared" si="9"/>
        <v>40-50</v>
      </c>
    </row>
    <row r="598" spans="1:16" x14ac:dyDescent="0.25">
      <c r="A598">
        <v>24</v>
      </c>
      <c r="B598" s="2">
        <v>0</v>
      </c>
      <c r="C598" s="2">
        <v>4</v>
      </c>
      <c r="D598" s="2">
        <v>15</v>
      </c>
      <c r="E598" s="2">
        <v>3</v>
      </c>
      <c r="F598" s="1">
        <v>14.758505619999999</v>
      </c>
      <c r="G598" s="2">
        <v>24</v>
      </c>
      <c r="H598" s="2">
        <v>24</v>
      </c>
      <c r="I598" s="2">
        <v>91</v>
      </c>
      <c r="J598" s="2">
        <v>1</v>
      </c>
      <c r="K598" s="2">
        <v>1</v>
      </c>
      <c r="L59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598" s="2" t="str">
        <f>IF(Table1[[#This Row],[Experience Years]]&lt;=2,"Entry Level",IF(Table1[[#This Row],[Experience Years]]&lt;=7,"Mid Level",IF(Table1[[#This Row],[Experience Years]]&lt;=15,"Senior Level")))</f>
        <v>Senior Level</v>
      </c>
      <c r="N598" s="1">
        <f>AVERAGE(Table1[[#This Row],[Interview Score]:[Personality Score]])</f>
        <v>46.333333333333336</v>
      </c>
      <c r="O5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598" s="2" t="str">
        <f t="shared" si="9"/>
        <v>10-20</v>
      </c>
    </row>
    <row r="599" spans="1:16" x14ac:dyDescent="0.25">
      <c r="A599">
        <v>45</v>
      </c>
      <c r="B599" s="2">
        <v>0</v>
      </c>
      <c r="C599" s="2">
        <v>2</v>
      </c>
      <c r="D599" s="2">
        <v>12</v>
      </c>
      <c r="E599" s="2">
        <v>5</v>
      </c>
      <c r="F599" s="1">
        <v>20.898017320000001</v>
      </c>
      <c r="G599" s="2">
        <v>74</v>
      </c>
      <c r="H599" s="2">
        <v>43</v>
      </c>
      <c r="I599" s="2">
        <v>34</v>
      </c>
      <c r="J599" s="2">
        <v>3</v>
      </c>
      <c r="K599" s="2">
        <v>0</v>
      </c>
      <c r="L59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599" s="2" t="str">
        <f>IF(Table1[[#This Row],[Experience Years]]&lt;=2,"Entry Level",IF(Table1[[#This Row],[Experience Years]]&lt;=7,"Mid Level",IF(Table1[[#This Row],[Experience Years]]&lt;=15,"Senior Level")))</f>
        <v>Senior Level</v>
      </c>
      <c r="N599" s="1">
        <f>AVERAGE(Table1[[#This Row],[Interview Score]:[Personality Score]])</f>
        <v>50.333333333333336</v>
      </c>
      <c r="O5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599" s="2" t="str">
        <f t="shared" si="9"/>
        <v>20-30</v>
      </c>
    </row>
    <row r="600" spans="1:16" x14ac:dyDescent="0.25">
      <c r="A600">
        <v>40</v>
      </c>
      <c r="B600" s="2">
        <v>0</v>
      </c>
      <c r="C600" s="2">
        <v>1</v>
      </c>
      <c r="D600" s="2">
        <v>13</v>
      </c>
      <c r="E600" s="2">
        <v>4</v>
      </c>
      <c r="F600" s="1">
        <v>47.573949630000001</v>
      </c>
      <c r="G600" s="2">
        <v>70</v>
      </c>
      <c r="H600" s="2">
        <v>59</v>
      </c>
      <c r="I600" s="2">
        <v>22</v>
      </c>
      <c r="J600" s="2">
        <v>2</v>
      </c>
      <c r="K600" s="2">
        <v>0</v>
      </c>
      <c r="L60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00" s="2" t="str">
        <f>IF(Table1[[#This Row],[Experience Years]]&lt;=2,"Entry Level",IF(Table1[[#This Row],[Experience Years]]&lt;=7,"Mid Level",IF(Table1[[#This Row],[Experience Years]]&lt;=15,"Senior Level")))</f>
        <v>Senior Level</v>
      </c>
      <c r="N600" s="1">
        <f>AVERAGE(Table1[[#This Row],[Interview Score]:[Personality Score]])</f>
        <v>50.333333333333336</v>
      </c>
      <c r="O6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00" s="2" t="str">
        <f t="shared" si="9"/>
        <v>40-50</v>
      </c>
    </row>
    <row r="601" spans="1:16" x14ac:dyDescent="0.25">
      <c r="A601">
        <v>49</v>
      </c>
      <c r="B601" s="2">
        <v>0</v>
      </c>
      <c r="C601" s="2">
        <v>3</v>
      </c>
      <c r="D601" s="2">
        <v>6</v>
      </c>
      <c r="E601" s="2">
        <v>2</v>
      </c>
      <c r="F601" s="1">
        <v>17.911548369999998</v>
      </c>
      <c r="G601" s="2">
        <v>25</v>
      </c>
      <c r="H601" s="2">
        <v>46</v>
      </c>
      <c r="I601" s="2">
        <v>45</v>
      </c>
      <c r="J601" s="2">
        <v>3</v>
      </c>
      <c r="K601" s="2">
        <v>0</v>
      </c>
      <c r="L60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01" s="2" t="str">
        <f>IF(Table1[[#This Row],[Experience Years]]&lt;=2,"Entry Level",IF(Table1[[#This Row],[Experience Years]]&lt;=7,"Mid Level",IF(Table1[[#This Row],[Experience Years]]&lt;=15,"Senior Level")))</f>
        <v>Mid Level</v>
      </c>
      <c r="N601" s="1">
        <f>AVERAGE(Table1[[#This Row],[Interview Score]:[Personality Score]])</f>
        <v>38.666666666666664</v>
      </c>
      <c r="O6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01" s="2" t="str">
        <f t="shared" si="9"/>
        <v>10-20</v>
      </c>
    </row>
    <row r="602" spans="1:16" x14ac:dyDescent="0.25">
      <c r="A602">
        <v>42</v>
      </c>
      <c r="B602" s="2">
        <v>0</v>
      </c>
      <c r="C602" s="2">
        <v>2</v>
      </c>
      <c r="D602" s="2">
        <v>15</v>
      </c>
      <c r="E602" s="2">
        <v>1</v>
      </c>
      <c r="F602" s="1">
        <v>46.693814519999997</v>
      </c>
      <c r="G602" s="2">
        <v>55</v>
      </c>
      <c r="H602" s="2">
        <v>39</v>
      </c>
      <c r="I602" s="2">
        <v>14</v>
      </c>
      <c r="J602" s="2">
        <v>2</v>
      </c>
      <c r="K602" s="2">
        <v>0</v>
      </c>
      <c r="L60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02" s="2" t="str">
        <f>IF(Table1[[#This Row],[Experience Years]]&lt;=2,"Entry Level",IF(Table1[[#This Row],[Experience Years]]&lt;=7,"Mid Level",IF(Table1[[#This Row],[Experience Years]]&lt;=15,"Senior Level")))</f>
        <v>Senior Level</v>
      </c>
      <c r="N602" s="1">
        <f>AVERAGE(Table1[[#This Row],[Interview Score]:[Personality Score]])</f>
        <v>36</v>
      </c>
      <c r="O6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02" s="2" t="str">
        <f t="shared" si="9"/>
        <v>40-50</v>
      </c>
    </row>
    <row r="603" spans="1:16" x14ac:dyDescent="0.25">
      <c r="A603">
        <v>50</v>
      </c>
      <c r="B603" s="2">
        <v>1</v>
      </c>
      <c r="C603" s="2">
        <v>4</v>
      </c>
      <c r="D603" s="2">
        <v>9</v>
      </c>
      <c r="E603" s="2">
        <v>2</v>
      </c>
      <c r="F603" s="1">
        <v>50.052243109999999</v>
      </c>
      <c r="G603" s="2">
        <v>21</v>
      </c>
      <c r="H603" s="2">
        <v>6</v>
      </c>
      <c r="I603" s="2">
        <v>1</v>
      </c>
      <c r="J603" s="2">
        <v>2</v>
      </c>
      <c r="K603" s="2">
        <v>0</v>
      </c>
      <c r="L60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03" t="str">
        <f>IF(Table1[[#This Row],[Experience Years]]&lt;=2,"Entry Level",IF(Table1[[#This Row],[Experience Years]]&lt;=7,"Mid Level",IF(Table1[[#This Row],[Experience Years]]&lt;=15,"Senior Level")))</f>
        <v>Senior Level</v>
      </c>
      <c r="N603" s="1">
        <f>AVERAGE(Table1[[#This Row],[Interview Score]:[Personality Score]])</f>
        <v>9.3333333333333339</v>
      </c>
      <c r="O6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03" s="2" t="str">
        <f t="shared" si="9"/>
        <v>50+</v>
      </c>
    </row>
    <row r="604" spans="1:16" x14ac:dyDescent="0.25">
      <c r="A604">
        <v>28</v>
      </c>
      <c r="B604" s="2">
        <v>1</v>
      </c>
      <c r="C604" s="2">
        <v>4</v>
      </c>
      <c r="D604" s="2">
        <v>3</v>
      </c>
      <c r="E604" s="2">
        <v>1</v>
      </c>
      <c r="F604" s="1">
        <v>34.09053643</v>
      </c>
      <c r="G604" s="2">
        <v>88</v>
      </c>
      <c r="H604" s="2">
        <v>45</v>
      </c>
      <c r="I604" s="2">
        <v>60</v>
      </c>
      <c r="J604" s="2">
        <v>1</v>
      </c>
      <c r="K604" s="2">
        <v>1</v>
      </c>
      <c r="L60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04" t="str">
        <f>IF(Table1[[#This Row],[Experience Years]]&lt;=2,"Entry Level",IF(Table1[[#This Row],[Experience Years]]&lt;=7,"Mid Level",IF(Table1[[#This Row],[Experience Years]]&lt;=15,"Senior Level")))</f>
        <v>Mid Level</v>
      </c>
      <c r="N604" s="1">
        <f>AVERAGE(Table1[[#This Row],[Interview Score]:[Personality Score]])</f>
        <v>64.333333333333329</v>
      </c>
      <c r="O6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04" s="2" t="str">
        <f t="shared" si="9"/>
        <v>30-40</v>
      </c>
    </row>
    <row r="605" spans="1:16" x14ac:dyDescent="0.25">
      <c r="A605">
        <v>31</v>
      </c>
      <c r="B605" s="2">
        <v>1</v>
      </c>
      <c r="C605" s="2">
        <v>2</v>
      </c>
      <c r="D605" s="2">
        <v>0</v>
      </c>
      <c r="E605" s="2">
        <v>2</v>
      </c>
      <c r="F605" s="1">
        <v>41.844514480000001</v>
      </c>
      <c r="G605" s="2">
        <v>18</v>
      </c>
      <c r="H605" s="2">
        <v>22</v>
      </c>
      <c r="I605" s="2">
        <v>75</v>
      </c>
      <c r="J605" s="2">
        <v>2</v>
      </c>
      <c r="K605" s="2">
        <v>0</v>
      </c>
      <c r="L60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05" t="str">
        <f>IF(Table1[[#This Row],[Experience Years]]&lt;=2,"Entry Level",IF(Table1[[#This Row],[Experience Years]]&lt;=7,"Mid Level",IF(Table1[[#This Row],[Experience Years]]&lt;=15,"Senior Level")))</f>
        <v>Entry Level</v>
      </c>
      <c r="N605" s="1">
        <f>AVERAGE(Table1[[#This Row],[Interview Score]:[Personality Score]])</f>
        <v>38.333333333333336</v>
      </c>
      <c r="O6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05" s="2" t="str">
        <f t="shared" si="9"/>
        <v>40-50</v>
      </c>
    </row>
    <row r="606" spans="1:16" x14ac:dyDescent="0.25">
      <c r="A606">
        <v>40</v>
      </c>
      <c r="B606" s="2">
        <v>0</v>
      </c>
      <c r="C606" s="2">
        <v>1</v>
      </c>
      <c r="D606" s="2">
        <v>2</v>
      </c>
      <c r="E606" s="2">
        <v>1</v>
      </c>
      <c r="F606" s="1">
        <v>38.477278210000001</v>
      </c>
      <c r="G606" s="2">
        <v>30</v>
      </c>
      <c r="H606" s="2">
        <v>82</v>
      </c>
      <c r="I606" s="2">
        <v>63</v>
      </c>
      <c r="J606" s="2">
        <v>2</v>
      </c>
      <c r="K606" s="2">
        <v>0</v>
      </c>
      <c r="L60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06" s="2" t="str">
        <f>IF(Table1[[#This Row],[Experience Years]]&lt;=2,"Entry Level",IF(Table1[[#This Row],[Experience Years]]&lt;=7,"Mid Level",IF(Table1[[#This Row],[Experience Years]]&lt;=15,"Senior Level")))</f>
        <v>Entry Level</v>
      </c>
      <c r="N606" s="1">
        <f>AVERAGE(Table1[[#This Row],[Interview Score]:[Personality Score]])</f>
        <v>58.333333333333336</v>
      </c>
      <c r="O6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06" s="2" t="str">
        <f t="shared" si="9"/>
        <v>30-40</v>
      </c>
    </row>
    <row r="607" spans="1:16" x14ac:dyDescent="0.25">
      <c r="A607">
        <v>20</v>
      </c>
      <c r="B607" s="2">
        <v>1</v>
      </c>
      <c r="C607" s="2">
        <v>2</v>
      </c>
      <c r="D607" s="2">
        <v>4</v>
      </c>
      <c r="E607" s="2">
        <v>1</v>
      </c>
      <c r="F607" s="1">
        <v>35.976712880000001</v>
      </c>
      <c r="G607" s="2">
        <v>25</v>
      </c>
      <c r="H607" s="2">
        <v>45</v>
      </c>
      <c r="I607" s="2">
        <v>51</v>
      </c>
      <c r="J607" s="2">
        <v>1</v>
      </c>
      <c r="K607" s="2">
        <v>0</v>
      </c>
      <c r="L60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07" t="str">
        <f>IF(Table1[[#This Row],[Experience Years]]&lt;=2,"Entry Level",IF(Table1[[#This Row],[Experience Years]]&lt;=7,"Mid Level",IF(Table1[[#This Row],[Experience Years]]&lt;=15,"Senior Level")))</f>
        <v>Mid Level</v>
      </c>
      <c r="N607" s="1">
        <f>AVERAGE(Table1[[#This Row],[Interview Score]:[Personality Score]])</f>
        <v>40.333333333333336</v>
      </c>
      <c r="O6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07" s="2" t="str">
        <f t="shared" si="9"/>
        <v>30-40</v>
      </c>
    </row>
    <row r="608" spans="1:16" x14ac:dyDescent="0.25">
      <c r="A608">
        <v>45</v>
      </c>
      <c r="B608" s="2">
        <v>0</v>
      </c>
      <c r="C608" s="2">
        <v>1</v>
      </c>
      <c r="D608" s="2">
        <v>2</v>
      </c>
      <c r="E608" s="2">
        <v>2</v>
      </c>
      <c r="F608" s="1">
        <v>16.346553650000001</v>
      </c>
      <c r="G608" s="2">
        <v>41</v>
      </c>
      <c r="H608" s="2">
        <v>85</v>
      </c>
      <c r="I608" s="2">
        <v>35</v>
      </c>
      <c r="J608" s="2">
        <v>2</v>
      </c>
      <c r="K608" s="2">
        <v>0</v>
      </c>
      <c r="L60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08" s="2" t="str">
        <f>IF(Table1[[#This Row],[Experience Years]]&lt;=2,"Entry Level",IF(Table1[[#This Row],[Experience Years]]&lt;=7,"Mid Level",IF(Table1[[#This Row],[Experience Years]]&lt;=15,"Senior Level")))</f>
        <v>Entry Level</v>
      </c>
      <c r="N608" s="1">
        <f>AVERAGE(Table1[[#This Row],[Interview Score]:[Personality Score]])</f>
        <v>53.666666666666664</v>
      </c>
      <c r="O6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08" s="2" t="str">
        <f t="shared" si="9"/>
        <v>10-20</v>
      </c>
    </row>
    <row r="609" spans="1:16" x14ac:dyDescent="0.25">
      <c r="A609">
        <v>45</v>
      </c>
      <c r="B609" s="2">
        <v>0</v>
      </c>
      <c r="C609" s="2">
        <v>1</v>
      </c>
      <c r="D609" s="2">
        <v>15</v>
      </c>
      <c r="E609" s="2">
        <v>2</v>
      </c>
      <c r="F609" s="1">
        <v>3.8547168950000001</v>
      </c>
      <c r="G609" s="2">
        <v>40</v>
      </c>
      <c r="H609" s="2">
        <v>12</v>
      </c>
      <c r="I609" s="2">
        <v>66</v>
      </c>
      <c r="J609" s="2">
        <v>2</v>
      </c>
      <c r="K609" s="2">
        <v>0</v>
      </c>
      <c r="L60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09" s="2" t="str">
        <f>IF(Table1[[#This Row],[Experience Years]]&lt;=2,"Entry Level",IF(Table1[[#This Row],[Experience Years]]&lt;=7,"Mid Level",IF(Table1[[#This Row],[Experience Years]]&lt;=15,"Senior Level")))</f>
        <v>Senior Level</v>
      </c>
      <c r="N609" s="1">
        <f>AVERAGE(Table1[[#This Row],[Interview Score]:[Personality Score]])</f>
        <v>39.333333333333336</v>
      </c>
      <c r="O6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09" s="2" t="str">
        <f t="shared" si="9"/>
        <v>0-10</v>
      </c>
    </row>
    <row r="610" spans="1:16" x14ac:dyDescent="0.25">
      <c r="A610">
        <v>20</v>
      </c>
      <c r="B610" s="2">
        <v>0</v>
      </c>
      <c r="C610" s="2">
        <v>3</v>
      </c>
      <c r="D610" s="2">
        <v>11</v>
      </c>
      <c r="E610" s="2">
        <v>1</v>
      </c>
      <c r="F610" s="1">
        <v>18.152586629999998</v>
      </c>
      <c r="G610" s="2">
        <v>99</v>
      </c>
      <c r="H610" s="2">
        <v>20</v>
      </c>
      <c r="I610" s="2">
        <v>68</v>
      </c>
      <c r="J610" s="2">
        <v>2</v>
      </c>
      <c r="K610" s="2">
        <v>1</v>
      </c>
      <c r="L61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10" s="2" t="str">
        <f>IF(Table1[[#This Row],[Experience Years]]&lt;=2,"Entry Level",IF(Table1[[#This Row],[Experience Years]]&lt;=7,"Mid Level",IF(Table1[[#This Row],[Experience Years]]&lt;=15,"Senior Level")))</f>
        <v>Senior Level</v>
      </c>
      <c r="N610" s="1">
        <f>AVERAGE(Table1[[#This Row],[Interview Score]:[Personality Score]])</f>
        <v>62.333333333333336</v>
      </c>
      <c r="O6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10" s="2" t="str">
        <f t="shared" si="9"/>
        <v>10-20</v>
      </c>
    </row>
    <row r="611" spans="1:16" x14ac:dyDescent="0.25">
      <c r="A611">
        <v>34</v>
      </c>
      <c r="B611" s="2">
        <v>0</v>
      </c>
      <c r="C611" s="2">
        <v>2</v>
      </c>
      <c r="D611" s="2">
        <v>12</v>
      </c>
      <c r="E611" s="2">
        <v>5</v>
      </c>
      <c r="F611" s="1">
        <v>34.346799259999997</v>
      </c>
      <c r="G611" s="2">
        <v>22</v>
      </c>
      <c r="H611" s="2">
        <v>0</v>
      </c>
      <c r="I611" s="2">
        <v>66</v>
      </c>
      <c r="J611" s="2">
        <v>2</v>
      </c>
      <c r="K611" s="2">
        <v>0</v>
      </c>
      <c r="L61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11" s="2" t="str">
        <f>IF(Table1[[#This Row],[Experience Years]]&lt;=2,"Entry Level",IF(Table1[[#This Row],[Experience Years]]&lt;=7,"Mid Level",IF(Table1[[#This Row],[Experience Years]]&lt;=15,"Senior Level")))</f>
        <v>Senior Level</v>
      </c>
      <c r="N611" s="1">
        <f>AVERAGE(Table1[[#This Row],[Interview Score]:[Personality Score]])</f>
        <v>29.333333333333332</v>
      </c>
      <c r="O6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11" s="2" t="str">
        <f t="shared" si="9"/>
        <v>30-40</v>
      </c>
    </row>
    <row r="612" spans="1:16" x14ac:dyDescent="0.25">
      <c r="A612">
        <v>21</v>
      </c>
      <c r="B612" s="2">
        <v>1</v>
      </c>
      <c r="C612" s="2">
        <v>2</v>
      </c>
      <c r="D612" s="2">
        <v>10</v>
      </c>
      <c r="E612" s="2">
        <v>2</v>
      </c>
      <c r="F612" s="1">
        <v>6.1264599110000004</v>
      </c>
      <c r="G612" s="2">
        <v>46</v>
      </c>
      <c r="H612" s="2">
        <v>18</v>
      </c>
      <c r="I612" s="2">
        <v>46</v>
      </c>
      <c r="J612" s="2">
        <v>2</v>
      </c>
      <c r="K612" s="2">
        <v>0</v>
      </c>
      <c r="L61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12" t="str">
        <f>IF(Table1[[#This Row],[Experience Years]]&lt;=2,"Entry Level",IF(Table1[[#This Row],[Experience Years]]&lt;=7,"Mid Level",IF(Table1[[#This Row],[Experience Years]]&lt;=15,"Senior Level")))</f>
        <v>Senior Level</v>
      </c>
      <c r="N612" s="1">
        <f>AVERAGE(Table1[[#This Row],[Interview Score]:[Personality Score]])</f>
        <v>36.666666666666664</v>
      </c>
      <c r="O6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12" s="2" t="str">
        <f t="shared" si="9"/>
        <v>0-10</v>
      </c>
    </row>
    <row r="613" spans="1:16" x14ac:dyDescent="0.25">
      <c r="A613">
        <v>49</v>
      </c>
      <c r="B613" s="2">
        <v>1</v>
      </c>
      <c r="C613" s="2">
        <v>4</v>
      </c>
      <c r="D613" s="2">
        <v>6</v>
      </c>
      <c r="E613" s="2">
        <v>3</v>
      </c>
      <c r="F613" s="1">
        <v>1.5958991490000001</v>
      </c>
      <c r="G613" s="2">
        <v>12</v>
      </c>
      <c r="H613" s="2">
        <v>59</v>
      </c>
      <c r="I613" s="2">
        <v>82</v>
      </c>
      <c r="J613" s="2">
        <v>2</v>
      </c>
      <c r="K613" s="2">
        <v>1</v>
      </c>
      <c r="L61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13" t="str">
        <f>IF(Table1[[#This Row],[Experience Years]]&lt;=2,"Entry Level",IF(Table1[[#This Row],[Experience Years]]&lt;=7,"Mid Level",IF(Table1[[#This Row],[Experience Years]]&lt;=15,"Senior Level")))</f>
        <v>Mid Level</v>
      </c>
      <c r="N613" s="1">
        <f>AVERAGE(Table1[[#This Row],[Interview Score]:[Personality Score]])</f>
        <v>51</v>
      </c>
      <c r="O6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13" s="2" t="str">
        <f t="shared" si="9"/>
        <v>0-10</v>
      </c>
    </row>
    <row r="614" spans="1:16" x14ac:dyDescent="0.25">
      <c r="A614">
        <v>41</v>
      </c>
      <c r="B614" s="2">
        <v>0</v>
      </c>
      <c r="C614" s="2">
        <v>2</v>
      </c>
      <c r="D614" s="2">
        <v>11</v>
      </c>
      <c r="E614" s="2">
        <v>4</v>
      </c>
      <c r="F614" s="1">
        <v>7.9846186299999999</v>
      </c>
      <c r="G614" s="2">
        <v>88</v>
      </c>
      <c r="H614" s="2">
        <v>32</v>
      </c>
      <c r="I614" s="2">
        <v>1</v>
      </c>
      <c r="J614" s="2">
        <v>3</v>
      </c>
      <c r="K614" s="2">
        <v>0</v>
      </c>
      <c r="L61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14" s="2" t="str">
        <f>IF(Table1[[#This Row],[Experience Years]]&lt;=2,"Entry Level",IF(Table1[[#This Row],[Experience Years]]&lt;=7,"Mid Level",IF(Table1[[#This Row],[Experience Years]]&lt;=15,"Senior Level")))</f>
        <v>Senior Level</v>
      </c>
      <c r="N614" s="1">
        <f>AVERAGE(Table1[[#This Row],[Interview Score]:[Personality Score]])</f>
        <v>40.333333333333336</v>
      </c>
      <c r="O6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14" s="2" t="str">
        <f t="shared" si="9"/>
        <v>0-10</v>
      </c>
    </row>
    <row r="615" spans="1:16" x14ac:dyDescent="0.25">
      <c r="A615">
        <v>35</v>
      </c>
      <c r="B615" s="2">
        <v>1</v>
      </c>
      <c r="C615" s="2">
        <v>2</v>
      </c>
      <c r="D615" s="2">
        <v>8</v>
      </c>
      <c r="E615" s="2">
        <v>1</v>
      </c>
      <c r="F615" s="1">
        <v>36.786796320000001</v>
      </c>
      <c r="G615" s="2">
        <v>65</v>
      </c>
      <c r="H615" s="2">
        <v>3</v>
      </c>
      <c r="I615" s="2">
        <v>43</v>
      </c>
      <c r="J615" s="2">
        <v>3</v>
      </c>
      <c r="K615" s="2">
        <v>0</v>
      </c>
      <c r="L61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15" t="str">
        <f>IF(Table1[[#This Row],[Experience Years]]&lt;=2,"Entry Level",IF(Table1[[#This Row],[Experience Years]]&lt;=7,"Mid Level",IF(Table1[[#This Row],[Experience Years]]&lt;=15,"Senior Level")))</f>
        <v>Senior Level</v>
      </c>
      <c r="N615" s="1">
        <f>AVERAGE(Table1[[#This Row],[Interview Score]:[Personality Score]])</f>
        <v>37</v>
      </c>
      <c r="O6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15" s="2" t="str">
        <f t="shared" si="9"/>
        <v>30-40</v>
      </c>
    </row>
    <row r="616" spans="1:16" x14ac:dyDescent="0.25">
      <c r="A616">
        <v>44</v>
      </c>
      <c r="B616" s="2">
        <v>0</v>
      </c>
      <c r="C616" s="2">
        <v>4</v>
      </c>
      <c r="D616" s="2">
        <v>14</v>
      </c>
      <c r="E616" s="2">
        <v>1</v>
      </c>
      <c r="F616" s="1">
        <v>49.63968508</v>
      </c>
      <c r="G616" s="2">
        <v>65</v>
      </c>
      <c r="H616" s="2">
        <v>2</v>
      </c>
      <c r="I616" s="2">
        <v>100</v>
      </c>
      <c r="J616" s="2">
        <v>3</v>
      </c>
      <c r="K616" s="2">
        <v>0</v>
      </c>
      <c r="L61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16" s="2" t="str">
        <f>IF(Table1[[#This Row],[Experience Years]]&lt;=2,"Entry Level",IF(Table1[[#This Row],[Experience Years]]&lt;=7,"Mid Level",IF(Table1[[#This Row],[Experience Years]]&lt;=15,"Senior Level")))</f>
        <v>Senior Level</v>
      </c>
      <c r="N616" s="1">
        <f>AVERAGE(Table1[[#This Row],[Interview Score]:[Personality Score]])</f>
        <v>55.666666666666664</v>
      </c>
      <c r="O6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16" s="2" t="str">
        <f t="shared" si="9"/>
        <v>40-50</v>
      </c>
    </row>
    <row r="617" spans="1:16" x14ac:dyDescent="0.25">
      <c r="A617">
        <v>27</v>
      </c>
      <c r="B617" s="2">
        <v>1</v>
      </c>
      <c r="C617" s="2">
        <v>1</v>
      </c>
      <c r="D617" s="2">
        <v>11</v>
      </c>
      <c r="E617" s="2">
        <v>4</v>
      </c>
      <c r="F617" s="1">
        <v>50.153234980000001</v>
      </c>
      <c r="G617" s="2">
        <v>15</v>
      </c>
      <c r="H617" s="2">
        <v>90</v>
      </c>
      <c r="I617" s="2">
        <v>63</v>
      </c>
      <c r="J617" s="2">
        <v>2</v>
      </c>
      <c r="K617" s="2">
        <v>0</v>
      </c>
      <c r="L61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17" t="str">
        <f>IF(Table1[[#This Row],[Experience Years]]&lt;=2,"Entry Level",IF(Table1[[#This Row],[Experience Years]]&lt;=7,"Mid Level",IF(Table1[[#This Row],[Experience Years]]&lt;=15,"Senior Level")))</f>
        <v>Senior Level</v>
      </c>
      <c r="N617" s="1">
        <f>AVERAGE(Table1[[#This Row],[Interview Score]:[Personality Score]])</f>
        <v>56</v>
      </c>
      <c r="O6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17" s="2" t="str">
        <f t="shared" si="9"/>
        <v>50+</v>
      </c>
    </row>
    <row r="618" spans="1:16" x14ac:dyDescent="0.25">
      <c r="A618">
        <v>32</v>
      </c>
      <c r="B618" s="2">
        <v>1</v>
      </c>
      <c r="C618" s="2">
        <v>3</v>
      </c>
      <c r="D618" s="2">
        <v>5</v>
      </c>
      <c r="E618" s="2">
        <v>5</v>
      </c>
      <c r="F618" s="1">
        <v>25.698957459999999</v>
      </c>
      <c r="G618" s="2">
        <v>72</v>
      </c>
      <c r="H618" s="2">
        <v>51</v>
      </c>
      <c r="I618" s="2">
        <v>80</v>
      </c>
      <c r="J618" s="2">
        <v>2</v>
      </c>
      <c r="K618" s="2">
        <v>1</v>
      </c>
      <c r="L61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18" t="str">
        <f>IF(Table1[[#This Row],[Experience Years]]&lt;=2,"Entry Level",IF(Table1[[#This Row],[Experience Years]]&lt;=7,"Mid Level",IF(Table1[[#This Row],[Experience Years]]&lt;=15,"Senior Level")))</f>
        <v>Mid Level</v>
      </c>
      <c r="N618" s="1">
        <f>AVERAGE(Table1[[#This Row],[Interview Score]:[Personality Score]])</f>
        <v>67.666666666666671</v>
      </c>
      <c r="O6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18" s="2" t="str">
        <f t="shared" si="9"/>
        <v>20-30</v>
      </c>
    </row>
    <row r="619" spans="1:16" x14ac:dyDescent="0.25">
      <c r="A619">
        <v>40</v>
      </c>
      <c r="B619" s="2">
        <v>0</v>
      </c>
      <c r="C619" s="2">
        <v>4</v>
      </c>
      <c r="D619" s="2">
        <v>12</v>
      </c>
      <c r="E619" s="2">
        <v>4</v>
      </c>
      <c r="F619" s="1">
        <v>44.467615049999999</v>
      </c>
      <c r="G619" s="2">
        <v>27</v>
      </c>
      <c r="H619" s="2">
        <v>98</v>
      </c>
      <c r="I619" s="2">
        <v>77</v>
      </c>
      <c r="J619" s="2">
        <v>2</v>
      </c>
      <c r="K619" s="2">
        <v>1</v>
      </c>
      <c r="L61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19" s="2" t="str">
        <f>IF(Table1[[#This Row],[Experience Years]]&lt;=2,"Entry Level",IF(Table1[[#This Row],[Experience Years]]&lt;=7,"Mid Level",IF(Table1[[#This Row],[Experience Years]]&lt;=15,"Senior Level")))</f>
        <v>Senior Level</v>
      </c>
      <c r="N619" s="1">
        <f>AVERAGE(Table1[[#This Row],[Interview Score]:[Personality Score]])</f>
        <v>67.333333333333329</v>
      </c>
      <c r="O6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19" s="2" t="str">
        <f t="shared" si="9"/>
        <v>40-50</v>
      </c>
    </row>
    <row r="620" spans="1:16" x14ac:dyDescent="0.25">
      <c r="A620">
        <v>20</v>
      </c>
      <c r="B620" s="2">
        <v>1</v>
      </c>
      <c r="C620" s="2">
        <v>4</v>
      </c>
      <c r="D620" s="2">
        <v>9</v>
      </c>
      <c r="E620" s="2">
        <v>2</v>
      </c>
      <c r="F620" s="1">
        <v>37.84132279</v>
      </c>
      <c r="G620" s="2">
        <v>76</v>
      </c>
      <c r="H620" s="2">
        <v>27</v>
      </c>
      <c r="I620" s="2">
        <v>27</v>
      </c>
      <c r="J620" s="2">
        <v>1</v>
      </c>
      <c r="K620" s="2">
        <v>1</v>
      </c>
      <c r="L62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20" t="str">
        <f>IF(Table1[[#This Row],[Experience Years]]&lt;=2,"Entry Level",IF(Table1[[#This Row],[Experience Years]]&lt;=7,"Mid Level",IF(Table1[[#This Row],[Experience Years]]&lt;=15,"Senior Level")))</f>
        <v>Senior Level</v>
      </c>
      <c r="N620" s="1">
        <f>AVERAGE(Table1[[#This Row],[Interview Score]:[Personality Score]])</f>
        <v>43.333333333333336</v>
      </c>
      <c r="O6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20" s="2" t="str">
        <f t="shared" si="9"/>
        <v>30-40</v>
      </c>
    </row>
    <row r="621" spans="1:16" x14ac:dyDescent="0.25">
      <c r="A621">
        <v>35</v>
      </c>
      <c r="B621" s="2">
        <v>0</v>
      </c>
      <c r="C621" s="2">
        <v>2</v>
      </c>
      <c r="D621" s="2">
        <v>0</v>
      </c>
      <c r="E621" s="2">
        <v>4</v>
      </c>
      <c r="F621" s="1">
        <v>26.05201185</v>
      </c>
      <c r="G621" s="2">
        <v>34</v>
      </c>
      <c r="H621" s="2">
        <v>69</v>
      </c>
      <c r="I621" s="2">
        <v>90</v>
      </c>
      <c r="J621" s="2">
        <v>3</v>
      </c>
      <c r="K621" s="2">
        <v>0</v>
      </c>
      <c r="L62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21" s="2" t="str">
        <f>IF(Table1[[#This Row],[Experience Years]]&lt;=2,"Entry Level",IF(Table1[[#This Row],[Experience Years]]&lt;=7,"Mid Level",IF(Table1[[#This Row],[Experience Years]]&lt;=15,"Senior Level")))</f>
        <v>Entry Level</v>
      </c>
      <c r="N621" s="1">
        <f>AVERAGE(Table1[[#This Row],[Interview Score]:[Personality Score]])</f>
        <v>64.333333333333329</v>
      </c>
      <c r="O6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21" s="2" t="str">
        <f t="shared" si="9"/>
        <v>20-30</v>
      </c>
    </row>
    <row r="622" spans="1:16" x14ac:dyDescent="0.25">
      <c r="A622">
        <v>48</v>
      </c>
      <c r="B622" s="2">
        <v>1</v>
      </c>
      <c r="C622" s="2">
        <v>2</v>
      </c>
      <c r="D622" s="2">
        <v>15</v>
      </c>
      <c r="E622" s="2">
        <v>1</v>
      </c>
      <c r="F622" s="1">
        <v>29.63802665</v>
      </c>
      <c r="G622" s="2">
        <v>40</v>
      </c>
      <c r="H622" s="2">
        <v>69</v>
      </c>
      <c r="I622" s="2">
        <v>53</v>
      </c>
      <c r="J622" s="2">
        <v>2</v>
      </c>
      <c r="K622" s="2">
        <v>0</v>
      </c>
      <c r="L62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22" t="str">
        <f>IF(Table1[[#This Row],[Experience Years]]&lt;=2,"Entry Level",IF(Table1[[#This Row],[Experience Years]]&lt;=7,"Mid Level",IF(Table1[[#This Row],[Experience Years]]&lt;=15,"Senior Level")))</f>
        <v>Senior Level</v>
      </c>
      <c r="N622" s="1">
        <f>AVERAGE(Table1[[#This Row],[Interview Score]:[Personality Score]])</f>
        <v>54</v>
      </c>
      <c r="O6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22" s="2" t="str">
        <f t="shared" si="9"/>
        <v>20-30</v>
      </c>
    </row>
    <row r="623" spans="1:16" x14ac:dyDescent="0.25">
      <c r="A623">
        <v>26</v>
      </c>
      <c r="B623" s="2">
        <v>0</v>
      </c>
      <c r="C623" s="2">
        <v>2</v>
      </c>
      <c r="D623" s="2">
        <v>6</v>
      </c>
      <c r="E623" s="2">
        <v>4</v>
      </c>
      <c r="F623" s="1">
        <v>7.8613573309999998</v>
      </c>
      <c r="G623" s="2">
        <v>76</v>
      </c>
      <c r="H623" s="2">
        <v>54</v>
      </c>
      <c r="I623" s="2">
        <v>73</v>
      </c>
      <c r="J623" s="2">
        <v>1</v>
      </c>
      <c r="K623" s="2">
        <v>1</v>
      </c>
      <c r="L62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23" s="2" t="str">
        <f>IF(Table1[[#This Row],[Experience Years]]&lt;=2,"Entry Level",IF(Table1[[#This Row],[Experience Years]]&lt;=7,"Mid Level",IF(Table1[[#This Row],[Experience Years]]&lt;=15,"Senior Level")))</f>
        <v>Mid Level</v>
      </c>
      <c r="N623" s="1">
        <f>AVERAGE(Table1[[#This Row],[Interview Score]:[Personality Score]])</f>
        <v>67.666666666666671</v>
      </c>
      <c r="O6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23" s="2" t="str">
        <f t="shared" si="9"/>
        <v>0-10</v>
      </c>
    </row>
    <row r="624" spans="1:16" x14ac:dyDescent="0.25">
      <c r="A624">
        <v>50</v>
      </c>
      <c r="B624" s="2">
        <v>0</v>
      </c>
      <c r="C624" s="2">
        <v>3</v>
      </c>
      <c r="D624" s="2">
        <v>14</v>
      </c>
      <c r="E624" s="2">
        <v>3</v>
      </c>
      <c r="F624" s="1">
        <v>47.883073029999998</v>
      </c>
      <c r="G624" s="2">
        <v>30</v>
      </c>
      <c r="H624" s="2">
        <v>56</v>
      </c>
      <c r="I624" s="2">
        <v>66</v>
      </c>
      <c r="J624" s="2">
        <v>1</v>
      </c>
      <c r="K624" s="2">
        <v>1</v>
      </c>
      <c r="L62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24" s="2" t="str">
        <f>IF(Table1[[#This Row],[Experience Years]]&lt;=2,"Entry Level",IF(Table1[[#This Row],[Experience Years]]&lt;=7,"Mid Level",IF(Table1[[#This Row],[Experience Years]]&lt;=15,"Senior Level")))</f>
        <v>Senior Level</v>
      </c>
      <c r="N624" s="1">
        <f>AVERAGE(Table1[[#This Row],[Interview Score]:[Personality Score]])</f>
        <v>50.666666666666664</v>
      </c>
      <c r="O6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24" s="2" t="str">
        <f t="shared" si="9"/>
        <v>40-50</v>
      </c>
    </row>
    <row r="625" spans="1:16" x14ac:dyDescent="0.25">
      <c r="A625">
        <v>24</v>
      </c>
      <c r="B625" s="2">
        <v>1</v>
      </c>
      <c r="C625" s="2">
        <v>3</v>
      </c>
      <c r="D625" s="2">
        <v>2</v>
      </c>
      <c r="E625" s="2">
        <v>2</v>
      </c>
      <c r="F625" s="1">
        <v>18.596488539999999</v>
      </c>
      <c r="G625" s="2">
        <v>84</v>
      </c>
      <c r="H625" s="2">
        <v>86</v>
      </c>
      <c r="I625" s="2">
        <v>35</v>
      </c>
      <c r="J625" s="2">
        <v>3</v>
      </c>
      <c r="K625" s="2">
        <v>0</v>
      </c>
      <c r="L62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25" t="str">
        <f>IF(Table1[[#This Row],[Experience Years]]&lt;=2,"Entry Level",IF(Table1[[#This Row],[Experience Years]]&lt;=7,"Mid Level",IF(Table1[[#This Row],[Experience Years]]&lt;=15,"Senior Level")))</f>
        <v>Entry Level</v>
      </c>
      <c r="N625" s="1">
        <f>AVERAGE(Table1[[#This Row],[Interview Score]:[Personality Score]])</f>
        <v>68.333333333333329</v>
      </c>
      <c r="O6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25" s="2" t="str">
        <f t="shared" si="9"/>
        <v>10-20</v>
      </c>
    </row>
    <row r="626" spans="1:16" x14ac:dyDescent="0.25">
      <c r="A626">
        <v>41</v>
      </c>
      <c r="B626" s="2">
        <v>1</v>
      </c>
      <c r="C626" s="2">
        <v>2</v>
      </c>
      <c r="D626" s="2">
        <v>4</v>
      </c>
      <c r="E626" s="2">
        <v>4</v>
      </c>
      <c r="F626" s="1">
        <v>23.307462820000001</v>
      </c>
      <c r="G626" s="2">
        <v>31</v>
      </c>
      <c r="H626" s="2">
        <v>96</v>
      </c>
      <c r="I626" s="2">
        <v>62</v>
      </c>
      <c r="J626" s="2">
        <v>1</v>
      </c>
      <c r="K626" s="2">
        <v>1</v>
      </c>
      <c r="L62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26" t="str">
        <f>IF(Table1[[#This Row],[Experience Years]]&lt;=2,"Entry Level",IF(Table1[[#This Row],[Experience Years]]&lt;=7,"Mid Level",IF(Table1[[#This Row],[Experience Years]]&lt;=15,"Senior Level")))</f>
        <v>Mid Level</v>
      </c>
      <c r="N626" s="1">
        <f>AVERAGE(Table1[[#This Row],[Interview Score]:[Personality Score]])</f>
        <v>63</v>
      </c>
      <c r="O6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26" s="2" t="str">
        <f t="shared" si="9"/>
        <v>20-30</v>
      </c>
    </row>
    <row r="627" spans="1:16" x14ac:dyDescent="0.25">
      <c r="A627">
        <v>48</v>
      </c>
      <c r="B627" s="2">
        <v>0</v>
      </c>
      <c r="C627" s="2">
        <v>2</v>
      </c>
      <c r="D627" s="2">
        <v>15</v>
      </c>
      <c r="E627" s="2">
        <v>1</v>
      </c>
      <c r="F627" s="1">
        <v>34.583011550000002</v>
      </c>
      <c r="G627" s="2">
        <v>53</v>
      </c>
      <c r="H627" s="2">
        <v>15</v>
      </c>
      <c r="I627" s="2">
        <v>24</v>
      </c>
      <c r="J627" s="2">
        <v>1</v>
      </c>
      <c r="K627" s="2">
        <v>0</v>
      </c>
      <c r="L62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27" s="2" t="str">
        <f>IF(Table1[[#This Row],[Experience Years]]&lt;=2,"Entry Level",IF(Table1[[#This Row],[Experience Years]]&lt;=7,"Mid Level",IF(Table1[[#This Row],[Experience Years]]&lt;=15,"Senior Level")))</f>
        <v>Senior Level</v>
      </c>
      <c r="N627" s="1">
        <f>AVERAGE(Table1[[#This Row],[Interview Score]:[Personality Score]])</f>
        <v>30.666666666666668</v>
      </c>
      <c r="O6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27" s="2" t="str">
        <f t="shared" si="9"/>
        <v>30-40</v>
      </c>
    </row>
    <row r="628" spans="1:16" x14ac:dyDescent="0.25">
      <c r="A628">
        <v>42</v>
      </c>
      <c r="B628" s="2">
        <v>1</v>
      </c>
      <c r="C628" s="2">
        <v>1</v>
      </c>
      <c r="D628" s="2">
        <v>9</v>
      </c>
      <c r="E628" s="2">
        <v>2</v>
      </c>
      <c r="F628" s="1">
        <v>17.695123580000001</v>
      </c>
      <c r="G628" s="2">
        <v>97</v>
      </c>
      <c r="H628" s="2">
        <v>23</v>
      </c>
      <c r="I628" s="2">
        <v>85</v>
      </c>
      <c r="J628" s="2">
        <v>2</v>
      </c>
      <c r="K628" s="2">
        <v>0</v>
      </c>
      <c r="L62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28" t="str">
        <f>IF(Table1[[#This Row],[Experience Years]]&lt;=2,"Entry Level",IF(Table1[[#This Row],[Experience Years]]&lt;=7,"Mid Level",IF(Table1[[#This Row],[Experience Years]]&lt;=15,"Senior Level")))</f>
        <v>Senior Level</v>
      </c>
      <c r="N628" s="1">
        <f>AVERAGE(Table1[[#This Row],[Interview Score]:[Personality Score]])</f>
        <v>68.333333333333329</v>
      </c>
      <c r="O6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28" s="2" t="str">
        <f t="shared" si="9"/>
        <v>10-20</v>
      </c>
    </row>
    <row r="629" spans="1:16" x14ac:dyDescent="0.25">
      <c r="A629">
        <v>22</v>
      </c>
      <c r="B629" s="2">
        <v>1</v>
      </c>
      <c r="C629" s="2">
        <v>1</v>
      </c>
      <c r="D629" s="2">
        <v>3</v>
      </c>
      <c r="E629" s="2">
        <v>1</v>
      </c>
      <c r="F629" s="1">
        <v>13.712958049999999</v>
      </c>
      <c r="G629" s="2">
        <v>71</v>
      </c>
      <c r="H629" s="2">
        <v>68</v>
      </c>
      <c r="I629" s="2">
        <v>47</v>
      </c>
      <c r="J629" s="2">
        <v>1</v>
      </c>
      <c r="K629" s="2">
        <v>1</v>
      </c>
      <c r="L62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29" t="str">
        <f>IF(Table1[[#This Row],[Experience Years]]&lt;=2,"Entry Level",IF(Table1[[#This Row],[Experience Years]]&lt;=7,"Mid Level",IF(Table1[[#This Row],[Experience Years]]&lt;=15,"Senior Level")))</f>
        <v>Mid Level</v>
      </c>
      <c r="N629" s="1">
        <f>AVERAGE(Table1[[#This Row],[Interview Score]:[Personality Score]])</f>
        <v>62</v>
      </c>
      <c r="O6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29" s="2" t="str">
        <f t="shared" si="9"/>
        <v>10-20</v>
      </c>
    </row>
    <row r="630" spans="1:16" x14ac:dyDescent="0.25">
      <c r="A630">
        <v>31</v>
      </c>
      <c r="B630" s="2">
        <v>0</v>
      </c>
      <c r="C630" s="2">
        <v>3</v>
      </c>
      <c r="D630" s="2">
        <v>9</v>
      </c>
      <c r="E630" s="2">
        <v>5</v>
      </c>
      <c r="F630" s="1">
        <v>32.55246966</v>
      </c>
      <c r="G630" s="2">
        <v>58</v>
      </c>
      <c r="H630" s="2">
        <v>40</v>
      </c>
      <c r="I630" s="2">
        <v>38</v>
      </c>
      <c r="J630" s="2">
        <v>3</v>
      </c>
      <c r="K630" s="2">
        <v>0</v>
      </c>
      <c r="L63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30" s="2" t="str">
        <f>IF(Table1[[#This Row],[Experience Years]]&lt;=2,"Entry Level",IF(Table1[[#This Row],[Experience Years]]&lt;=7,"Mid Level",IF(Table1[[#This Row],[Experience Years]]&lt;=15,"Senior Level")))</f>
        <v>Senior Level</v>
      </c>
      <c r="N630" s="1">
        <f>AVERAGE(Table1[[#This Row],[Interview Score]:[Personality Score]])</f>
        <v>45.333333333333336</v>
      </c>
      <c r="O6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30" s="2" t="str">
        <f t="shared" si="9"/>
        <v>30-40</v>
      </c>
    </row>
    <row r="631" spans="1:16" x14ac:dyDescent="0.25">
      <c r="A631">
        <v>45</v>
      </c>
      <c r="B631" s="2">
        <v>0</v>
      </c>
      <c r="C631" s="2">
        <v>2</v>
      </c>
      <c r="D631" s="2">
        <v>4</v>
      </c>
      <c r="E631" s="2">
        <v>3</v>
      </c>
      <c r="F631" s="1">
        <v>2.2492041139999999</v>
      </c>
      <c r="G631" s="2">
        <v>40</v>
      </c>
      <c r="H631" s="2">
        <v>76</v>
      </c>
      <c r="I631" s="2">
        <v>46</v>
      </c>
      <c r="J631" s="2">
        <v>2</v>
      </c>
      <c r="K631" s="2">
        <v>0</v>
      </c>
      <c r="L63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31" s="2" t="str">
        <f>IF(Table1[[#This Row],[Experience Years]]&lt;=2,"Entry Level",IF(Table1[[#This Row],[Experience Years]]&lt;=7,"Mid Level",IF(Table1[[#This Row],[Experience Years]]&lt;=15,"Senior Level")))</f>
        <v>Mid Level</v>
      </c>
      <c r="N631" s="1">
        <f>AVERAGE(Table1[[#This Row],[Interview Score]:[Personality Score]])</f>
        <v>54</v>
      </c>
      <c r="O6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31" s="2" t="str">
        <f t="shared" si="9"/>
        <v>0-10</v>
      </c>
    </row>
    <row r="632" spans="1:16" x14ac:dyDescent="0.25">
      <c r="A632">
        <v>35</v>
      </c>
      <c r="B632" s="2">
        <v>1</v>
      </c>
      <c r="C632" s="2">
        <v>4</v>
      </c>
      <c r="D632" s="2">
        <v>4</v>
      </c>
      <c r="E632" s="2">
        <v>5</v>
      </c>
      <c r="F632" s="1">
        <v>37.036255599999997</v>
      </c>
      <c r="G632" s="2">
        <v>65</v>
      </c>
      <c r="H632" s="2">
        <v>46</v>
      </c>
      <c r="I632" s="2">
        <v>93</v>
      </c>
      <c r="J632" s="2">
        <v>2</v>
      </c>
      <c r="K632" s="2">
        <v>0</v>
      </c>
      <c r="L63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32" t="str">
        <f>IF(Table1[[#This Row],[Experience Years]]&lt;=2,"Entry Level",IF(Table1[[#This Row],[Experience Years]]&lt;=7,"Mid Level",IF(Table1[[#This Row],[Experience Years]]&lt;=15,"Senior Level")))</f>
        <v>Mid Level</v>
      </c>
      <c r="N632" s="1">
        <f>AVERAGE(Table1[[#This Row],[Interview Score]:[Personality Score]])</f>
        <v>68</v>
      </c>
      <c r="O6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32" s="2" t="str">
        <f t="shared" si="9"/>
        <v>30-40</v>
      </c>
    </row>
    <row r="633" spans="1:16" x14ac:dyDescent="0.25">
      <c r="A633">
        <v>38</v>
      </c>
      <c r="B633" s="2">
        <v>0</v>
      </c>
      <c r="C633" s="2">
        <v>3</v>
      </c>
      <c r="D633" s="2">
        <v>5</v>
      </c>
      <c r="E633" s="2">
        <v>3</v>
      </c>
      <c r="F633" s="1">
        <v>26.701168490000001</v>
      </c>
      <c r="G633" s="2">
        <v>95</v>
      </c>
      <c r="H633" s="2">
        <v>75</v>
      </c>
      <c r="I633" s="2">
        <v>20</v>
      </c>
      <c r="J633" s="2">
        <v>3</v>
      </c>
      <c r="K633" s="2">
        <v>0</v>
      </c>
      <c r="L63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33" s="2" t="str">
        <f>IF(Table1[[#This Row],[Experience Years]]&lt;=2,"Entry Level",IF(Table1[[#This Row],[Experience Years]]&lt;=7,"Mid Level",IF(Table1[[#This Row],[Experience Years]]&lt;=15,"Senior Level")))</f>
        <v>Mid Level</v>
      </c>
      <c r="N633" s="1">
        <f>AVERAGE(Table1[[#This Row],[Interview Score]:[Personality Score]])</f>
        <v>63.333333333333336</v>
      </c>
      <c r="O6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33" s="2" t="str">
        <f t="shared" si="9"/>
        <v>20-30</v>
      </c>
    </row>
    <row r="634" spans="1:16" x14ac:dyDescent="0.25">
      <c r="A634">
        <v>24</v>
      </c>
      <c r="B634" s="2">
        <v>0</v>
      </c>
      <c r="C634" s="2">
        <v>1</v>
      </c>
      <c r="D634" s="2">
        <v>13</v>
      </c>
      <c r="E634" s="2">
        <v>4</v>
      </c>
      <c r="F634" s="1">
        <v>31.287686529999998</v>
      </c>
      <c r="G634" s="2">
        <v>53</v>
      </c>
      <c r="H634" s="2">
        <v>68</v>
      </c>
      <c r="I634" s="2">
        <v>29</v>
      </c>
      <c r="J634" s="2">
        <v>2</v>
      </c>
      <c r="K634" s="2">
        <v>0</v>
      </c>
      <c r="L63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34" s="2" t="str">
        <f>IF(Table1[[#This Row],[Experience Years]]&lt;=2,"Entry Level",IF(Table1[[#This Row],[Experience Years]]&lt;=7,"Mid Level",IF(Table1[[#This Row],[Experience Years]]&lt;=15,"Senior Level")))</f>
        <v>Senior Level</v>
      </c>
      <c r="N634" s="1">
        <f>AVERAGE(Table1[[#This Row],[Interview Score]:[Personality Score]])</f>
        <v>50</v>
      </c>
      <c r="O6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34" s="2" t="str">
        <f t="shared" si="9"/>
        <v>30-40</v>
      </c>
    </row>
    <row r="635" spans="1:16" x14ac:dyDescent="0.25">
      <c r="A635">
        <v>41</v>
      </c>
      <c r="B635" s="2">
        <v>0</v>
      </c>
      <c r="C635" s="2">
        <v>2</v>
      </c>
      <c r="D635" s="2">
        <v>9</v>
      </c>
      <c r="E635" s="2">
        <v>2</v>
      </c>
      <c r="F635" s="1">
        <v>32.594007959999999</v>
      </c>
      <c r="G635" s="2">
        <v>39</v>
      </c>
      <c r="H635" s="2">
        <v>100</v>
      </c>
      <c r="I635" s="2">
        <v>91</v>
      </c>
      <c r="J635" s="2">
        <v>2</v>
      </c>
      <c r="K635" s="2">
        <v>0</v>
      </c>
      <c r="L63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35" s="2" t="str">
        <f>IF(Table1[[#This Row],[Experience Years]]&lt;=2,"Entry Level",IF(Table1[[#This Row],[Experience Years]]&lt;=7,"Mid Level",IF(Table1[[#This Row],[Experience Years]]&lt;=15,"Senior Level")))</f>
        <v>Senior Level</v>
      </c>
      <c r="N635" s="1">
        <f>AVERAGE(Table1[[#This Row],[Interview Score]:[Personality Score]])</f>
        <v>76.666666666666671</v>
      </c>
      <c r="O6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635" s="2" t="str">
        <f t="shared" si="9"/>
        <v>30-40</v>
      </c>
    </row>
    <row r="636" spans="1:16" x14ac:dyDescent="0.25">
      <c r="A636">
        <v>44</v>
      </c>
      <c r="B636" s="2">
        <v>1</v>
      </c>
      <c r="C636" s="2">
        <v>2</v>
      </c>
      <c r="D636" s="2">
        <v>11</v>
      </c>
      <c r="E636" s="2">
        <v>4</v>
      </c>
      <c r="F636" s="1">
        <v>27.35250782</v>
      </c>
      <c r="G636" s="2">
        <v>27</v>
      </c>
      <c r="H636" s="2">
        <v>30</v>
      </c>
      <c r="I636" s="2">
        <v>30</v>
      </c>
      <c r="J636" s="2">
        <v>2</v>
      </c>
      <c r="K636" s="2">
        <v>0</v>
      </c>
      <c r="L63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36" t="str">
        <f>IF(Table1[[#This Row],[Experience Years]]&lt;=2,"Entry Level",IF(Table1[[#This Row],[Experience Years]]&lt;=7,"Mid Level",IF(Table1[[#This Row],[Experience Years]]&lt;=15,"Senior Level")))</f>
        <v>Senior Level</v>
      </c>
      <c r="N636" s="1">
        <f>AVERAGE(Table1[[#This Row],[Interview Score]:[Personality Score]])</f>
        <v>29</v>
      </c>
      <c r="O6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36" s="2" t="str">
        <f t="shared" si="9"/>
        <v>20-30</v>
      </c>
    </row>
    <row r="637" spans="1:16" x14ac:dyDescent="0.25">
      <c r="A637">
        <v>48</v>
      </c>
      <c r="B637" s="2">
        <v>1</v>
      </c>
      <c r="C637" s="2">
        <v>2</v>
      </c>
      <c r="D637" s="2">
        <v>9</v>
      </c>
      <c r="E637" s="2">
        <v>3</v>
      </c>
      <c r="F637" s="1">
        <v>30.126688869999999</v>
      </c>
      <c r="G637" s="2">
        <v>36</v>
      </c>
      <c r="H637" s="2">
        <v>91</v>
      </c>
      <c r="I637" s="2">
        <v>25</v>
      </c>
      <c r="J637" s="2">
        <v>2</v>
      </c>
      <c r="K637" s="2">
        <v>0</v>
      </c>
      <c r="L63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37" t="str">
        <f>IF(Table1[[#This Row],[Experience Years]]&lt;=2,"Entry Level",IF(Table1[[#This Row],[Experience Years]]&lt;=7,"Mid Level",IF(Table1[[#This Row],[Experience Years]]&lt;=15,"Senior Level")))</f>
        <v>Senior Level</v>
      </c>
      <c r="N637" s="1">
        <f>AVERAGE(Table1[[#This Row],[Interview Score]:[Personality Score]])</f>
        <v>50.666666666666664</v>
      </c>
      <c r="O6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37" s="2" t="str">
        <f t="shared" si="9"/>
        <v>30-40</v>
      </c>
    </row>
    <row r="638" spans="1:16" x14ac:dyDescent="0.25">
      <c r="A638">
        <v>33</v>
      </c>
      <c r="B638" s="2">
        <v>0</v>
      </c>
      <c r="C638" s="2">
        <v>3</v>
      </c>
      <c r="D638" s="2">
        <v>12</v>
      </c>
      <c r="E638" s="2">
        <v>3</v>
      </c>
      <c r="F638" s="1">
        <v>35.189410039999999</v>
      </c>
      <c r="G638" s="2">
        <v>64</v>
      </c>
      <c r="H638" s="2">
        <v>91</v>
      </c>
      <c r="I638" s="2">
        <v>21</v>
      </c>
      <c r="J638" s="2">
        <v>2</v>
      </c>
      <c r="K638" s="2">
        <v>0</v>
      </c>
      <c r="L63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38" s="2" t="str">
        <f>IF(Table1[[#This Row],[Experience Years]]&lt;=2,"Entry Level",IF(Table1[[#This Row],[Experience Years]]&lt;=7,"Mid Level",IF(Table1[[#This Row],[Experience Years]]&lt;=15,"Senior Level")))</f>
        <v>Senior Level</v>
      </c>
      <c r="N638" s="1">
        <f>AVERAGE(Table1[[#This Row],[Interview Score]:[Personality Score]])</f>
        <v>58.666666666666664</v>
      </c>
      <c r="O6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38" s="2" t="str">
        <f t="shared" si="9"/>
        <v>30-40</v>
      </c>
    </row>
    <row r="639" spans="1:16" x14ac:dyDescent="0.25">
      <c r="A639">
        <v>47</v>
      </c>
      <c r="B639" s="2">
        <v>1</v>
      </c>
      <c r="C639" s="2">
        <v>3</v>
      </c>
      <c r="D639" s="2">
        <v>12</v>
      </c>
      <c r="E639" s="2">
        <v>3</v>
      </c>
      <c r="F639" s="1">
        <v>38.655942359999997</v>
      </c>
      <c r="G639" s="2">
        <v>73</v>
      </c>
      <c r="H639" s="2">
        <v>29</v>
      </c>
      <c r="I639" s="2">
        <v>20</v>
      </c>
      <c r="J639" s="2">
        <v>2</v>
      </c>
      <c r="K639" s="2">
        <v>0</v>
      </c>
      <c r="L63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39" t="str">
        <f>IF(Table1[[#This Row],[Experience Years]]&lt;=2,"Entry Level",IF(Table1[[#This Row],[Experience Years]]&lt;=7,"Mid Level",IF(Table1[[#This Row],[Experience Years]]&lt;=15,"Senior Level")))</f>
        <v>Senior Level</v>
      </c>
      <c r="N639" s="1">
        <f>AVERAGE(Table1[[#This Row],[Interview Score]:[Personality Score]])</f>
        <v>40.666666666666664</v>
      </c>
      <c r="O6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39" s="2" t="str">
        <f t="shared" si="9"/>
        <v>30-40</v>
      </c>
    </row>
    <row r="640" spans="1:16" x14ac:dyDescent="0.25">
      <c r="A640">
        <v>24</v>
      </c>
      <c r="B640" s="2">
        <v>0</v>
      </c>
      <c r="C640" s="2">
        <v>3</v>
      </c>
      <c r="D640" s="2">
        <v>10</v>
      </c>
      <c r="E640" s="2">
        <v>1</v>
      </c>
      <c r="F640" s="1">
        <v>37.372619559999997</v>
      </c>
      <c r="G640" s="2">
        <v>54</v>
      </c>
      <c r="H640" s="2">
        <v>17</v>
      </c>
      <c r="I640" s="2">
        <v>0</v>
      </c>
      <c r="J640" s="2">
        <v>3</v>
      </c>
      <c r="K640" s="2">
        <v>0</v>
      </c>
      <c r="L64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40" s="2" t="str">
        <f>IF(Table1[[#This Row],[Experience Years]]&lt;=2,"Entry Level",IF(Table1[[#This Row],[Experience Years]]&lt;=7,"Mid Level",IF(Table1[[#This Row],[Experience Years]]&lt;=15,"Senior Level")))</f>
        <v>Senior Level</v>
      </c>
      <c r="N640" s="1">
        <f>AVERAGE(Table1[[#This Row],[Interview Score]:[Personality Score]])</f>
        <v>23.666666666666668</v>
      </c>
      <c r="O6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40" s="2" t="str">
        <f t="shared" si="9"/>
        <v>30-40</v>
      </c>
    </row>
    <row r="641" spans="1:16" x14ac:dyDescent="0.25">
      <c r="A641">
        <v>34</v>
      </c>
      <c r="B641" s="2">
        <v>1</v>
      </c>
      <c r="C641" s="2">
        <v>2</v>
      </c>
      <c r="D641" s="2">
        <v>5</v>
      </c>
      <c r="E641" s="2">
        <v>2</v>
      </c>
      <c r="F641" s="1">
        <v>44.480822889999999</v>
      </c>
      <c r="G641" s="2">
        <v>3</v>
      </c>
      <c r="H641" s="2">
        <v>43</v>
      </c>
      <c r="I641" s="2">
        <v>36</v>
      </c>
      <c r="J641" s="2">
        <v>2</v>
      </c>
      <c r="K641" s="2">
        <v>0</v>
      </c>
      <c r="L64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41" t="str">
        <f>IF(Table1[[#This Row],[Experience Years]]&lt;=2,"Entry Level",IF(Table1[[#This Row],[Experience Years]]&lt;=7,"Mid Level",IF(Table1[[#This Row],[Experience Years]]&lt;=15,"Senior Level")))</f>
        <v>Mid Level</v>
      </c>
      <c r="N641" s="1">
        <f>AVERAGE(Table1[[#This Row],[Interview Score]:[Personality Score]])</f>
        <v>27.333333333333332</v>
      </c>
      <c r="O6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41" s="2" t="str">
        <f t="shared" si="9"/>
        <v>40-50</v>
      </c>
    </row>
    <row r="642" spans="1:16" x14ac:dyDescent="0.25">
      <c r="A642">
        <v>36</v>
      </c>
      <c r="B642" s="2">
        <v>0</v>
      </c>
      <c r="C642" s="2">
        <v>1</v>
      </c>
      <c r="D642" s="2">
        <v>15</v>
      </c>
      <c r="E642" s="2">
        <v>4</v>
      </c>
      <c r="F642" s="1">
        <v>10.472171660000001</v>
      </c>
      <c r="G642" s="2">
        <v>98</v>
      </c>
      <c r="H642" s="2">
        <v>26</v>
      </c>
      <c r="I642" s="2">
        <v>76</v>
      </c>
      <c r="J642" s="2">
        <v>3</v>
      </c>
      <c r="K642" s="2">
        <v>0</v>
      </c>
      <c r="L64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42" s="2" t="str">
        <f>IF(Table1[[#This Row],[Experience Years]]&lt;=2,"Entry Level",IF(Table1[[#This Row],[Experience Years]]&lt;=7,"Mid Level",IF(Table1[[#This Row],[Experience Years]]&lt;=15,"Senior Level")))</f>
        <v>Senior Level</v>
      </c>
      <c r="N642" s="1">
        <f>AVERAGE(Table1[[#This Row],[Interview Score]:[Personality Score]])</f>
        <v>66.666666666666671</v>
      </c>
      <c r="O6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42" s="2" t="str">
        <f t="shared" ref="P642:P705" si="10">IF(F642&lt;10,"0-10",IF(F642&lt;20,"10-20",IF(F642&lt;30,"20-30",IF(F642&lt;40,"30-40",IF(F642&lt;50,"40-50","50+")))))</f>
        <v>10-20</v>
      </c>
    </row>
    <row r="643" spans="1:16" x14ac:dyDescent="0.25">
      <c r="A643">
        <v>49</v>
      </c>
      <c r="B643" s="2">
        <v>0</v>
      </c>
      <c r="C643" s="2">
        <v>3</v>
      </c>
      <c r="D643" s="2">
        <v>7</v>
      </c>
      <c r="E643" s="2">
        <v>4</v>
      </c>
      <c r="F643" s="1">
        <v>21.057398469999999</v>
      </c>
      <c r="G643" s="2">
        <v>9</v>
      </c>
      <c r="H643" s="2">
        <v>98</v>
      </c>
      <c r="I643" s="2">
        <v>84</v>
      </c>
      <c r="J643" s="2">
        <v>2</v>
      </c>
      <c r="K643" s="2">
        <v>1</v>
      </c>
      <c r="L64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43" s="2" t="str">
        <f>IF(Table1[[#This Row],[Experience Years]]&lt;=2,"Entry Level",IF(Table1[[#This Row],[Experience Years]]&lt;=7,"Mid Level",IF(Table1[[#This Row],[Experience Years]]&lt;=15,"Senior Level")))</f>
        <v>Mid Level</v>
      </c>
      <c r="N643" s="1">
        <f>AVERAGE(Table1[[#This Row],[Interview Score]:[Personality Score]])</f>
        <v>63.666666666666664</v>
      </c>
      <c r="O6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43" s="2" t="str">
        <f t="shared" si="10"/>
        <v>20-30</v>
      </c>
    </row>
    <row r="644" spans="1:16" x14ac:dyDescent="0.25">
      <c r="A644">
        <v>33</v>
      </c>
      <c r="B644" s="2">
        <v>1</v>
      </c>
      <c r="C644" s="2">
        <v>1</v>
      </c>
      <c r="D644" s="2">
        <v>7</v>
      </c>
      <c r="E644" s="2">
        <v>5</v>
      </c>
      <c r="F644" s="1">
        <v>48.389803299999997</v>
      </c>
      <c r="G644" s="2">
        <v>46</v>
      </c>
      <c r="H644" s="2">
        <v>25</v>
      </c>
      <c r="I644" s="2">
        <v>45</v>
      </c>
      <c r="J644" s="2">
        <v>2</v>
      </c>
      <c r="K644" s="2">
        <v>0</v>
      </c>
      <c r="L64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44" t="str">
        <f>IF(Table1[[#This Row],[Experience Years]]&lt;=2,"Entry Level",IF(Table1[[#This Row],[Experience Years]]&lt;=7,"Mid Level",IF(Table1[[#This Row],[Experience Years]]&lt;=15,"Senior Level")))</f>
        <v>Mid Level</v>
      </c>
      <c r="N644" s="1">
        <f>AVERAGE(Table1[[#This Row],[Interview Score]:[Personality Score]])</f>
        <v>38.666666666666664</v>
      </c>
      <c r="O6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44" s="2" t="str">
        <f t="shared" si="10"/>
        <v>40-50</v>
      </c>
    </row>
    <row r="645" spans="1:16" x14ac:dyDescent="0.25">
      <c r="A645">
        <v>49</v>
      </c>
      <c r="B645" s="2">
        <v>0</v>
      </c>
      <c r="C645" s="2">
        <v>2</v>
      </c>
      <c r="D645" s="2">
        <v>10</v>
      </c>
      <c r="E645" s="2">
        <v>3</v>
      </c>
      <c r="F645" s="1">
        <v>20.829528719999999</v>
      </c>
      <c r="G645" s="2">
        <v>74</v>
      </c>
      <c r="H645" s="2">
        <v>59</v>
      </c>
      <c r="I645" s="2">
        <v>8</v>
      </c>
      <c r="J645" s="2">
        <v>3</v>
      </c>
      <c r="K645" s="2">
        <v>0</v>
      </c>
      <c r="L64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45" s="2" t="str">
        <f>IF(Table1[[#This Row],[Experience Years]]&lt;=2,"Entry Level",IF(Table1[[#This Row],[Experience Years]]&lt;=7,"Mid Level",IF(Table1[[#This Row],[Experience Years]]&lt;=15,"Senior Level")))</f>
        <v>Senior Level</v>
      </c>
      <c r="N645" s="1">
        <f>AVERAGE(Table1[[#This Row],[Interview Score]:[Personality Score]])</f>
        <v>47</v>
      </c>
      <c r="O6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45" s="2" t="str">
        <f t="shared" si="10"/>
        <v>20-30</v>
      </c>
    </row>
    <row r="646" spans="1:16" x14ac:dyDescent="0.25">
      <c r="A646">
        <v>39</v>
      </c>
      <c r="B646" s="2">
        <v>1</v>
      </c>
      <c r="C646" s="2">
        <v>1</v>
      </c>
      <c r="D646" s="2">
        <v>8</v>
      </c>
      <c r="E646" s="2">
        <v>3</v>
      </c>
      <c r="F646" s="1">
        <v>7.2435038450000002</v>
      </c>
      <c r="G646" s="2">
        <v>13</v>
      </c>
      <c r="H646" s="2">
        <v>17</v>
      </c>
      <c r="I646" s="2">
        <v>16</v>
      </c>
      <c r="J646" s="2">
        <v>1</v>
      </c>
      <c r="K646" s="2">
        <v>0</v>
      </c>
      <c r="L64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46" t="str">
        <f>IF(Table1[[#This Row],[Experience Years]]&lt;=2,"Entry Level",IF(Table1[[#This Row],[Experience Years]]&lt;=7,"Mid Level",IF(Table1[[#This Row],[Experience Years]]&lt;=15,"Senior Level")))</f>
        <v>Senior Level</v>
      </c>
      <c r="N646" s="1">
        <f>AVERAGE(Table1[[#This Row],[Interview Score]:[Personality Score]])</f>
        <v>15.333333333333334</v>
      </c>
      <c r="O6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46" s="2" t="str">
        <f t="shared" si="10"/>
        <v>0-10</v>
      </c>
    </row>
    <row r="647" spans="1:16" x14ac:dyDescent="0.25">
      <c r="A647">
        <v>24</v>
      </c>
      <c r="B647" s="2">
        <v>1</v>
      </c>
      <c r="C647" s="2">
        <v>2</v>
      </c>
      <c r="D647" s="2">
        <v>7</v>
      </c>
      <c r="E647" s="2">
        <v>3</v>
      </c>
      <c r="F647" s="1">
        <v>27.27225632</v>
      </c>
      <c r="G647" s="2">
        <v>37</v>
      </c>
      <c r="H647" s="2">
        <v>96</v>
      </c>
      <c r="I647" s="2">
        <v>46</v>
      </c>
      <c r="J647" s="2">
        <v>2</v>
      </c>
      <c r="K647" s="2">
        <v>0</v>
      </c>
      <c r="L64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47" t="str">
        <f>IF(Table1[[#This Row],[Experience Years]]&lt;=2,"Entry Level",IF(Table1[[#This Row],[Experience Years]]&lt;=7,"Mid Level",IF(Table1[[#This Row],[Experience Years]]&lt;=15,"Senior Level")))</f>
        <v>Mid Level</v>
      </c>
      <c r="N647" s="1">
        <f>AVERAGE(Table1[[#This Row],[Interview Score]:[Personality Score]])</f>
        <v>59.666666666666664</v>
      </c>
      <c r="O6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47" s="2" t="str">
        <f t="shared" si="10"/>
        <v>20-30</v>
      </c>
    </row>
    <row r="648" spans="1:16" x14ac:dyDescent="0.25">
      <c r="A648">
        <v>31</v>
      </c>
      <c r="B648" s="2">
        <v>0</v>
      </c>
      <c r="C648" s="2">
        <v>1</v>
      </c>
      <c r="D648" s="2">
        <v>12</v>
      </c>
      <c r="E648" s="2">
        <v>4</v>
      </c>
      <c r="F648" s="1">
        <v>6.474548628</v>
      </c>
      <c r="G648" s="2">
        <v>11</v>
      </c>
      <c r="H648" s="2">
        <v>88</v>
      </c>
      <c r="I648" s="2">
        <v>84</v>
      </c>
      <c r="J648" s="2">
        <v>2</v>
      </c>
      <c r="K648" s="2">
        <v>0</v>
      </c>
      <c r="L64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48" s="2" t="str">
        <f>IF(Table1[[#This Row],[Experience Years]]&lt;=2,"Entry Level",IF(Table1[[#This Row],[Experience Years]]&lt;=7,"Mid Level",IF(Table1[[#This Row],[Experience Years]]&lt;=15,"Senior Level")))</f>
        <v>Senior Level</v>
      </c>
      <c r="N648" s="1">
        <f>AVERAGE(Table1[[#This Row],[Interview Score]:[Personality Score]])</f>
        <v>61</v>
      </c>
      <c r="O6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48" s="2" t="str">
        <f t="shared" si="10"/>
        <v>0-10</v>
      </c>
    </row>
    <row r="649" spans="1:16" x14ac:dyDescent="0.25">
      <c r="A649">
        <v>35</v>
      </c>
      <c r="B649" s="2">
        <v>0</v>
      </c>
      <c r="C649" s="2">
        <v>2</v>
      </c>
      <c r="D649" s="2">
        <v>10</v>
      </c>
      <c r="E649" s="2">
        <v>5</v>
      </c>
      <c r="F649" s="1">
        <v>11.14266194</v>
      </c>
      <c r="G649" s="2">
        <v>44</v>
      </c>
      <c r="H649" s="2">
        <v>55</v>
      </c>
      <c r="I649" s="2">
        <v>94</v>
      </c>
      <c r="J649" s="2">
        <v>2</v>
      </c>
      <c r="K649" s="2">
        <v>0</v>
      </c>
      <c r="L64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49" s="2" t="str">
        <f>IF(Table1[[#This Row],[Experience Years]]&lt;=2,"Entry Level",IF(Table1[[#This Row],[Experience Years]]&lt;=7,"Mid Level",IF(Table1[[#This Row],[Experience Years]]&lt;=15,"Senior Level")))</f>
        <v>Senior Level</v>
      </c>
      <c r="N649" s="1">
        <f>AVERAGE(Table1[[#This Row],[Interview Score]:[Personality Score]])</f>
        <v>64.333333333333329</v>
      </c>
      <c r="O6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49" s="2" t="str">
        <f t="shared" si="10"/>
        <v>10-20</v>
      </c>
    </row>
    <row r="650" spans="1:16" x14ac:dyDescent="0.25">
      <c r="A650">
        <v>45</v>
      </c>
      <c r="B650" s="2">
        <v>1</v>
      </c>
      <c r="C650" s="2">
        <v>4</v>
      </c>
      <c r="D650" s="2">
        <v>1</v>
      </c>
      <c r="E650" s="2">
        <v>1</v>
      </c>
      <c r="F650" s="1">
        <v>50.915937829999997</v>
      </c>
      <c r="G650" s="2">
        <v>16</v>
      </c>
      <c r="H650" s="2">
        <v>30</v>
      </c>
      <c r="I650" s="2">
        <v>58</v>
      </c>
      <c r="J650" s="2">
        <v>1</v>
      </c>
      <c r="K650" s="2">
        <v>0</v>
      </c>
      <c r="L65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50" t="str">
        <f>IF(Table1[[#This Row],[Experience Years]]&lt;=2,"Entry Level",IF(Table1[[#This Row],[Experience Years]]&lt;=7,"Mid Level",IF(Table1[[#This Row],[Experience Years]]&lt;=15,"Senior Level")))</f>
        <v>Entry Level</v>
      </c>
      <c r="N650" s="1">
        <f>AVERAGE(Table1[[#This Row],[Interview Score]:[Personality Score]])</f>
        <v>34.666666666666664</v>
      </c>
      <c r="O6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50" s="2" t="str">
        <f t="shared" si="10"/>
        <v>50+</v>
      </c>
    </row>
    <row r="651" spans="1:16" x14ac:dyDescent="0.25">
      <c r="A651">
        <v>45</v>
      </c>
      <c r="B651" s="2">
        <v>0</v>
      </c>
      <c r="C651" s="2">
        <v>1</v>
      </c>
      <c r="D651" s="2">
        <v>13</v>
      </c>
      <c r="E651" s="2">
        <v>2</v>
      </c>
      <c r="F651" s="1">
        <v>28.068131919999999</v>
      </c>
      <c r="G651" s="2">
        <v>79</v>
      </c>
      <c r="H651" s="2">
        <v>100</v>
      </c>
      <c r="I651" s="2">
        <v>53</v>
      </c>
      <c r="J651" s="2">
        <v>2</v>
      </c>
      <c r="K651" s="2">
        <v>0</v>
      </c>
      <c r="L65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51" s="2" t="str">
        <f>IF(Table1[[#This Row],[Experience Years]]&lt;=2,"Entry Level",IF(Table1[[#This Row],[Experience Years]]&lt;=7,"Mid Level",IF(Table1[[#This Row],[Experience Years]]&lt;=15,"Senior Level")))</f>
        <v>Senior Level</v>
      </c>
      <c r="N651" s="1">
        <f>AVERAGE(Table1[[#This Row],[Interview Score]:[Personality Score]])</f>
        <v>77.333333333333329</v>
      </c>
      <c r="O6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651" s="2" t="str">
        <f t="shared" si="10"/>
        <v>20-30</v>
      </c>
    </row>
    <row r="652" spans="1:16" x14ac:dyDescent="0.25">
      <c r="A652">
        <v>35</v>
      </c>
      <c r="B652" s="2">
        <v>0</v>
      </c>
      <c r="C652" s="2">
        <v>1</v>
      </c>
      <c r="D652" s="2">
        <v>13</v>
      </c>
      <c r="E652" s="2">
        <v>1</v>
      </c>
      <c r="F652" s="1">
        <v>15.20291945</v>
      </c>
      <c r="G652" s="2">
        <v>34</v>
      </c>
      <c r="H652" s="2">
        <v>58</v>
      </c>
      <c r="I652" s="2">
        <v>85</v>
      </c>
      <c r="J652" s="2">
        <v>2</v>
      </c>
      <c r="K652" s="2">
        <v>0</v>
      </c>
      <c r="L65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52" s="2" t="str">
        <f>IF(Table1[[#This Row],[Experience Years]]&lt;=2,"Entry Level",IF(Table1[[#This Row],[Experience Years]]&lt;=7,"Mid Level",IF(Table1[[#This Row],[Experience Years]]&lt;=15,"Senior Level")))</f>
        <v>Senior Level</v>
      </c>
      <c r="N652" s="1">
        <f>AVERAGE(Table1[[#This Row],[Interview Score]:[Personality Score]])</f>
        <v>59</v>
      </c>
      <c r="O6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52" s="2" t="str">
        <f t="shared" si="10"/>
        <v>10-20</v>
      </c>
    </row>
    <row r="653" spans="1:16" x14ac:dyDescent="0.25">
      <c r="A653">
        <v>40</v>
      </c>
      <c r="B653" s="2">
        <v>0</v>
      </c>
      <c r="C653" s="2">
        <v>2</v>
      </c>
      <c r="D653" s="2">
        <v>11</v>
      </c>
      <c r="E653" s="2">
        <v>4</v>
      </c>
      <c r="F653" s="1">
        <v>50.73874773</v>
      </c>
      <c r="G653" s="2">
        <v>65</v>
      </c>
      <c r="H653" s="2">
        <v>1</v>
      </c>
      <c r="I653" s="2">
        <v>11</v>
      </c>
      <c r="J653" s="2">
        <v>2</v>
      </c>
      <c r="K653" s="2">
        <v>0</v>
      </c>
      <c r="L65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53" s="2" t="str">
        <f>IF(Table1[[#This Row],[Experience Years]]&lt;=2,"Entry Level",IF(Table1[[#This Row],[Experience Years]]&lt;=7,"Mid Level",IF(Table1[[#This Row],[Experience Years]]&lt;=15,"Senior Level")))</f>
        <v>Senior Level</v>
      </c>
      <c r="N653" s="1">
        <f>AVERAGE(Table1[[#This Row],[Interview Score]:[Personality Score]])</f>
        <v>25.666666666666668</v>
      </c>
      <c r="O6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53" s="2" t="str">
        <f t="shared" si="10"/>
        <v>50+</v>
      </c>
    </row>
    <row r="654" spans="1:16" x14ac:dyDescent="0.25">
      <c r="A654">
        <v>26</v>
      </c>
      <c r="B654" s="2">
        <v>0</v>
      </c>
      <c r="C654" s="2">
        <v>3</v>
      </c>
      <c r="D654" s="2">
        <v>9</v>
      </c>
      <c r="E654" s="2">
        <v>3</v>
      </c>
      <c r="F654" s="1">
        <v>49.327945929999998</v>
      </c>
      <c r="G654" s="2">
        <v>74</v>
      </c>
      <c r="H654" s="2">
        <v>96</v>
      </c>
      <c r="I654" s="2">
        <v>63</v>
      </c>
      <c r="J654" s="2">
        <v>3</v>
      </c>
      <c r="K654" s="2">
        <v>1</v>
      </c>
      <c r="L65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54" s="2" t="str">
        <f>IF(Table1[[#This Row],[Experience Years]]&lt;=2,"Entry Level",IF(Table1[[#This Row],[Experience Years]]&lt;=7,"Mid Level",IF(Table1[[#This Row],[Experience Years]]&lt;=15,"Senior Level")))</f>
        <v>Senior Level</v>
      </c>
      <c r="N654" s="1">
        <f>AVERAGE(Table1[[#This Row],[Interview Score]:[Personality Score]])</f>
        <v>77.666666666666671</v>
      </c>
      <c r="O6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654" s="2" t="str">
        <f t="shared" si="10"/>
        <v>40-50</v>
      </c>
    </row>
    <row r="655" spans="1:16" x14ac:dyDescent="0.25">
      <c r="A655">
        <v>23</v>
      </c>
      <c r="B655" s="2">
        <v>0</v>
      </c>
      <c r="C655" s="2">
        <v>2</v>
      </c>
      <c r="D655" s="2">
        <v>11</v>
      </c>
      <c r="E655" s="2">
        <v>2</v>
      </c>
      <c r="F655" s="1">
        <v>23.03695205</v>
      </c>
      <c r="G655" s="2">
        <v>40</v>
      </c>
      <c r="H655" s="2">
        <v>38</v>
      </c>
      <c r="I655" s="2">
        <v>5</v>
      </c>
      <c r="J655" s="2">
        <v>3</v>
      </c>
      <c r="K655" s="2">
        <v>0</v>
      </c>
      <c r="L65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55" s="2" t="str">
        <f>IF(Table1[[#This Row],[Experience Years]]&lt;=2,"Entry Level",IF(Table1[[#This Row],[Experience Years]]&lt;=7,"Mid Level",IF(Table1[[#This Row],[Experience Years]]&lt;=15,"Senior Level")))</f>
        <v>Senior Level</v>
      </c>
      <c r="N655" s="1">
        <f>AVERAGE(Table1[[#This Row],[Interview Score]:[Personality Score]])</f>
        <v>27.666666666666668</v>
      </c>
      <c r="O6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55" s="2" t="str">
        <f t="shared" si="10"/>
        <v>20-30</v>
      </c>
    </row>
    <row r="656" spans="1:16" x14ac:dyDescent="0.25">
      <c r="A656">
        <v>20</v>
      </c>
      <c r="B656" s="2">
        <v>1</v>
      </c>
      <c r="C656" s="2">
        <v>2</v>
      </c>
      <c r="D656" s="2">
        <v>10</v>
      </c>
      <c r="E656" s="2">
        <v>4</v>
      </c>
      <c r="F656" s="1">
        <v>14.02015544</v>
      </c>
      <c r="G656" s="2">
        <v>66</v>
      </c>
      <c r="H656" s="2">
        <v>60</v>
      </c>
      <c r="I656" s="2">
        <v>52</v>
      </c>
      <c r="J656" s="2">
        <v>2</v>
      </c>
      <c r="K656" s="2">
        <v>0</v>
      </c>
      <c r="L65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56" t="str">
        <f>IF(Table1[[#This Row],[Experience Years]]&lt;=2,"Entry Level",IF(Table1[[#This Row],[Experience Years]]&lt;=7,"Mid Level",IF(Table1[[#This Row],[Experience Years]]&lt;=15,"Senior Level")))</f>
        <v>Senior Level</v>
      </c>
      <c r="N656" s="1">
        <f>AVERAGE(Table1[[#This Row],[Interview Score]:[Personality Score]])</f>
        <v>59.333333333333336</v>
      </c>
      <c r="O6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56" s="2" t="str">
        <f t="shared" si="10"/>
        <v>10-20</v>
      </c>
    </row>
    <row r="657" spans="1:16" x14ac:dyDescent="0.25">
      <c r="A657">
        <v>49</v>
      </c>
      <c r="B657" s="2">
        <v>1</v>
      </c>
      <c r="C657" s="2">
        <v>1</v>
      </c>
      <c r="D657" s="2">
        <v>14</v>
      </c>
      <c r="E657" s="2">
        <v>4</v>
      </c>
      <c r="F657" s="1">
        <v>42.919981900000003</v>
      </c>
      <c r="G657" s="2">
        <v>28</v>
      </c>
      <c r="H657" s="2">
        <v>62</v>
      </c>
      <c r="I657" s="2">
        <v>15</v>
      </c>
      <c r="J657" s="2">
        <v>3</v>
      </c>
      <c r="K657" s="2">
        <v>0</v>
      </c>
      <c r="L65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57" t="str">
        <f>IF(Table1[[#This Row],[Experience Years]]&lt;=2,"Entry Level",IF(Table1[[#This Row],[Experience Years]]&lt;=7,"Mid Level",IF(Table1[[#This Row],[Experience Years]]&lt;=15,"Senior Level")))</f>
        <v>Senior Level</v>
      </c>
      <c r="N657" s="1">
        <f>AVERAGE(Table1[[#This Row],[Interview Score]:[Personality Score]])</f>
        <v>35</v>
      </c>
      <c r="O6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57" s="2" t="str">
        <f t="shared" si="10"/>
        <v>40-50</v>
      </c>
    </row>
    <row r="658" spans="1:16" x14ac:dyDescent="0.25">
      <c r="A658">
        <v>49</v>
      </c>
      <c r="B658" s="2">
        <v>0</v>
      </c>
      <c r="C658" s="2">
        <v>3</v>
      </c>
      <c r="D658" s="2">
        <v>15</v>
      </c>
      <c r="E658" s="2">
        <v>4</v>
      </c>
      <c r="F658" s="1">
        <v>36.781035850000002</v>
      </c>
      <c r="G658" s="2">
        <v>17</v>
      </c>
      <c r="H658" s="2">
        <v>95</v>
      </c>
      <c r="I658" s="2">
        <v>89</v>
      </c>
      <c r="J658" s="2">
        <v>2</v>
      </c>
      <c r="K658" s="2">
        <v>1</v>
      </c>
      <c r="L65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58" s="2" t="str">
        <f>IF(Table1[[#This Row],[Experience Years]]&lt;=2,"Entry Level",IF(Table1[[#This Row],[Experience Years]]&lt;=7,"Mid Level",IF(Table1[[#This Row],[Experience Years]]&lt;=15,"Senior Level")))</f>
        <v>Senior Level</v>
      </c>
      <c r="N658" s="1">
        <f>AVERAGE(Table1[[#This Row],[Interview Score]:[Personality Score]])</f>
        <v>67</v>
      </c>
      <c r="O6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58" s="2" t="str">
        <f t="shared" si="10"/>
        <v>30-40</v>
      </c>
    </row>
    <row r="659" spans="1:16" x14ac:dyDescent="0.25">
      <c r="A659">
        <v>24</v>
      </c>
      <c r="B659" s="2">
        <v>0</v>
      </c>
      <c r="C659" s="2">
        <v>2</v>
      </c>
      <c r="D659" s="2">
        <v>0</v>
      </c>
      <c r="E659" s="2">
        <v>2</v>
      </c>
      <c r="F659" s="1">
        <v>35.347071749999998</v>
      </c>
      <c r="G659" s="2">
        <v>19</v>
      </c>
      <c r="H659" s="2">
        <v>17</v>
      </c>
      <c r="I659" s="2">
        <v>4</v>
      </c>
      <c r="J659" s="2">
        <v>2</v>
      </c>
      <c r="K659" s="2">
        <v>0</v>
      </c>
      <c r="L65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59" s="2" t="str">
        <f>IF(Table1[[#This Row],[Experience Years]]&lt;=2,"Entry Level",IF(Table1[[#This Row],[Experience Years]]&lt;=7,"Mid Level",IF(Table1[[#This Row],[Experience Years]]&lt;=15,"Senior Level")))</f>
        <v>Entry Level</v>
      </c>
      <c r="N659" s="1">
        <f>AVERAGE(Table1[[#This Row],[Interview Score]:[Personality Score]])</f>
        <v>13.333333333333334</v>
      </c>
      <c r="O6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59" s="2" t="str">
        <f t="shared" si="10"/>
        <v>30-40</v>
      </c>
    </row>
    <row r="660" spans="1:16" x14ac:dyDescent="0.25">
      <c r="A660">
        <v>42</v>
      </c>
      <c r="B660" s="2">
        <v>0</v>
      </c>
      <c r="C660" s="2">
        <v>3</v>
      </c>
      <c r="D660" s="2">
        <v>9</v>
      </c>
      <c r="E660" s="2">
        <v>2</v>
      </c>
      <c r="F660" s="1">
        <v>45.655687069999999</v>
      </c>
      <c r="G660" s="2">
        <v>13</v>
      </c>
      <c r="H660" s="2">
        <v>16</v>
      </c>
      <c r="I660" s="2">
        <v>72</v>
      </c>
      <c r="J660" s="2">
        <v>2</v>
      </c>
      <c r="K660" s="2">
        <v>0</v>
      </c>
      <c r="L66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60" s="2" t="str">
        <f>IF(Table1[[#This Row],[Experience Years]]&lt;=2,"Entry Level",IF(Table1[[#This Row],[Experience Years]]&lt;=7,"Mid Level",IF(Table1[[#This Row],[Experience Years]]&lt;=15,"Senior Level")))</f>
        <v>Senior Level</v>
      </c>
      <c r="N660" s="1">
        <f>AVERAGE(Table1[[#This Row],[Interview Score]:[Personality Score]])</f>
        <v>33.666666666666664</v>
      </c>
      <c r="O6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60" s="2" t="str">
        <f t="shared" si="10"/>
        <v>40-50</v>
      </c>
    </row>
    <row r="661" spans="1:16" x14ac:dyDescent="0.25">
      <c r="A661">
        <v>45</v>
      </c>
      <c r="B661" s="2">
        <v>1</v>
      </c>
      <c r="C661" s="2">
        <v>4</v>
      </c>
      <c r="D661" s="2">
        <v>1</v>
      </c>
      <c r="E661" s="2">
        <v>5</v>
      </c>
      <c r="F661" s="1">
        <v>35.470856689999998</v>
      </c>
      <c r="G661" s="2">
        <v>33</v>
      </c>
      <c r="H661" s="2">
        <v>97</v>
      </c>
      <c r="I661" s="2">
        <v>45</v>
      </c>
      <c r="J661" s="2">
        <v>2</v>
      </c>
      <c r="K661" s="2">
        <v>0</v>
      </c>
      <c r="L66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61" t="str">
        <f>IF(Table1[[#This Row],[Experience Years]]&lt;=2,"Entry Level",IF(Table1[[#This Row],[Experience Years]]&lt;=7,"Mid Level",IF(Table1[[#This Row],[Experience Years]]&lt;=15,"Senior Level")))</f>
        <v>Entry Level</v>
      </c>
      <c r="N661" s="1">
        <f>AVERAGE(Table1[[#This Row],[Interview Score]:[Personality Score]])</f>
        <v>58.333333333333336</v>
      </c>
      <c r="O6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61" s="2" t="str">
        <f t="shared" si="10"/>
        <v>30-40</v>
      </c>
    </row>
    <row r="662" spans="1:16" x14ac:dyDescent="0.25">
      <c r="A662">
        <v>29</v>
      </c>
      <c r="B662" s="2">
        <v>0</v>
      </c>
      <c r="C662" s="2">
        <v>2</v>
      </c>
      <c r="D662" s="2">
        <v>1</v>
      </c>
      <c r="E662" s="2">
        <v>5</v>
      </c>
      <c r="F662" s="1">
        <v>15.18989715</v>
      </c>
      <c r="G662" s="2">
        <v>48</v>
      </c>
      <c r="H662" s="2">
        <v>38</v>
      </c>
      <c r="I662" s="2">
        <v>13</v>
      </c>
      <c r="J662" s="2">
        <v>1</v>
      </c>
      <c r="K662" s="2">
        <v>0</v>
      </c>
      <c r="L66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62" s="2" t="str">
        <f>IF(Table1[[#This Row],[Experience Years]]&lt;=2,"Entry Level",IF(Table1[[#This Row],[Experience Years]]&lt;=7,"Mid Level",IF(Table1[[#This Row],[Experience Years]]&lt;=15,"Senior Level")))</f>
        <v>Entry Level</v>
      </c>
      <c r="N662" s="1">
        <f>AVERAGE(Table1[[#This Row],[Interview Score]:[Personality Score]])</f>
        <v>33</v>
      </c>
      <c r="O6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62" s="2" t="str">
        <f t="shared" si="10"/>
        <v>10-20</v>
      </c>
    </row>
    <row r="663" spans="1:16" x14ac:dyDescent="0.25">
      <c r="A663">
        <v>41</v>
      </c>
      <c r="B663" s="2">
        <v>1</v>
      </c>
      <c r="C663" s="2">
        <v>3</v>
      </c>
      <c r="D663" s="2">
        <v>11</v>
      </c>
      <c r="E663" s="2">
        <v>1</v>
      </c>
      <c r="F663" s="1">
        <v>35.693158089999997</v>
      </c>
      <c r="G663" s="2">
        <v>53</v>
      </c>
      <c r="H663" s="2">
        <v>70</v>
      </c>
      <c r="I663" s="2">
        <v>43</v>
      </c>
      <c r="J663" s="2">
        <v>2</v>
      </c>
      <c r="K663" s="2">
        <v>0</v>
      </c>
      <c r="L66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63" t="str">
        <f>IF(Table1[[#This Row],[Experience Years]]&lt;=2,"Entry Level",IF(Table1[[#This Row],[Experience Years]]&lt;=7,"Mid Level",IF(Table1[[#This Row],[Experience Years]]&lt;=15,"Senior Level")))</f>
        <v>Senior Level</v>
      </c>
      <c r="N663" s="1">
        <f>AVERAGE(Table1[[#This Row],[Interview Score]:[Personality Score]])</f>
        <v>55.333333333333336</v>
      </c>
      <c r="O6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63" s="2" t="str">
        <f t="shared" si="10"/>
        <v>30-40</v>
      </c>
    </row>
    <row r="664" spans="1:16" x14ac:dyDescent="0.25">
      <c r="A664">
        <v>24</v>
      </c>
      <c r="B664" s="2">
        <v>1</v>
      </c>
      <c r="C664" s="2">
        <v>1</v>
      </c>
      <c r="D664" s="2">
        <v>2</v>
      </c>
      <c r="E664" s="2">
        <v>2</v>
      </c>
      <c r="F664" s="1">
        <v>16.29067556</v>
      </c>
      <c r="G664" s="2">
        <v>30</v>
      </c>
      <c r="H664" s="2">
        <v>53</v>
      </c>
      <c r="I664" s="2">
        <v>62</v>
      </c>
      <c r="J664" s="2">
        <v>2</v>
      </c>
      <c r="K664" s="2">
        <v>0</v>
      </c>
      <c r="L66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64" t="str">
        <f>IF(Table1[[#This Row],[Experience Years]]&lt;=2,"Entry Level",IF(Table1[[#This Row],[Experience Years]]&lt;=7,"Mid Level",IF(Table1[[#This Row],[Experience Years]]&lt;=15,"Senior Level")))</f>
        <v>Entry Level</v>
      </c>
      <c r="N664" s="1">
        <f>AVERAGE(Table1[[#This Row],[Interview Score]:[Personality Score]])</f>
        <v>48.333333333333336</v>
      </c>
      <c r="O6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64" s="2" t="str">
        <f t="shared" si="10"/>
        <v>10-20</v>
      </c>
    </row>
    <row r="665" spans="1:16" x14ac:dyDescent="0.25">
      <c r="A665">
        <v>23</v>
      </c>
      <c r="B665" s="2">
        <v>1</v>
      </c>
      <c r="C665" s="2">
        <v>3</v>
      </c>
      <c r="D665" s="2">
        <v>9</v>
      </c>
      <c r="E665" s="2">
        <v>2</v>
      </c>
      <c r="F665" s="1">
        <v>38.961948980000003</v>
      </c>
      <c r="G665" s="2">
        <v>57</v>
      </c>
      <c r="H665" s="2">
        <v>98</v>
      </c>
      <c r="I665" s="2">
        <v>93</v>
      </c>
      <c r="J665" s="2">
        <v>2</v>
      </c>
      <c r="K665" s="2">
        <v>1</v>
      </c>
      <c r="L66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65" t="str">
        <f>IF(Table1[[#This Row],[Experience Years]]&lt;=2,"Entry Level",IF(Table1[[#This Row],[Experience Years]]&lt;=7,"Mid Level",IF(Table1[[#This Row],[Experience Years]]&lt;=15,"Senior Level")))</f>
        <v>Senior Level</v>
      </c>
      <c r="N665" s="1">
        <f>AVERAGE(Table1[[#This Row],[Interview Score]:[Personality Score]])</f>
        <v>82.666666666666671</v>
      </c>
      <c r="O6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665" s="2" t="str">
        <f t="shared" si="10"/>
        <v>30-40</v>
      </c>
    </row>
    <row r="666" spans="1:16" x14ac:dyDescent="0.25">
      <c r="A666">
        <v>21</v>
      </c>
      <c r="B666" s="2">
        <v>0</v>
      </c>
      <c r="C666" s="2">
        <v>2</v>
      </c>
      <c r="D666" s="2">
        <v>6</v>
      </c>
      <c r="E666" s="2">
        <v>2</v>
      </c>
      <c r="F666" s="1">
        <v>31.987392719999999</v>
      </c>
      <c r="G666" s="2">
        <v>41</v>
      </c>
      <c r="H666" s="2">
        <v>93</v>
      </c>
      <c r="I666" s="2">
        <v>51</v>
      </c>
      <c r="J666" s="2">
        <v>3</v>
      </c>
      <c r="K666" s="2">
        <v>0</v>
      </c>
      <c r="L66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66" s="2" t="str">
        <f>IF(Table1[[#This Row],[Experience Years]]&lt;=2,"Entry Level",IF(Table1[[#This Row],[Experience Years]]&lt;=7,"Mid Level",IF(Table1[[#This Row],[Experience Years]]&lt;=15,"Senior Level")))</f>
        <v>Mid Level</v>
      </c>
      <c r="N666" s="1">
        <f>AVERAGE(Table1[[#This Row],[Interview Score]:[Personality Score]])</f>
        <v>61.666666666666664</v>
      </c>
      <c r="O6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66" s="2" t="str">
        <f t="shared" si="10"/>
        <v>30-40</v>
      </c>
    </row>
    <row r="667" spans="1:16" x14ac:dyDescent="0.25">
      <c r="A667">
        <v>39</v>
      </c>
      <c r="B667" s="2">
        <v>1</v>
      </c>
      <c r="C667" s="2">
        <v>3</v>
      </c>
      <c r="D667" s="2">
        <v>1</v>
      </c>
      <c r="E667" s="2">
        <v>5</v>
      </c>
      <c r="F667" s="1">
        <v>4.8705775989999998</v>
      </c>
      <c r="G667" s="2">
        <v>57</v>
      </c>
      <c r="H667" s="2">
        <v>75</v>
      </c>
      <c r="I667" s="2">
        <v>25</v>
      </c>
      <c r="J667" s="2">
        <v>2</v>
      </c>
      <c r="K667" s="2">
        <v>0</v>
      </c>
      <c r="L66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67" t="str">
        <f>IF(Table1[[#This Row],[Experience Years]]&lt;=2,"Entry Level",IF(Table1[[#This Row],[Experience Years]]&lt;=7,"Mid Level",IF(Table1[[#This Row],[Experience Years]]&lt;=15,"Senior Level")))</f>
        <v>Entry Level</v>
      </c>
      <c r="N667" s="1">
        <f>AVERAGE(Table1[[#This Row],[Interview Score]:[Personality Score]])</f>
        <v>52.333333333333336</v>
      </c>
      <c r="O6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67" s="2" t="str">
        <f t="shared" si="10"/>
        <v>0-10</v>
      </c>
    </row>
    <row r="668" spans="1:16" x14ac:dyDescent="0.25">
      <c r="A668">
        <v>50</v>
      </c>
      <c r="B668" s="2">
        <v>0</v>
      </c>
      <c r="C668" s="2">
        <v>1</v>
      </c>
      <c r="D668" s="2">
        <v>13</v>
      </c>
      <c r="E668" s="2">
        <v>4</v>
      </c>
      <c r="F668" s="1">
        <v>26.641768119999998</v>
      </c>
      <c r="G668" s="2">
        <v>81</v>
      </c>
      <c r="H668" s="2">
        <v>34</v>
      </c>
      <c r="I668" s="2">
        <v>52</v>
      </c>
      <c r="J668" s="2">
        <v>1</v>
      </c>
      <c r="K668" s="2">
        <v>1</v>
      </c>
      <c r="L66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68" s="2" t="str">
        <f>IF(Table1[[#This Row],[Experience Years]]&lt;=2,"Entry Level",IF(Table1[[#This Row],[Experience Years]]&lt;=7,"Mid Level",IF(Table1[[#This Row],[Experience Years]]&lt;=15,"Senior Level")))</f>
        <v>Senior Level</v>
      </c>
      <c r="N668" s="1">
        <f>AVERAGE(Table1[[#This Row],[Interview Score]:[Personality Score]])</f>
        <v>55.666666666666664</v>
      </c>
      <c r="O6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68" s="2" t="str">
        <f t="shared" si="10"/>
        <v>20-30</v>
      </c>
    </row>
    <row r="669" spans="1:16" x14ac:dyDescent="0.25">
      <c r="A669">
        <v>29</v>
      </c>
      <c r="B669" s="2">
        <v>1</v>
      </c>
      <c r="C669" s="2">
        <v>1</v>
      </c>
      <c r="D669" s="2">
        <v>15</v>
      </c>
      <c r="E669" s="2">
        <v>3</v>
      </c>
      <c r="F669" s="1">
        <v>18.165048460000001</v>
      </c>
      <c r="G669" s="2">
        <v>29</v>
      </c>
      <c r="H669" s="2">
        <v>10</v>
      </c>
      <c r="I669" s="2">
        <v>28</v>
      </c>
      <c r="J669" s="2">
        <v>2</v>
      </c>
      <c r="K669" s="2">
        <v>0</v>
      </c>
      <c r="L66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69" t="str">
        <f>IF(Table1[[#This Row],[Experience Years]]&lt;=2,"Entry Level",IF(Table1[[#This Row],[Experience Years]]&lt;=7,"Mid Level",IF(Table1[[#This Row],[Experience Years]]&lt;=15,"Senior Level")))</f>
        <v>Senior Level</v>
      </c>
      <c r="N669" s="1">
        <f>AVERAGE(Table1[[#This Row],[Interview Score]:[Personality Score]])</f>
        <v>22.333333333333332</v>
      </c>
      <c r="O6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69" s="2" t="str">
        <f t="shared" si="10"/>
        <v>10-20</v>
      </c>
    </row>
    <row r="670" spans="1:16" x14ac:dyDescent="0.25">
      <c r="A670">
        <v>45</v>
      </c>
      <c r="B670" s="2">
        <v>0</v>
      </c>
      <c r="C670" s="2">
        <v>2</v>
      </c>
      <c r="D670" s="2">
        <v>0</v>
      </c>
      <c r="E670" s="2">
        <v>5</v>
      </c>
      <c r="F670" s="1">
        <v>17.428531639999999</v>
      </c>
      <c r="G670" s="2">
        <v>24</v>
      </c>
      <c r="H670" s="2">
        <v>60</v>
      </c>
      <c r="I670" s="2">
        <v>18</v>
      </c>
      <c r="J670" s="2">
        <v>2</v>
      </c>
      <c r="K670" s="2">
        <v>0</v>
      </c>
      <c r="L67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70" s="2" t="str">
        <f>IF(Table1[[#This Row],[Experience Years]]&lt;=2,"Entry Level",IF(Table1[[#This Row],[Experience Years]]&lt;=7,"Mid Level",IF(Table1[[#This Row],[Experience Years]]&lt;=15,"Senior Level")))</f>
        <v>Entry Level</v>
      </c>
      <c r="N670" s="1">
        <f>AVERAGE(Table1[[#This Row],[Interview Score]:[Personality Score]])</f>
        <v>34</v>
      </c>
      <c r="O6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70" s="2" t="str">
        <f t="shared" si="10"/>
        <v>10-20</v>
      </c>
    </row>
    <row r="671" spans="1:16" x14ac:dyDescent="0.25">
      <c r="A671">
        <v>38</v>
      </c>
      <c r="B671" s="2">
        <v>1</v>
      </c>
      <c r="C671" s="2">
        <v>2</v>
      </c>
      <c r="D671" s="2">
        <v>15</v>
      </c>
      <c r="E671" s="2">
        <v>2</v>
      </c>
      <c r="F671" s="1">
        <v>31.11281512</v>
      </c>
      <c r="G671" s="2">
        <v>62</v>
      </c>
      <c r="H671" s="2">
        <v>43</v>
      </c>
      <c r="I671" s="2">
        <v>46</v>
      </c>
      <c r="J671" s="2">
        <v>2</v>
      </c>
      <c r="K671" s="2">
        <v>0</v>
      </c>
      <c r="L67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71" t="str">
        <f>IF(Table1[[#This Row],[Experience Years]]&lt;=2,"Entry Level",IF(Table1[[#This Row],[Experience Years]]&lt;=7,"Mid Level",IF(Table1[[#This Row],[Experience Years]]&lt;=15,"Senior Level")))</f>
        <v>Senior Level</v>
      </c>
      <c r="N671" s="1">
        <f>AVERAGE(Table1[[#This Row],[Interview Score]:[Personality Score]])</f>
        <v>50.333333333333336</v>
      </c>
      <c r="O6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71" s="2" t="str">
        <f t="shared" si="10"/>
        <v>30-40</v>
      </c>
    </row>
    <row r="672" spans="1:16" x14ac:dyDescent="0.25">
      <c r="A672">
        <v>45</v>
      </c>
      <c r="B672" s="2">
        <v>0</v>
      </c>
      <c r="C672" s="2">
        <v>2</v>
      </c>
      <c r="D672" s="2">
        <v>13</v>
      </c>
      <c r="E672" s="2">
        <v>5</v>
      </c>
      <c r="F672" s="1">
        <v>17.116241219999999</v>
      </c>
      <c r="G672" s="2">
        <v>18</v>
      </c>
      <c r="H672" s="2">
        <v>67</v>
      </c>
      <c r="I672" s="2">
        <v>7</v>
      </c>
      <c r="J672" s="2">
        <v>1</v>
      </c>
      <c r="K672" s="2">
        <v>1</v>
      </c>
      <c r="L67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72" s="2" t="str">
        <f>IF(Table1[[#This Row],[Experience Years]]&lt;=2,"Entry Level",IF(Table1[[#This Row],[Experience Years]]&lt;=7,"Mid Level",IF(Table1[[#This Row],[Experience Years]]&lt;=15,"Senior Level")))</f>
        <v>Senior Level</v>
      </c>
      <c r="N672" s="1">
        <f>AVERAGE(Table1[[#This Row],[Interview Score]:[Personality Score]])</f>
        <v>30.666666666666668</v>
      </c>
      <c r="O6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72" s="2" t="str">
        <f t="shared" si="10"/>
        <v>10-20</v>
      </c>
    </row>
    <row r="673" spans="1:16" x14ac:dyDescent="0.25">
      <c r="A673">
        <v>20</v>
      </c>
      <c r="B673" s="2">
        <v>1</v>
      </c>
      <c r="C673" s="2">
        <v>2</v>
      </c>
      <c r="D673" s="2">
        <v>5</v>
      </c>
      <c r="E673" s="2">
        <v>1</v>
      </c>
      <c r="F673" s="1">
        <v>39.844687409999999</v>
      </c>
      <c r="G673" s="2">
        <v>71</v>
      </c>
      <c r="H673" s="2">
        <v>24</v>
      </c>
      <c r="I673" s="2">
        <v>22</v>
      </c>
      <c r="J673" s="2">
        <v>2</v>
      </c>
      <c r="K673" s="2">
        <v>0</v>
      </c>
      <c r="L67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73" t="str">
        <f>IF(Table1[[#This Row],[Experience Years]]&lt;=2,"Entry Level",IF(Table1[[#This Row],[Experience Years]]&lt;=7,"Mid Level",IF(Table1[[#This Row],[Experience Years]]&lt;=15,"Senior Level")))</f>
        <v>Mid Level</v>
      </c>
      <c r="N673" s="1">
        <f>AVERAGE(Table1[[#This Row],[Interview Score]:[Personality Score]])</f>
        <v>39</v>
      </c>
      <c r="O6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73" s="2" t="str">
        <f t="shared" si="10"/>
        <v>30-40</v>
      </c>
    </row>
    <row r="674" spans="1:16" x14ac:dyDescent="0.25">
      <c r="A674">
        <v>43</v>
      </c>
      <c r="B674" s="2">
        <v>0</v>
      </c>
      <c r="C674" s="2">
        <v>1</v>
      </c>
      <c r="D674" s="2">
        <v>8</v>
      </c>
      <c r="E674" s="2">
        <v>2</v>
      </c>
      <c r="F674" s="1">
        <v>4.5395718010000001</v>
      </c>
      <c r="G674" s="2">
        <v>91</v>
      </c>
      <c r="H674" s="2">
        <v>47</v>
      </c>
      <c r="I674" s="2">
        <v>34</v>
      </c>
      <c r="J674" s="2">
        <v>3</v>
      </c>
      <c r="K674" s="2">
        <v>0</v>
      </c>
      <c r="L67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74" s="2" t="str">
        <f>IF(Table1[[#This Row],[Experience Years]]&lt;=2,"Entry Level",IF(Table1[[#This Row],[Experience Years]]&lt;=7,"Mid Level",IF(Table1[[#This Row],[Experience Years]]&lt;=15,"Senior Level")))</f>
        <v>Senior Level</v>
      </c>
      <c r="N674" s="1">
        <f>AVERAGE(Table1[[#This Row],[Interview Score]:[Personality Score]])</f>
        <v>57.333333333333336</v>
      </c>
      <c r="O6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74" s="2" t="str">
        <f t="shared" si="10"/>
        <v>0-10</v>
      </c>
    </row>
    <row r="675" spans="1:16" x14ac:dyDescent="0.25">
      <c r="A675">
        <v>24</v>
      </c>
      <c r="B675" s="2">
        <v>0</v>
      </c>
      <c r="C675" s="2">
        <v>2</v>
      </c>
      <c r="D675" s="2">
        <v>14</v>
      </c>
      <c r="E675" s="2">
        <v>1</v>
      </c>
      <c r="F675" s="1">
        <v>34.019412619999997</v>
      </c>
      <c r="G675" s="2">
        <v>7</v>
      </c>
      <c r="H675" s="2">
        <v>31</v>
      </c>
      <c r="I675" s="2">
        <v>94</v>
      </c>
      <c r="J675" s="2">
        <v>2</v>
      </c>
      <c r="K675" s="2">
        <v>0</v>
      </c>
      <c r="L67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75" s="2" t="str">
        <f>IF(Table1[[#This Row],[Experience Years]]&lt;=2,"Entry Level",IF(Table1[[#This Row],[Experience Years]]&lt;=7,"Mid Level",IF(Table1[[#This Row],[Experience Years]]&lt;=15,"Senior Level")))</f>
        <v>Senior Level</v>
      </c>
      <c r="N675" s="1">
        <f>AVERAGE(Table1[[#This Row],[Interview Score]:[Personality Score]])</f>
        <v>44</v>
      </c>
      <c r="O6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75" s="2" t="str">
        <f t="shared" si="10"/>
        <v>30-40</v>
      </c>
    </row>
    <row r="676" spans="1:16" x14ac:dyDescent="0.25">
      <c r="A676">
        <v>32</v>
      </c>
      <c r="B676" s="2">
        <v>0</v>
      </c>
      <c r="C676" s="2">
        <v>3</v>
      </c>
      <c r="D676" s="2">
        <v>2</v>
      </c>
      <c r="E676" s="2">
        <v>2</v>
      </c>
      <c r="F676" s="1">
        <v>41.459740179999997</v>
      </c>
      <c r="G676" s="2">
        <v>94</v>
      </c>
      <c r="H676" s="2">
        <v>83</v>
      </c>
      <c r="I676" s="2">
        <v>52</v>
      </c>
      <c r="J676" s="2">
        <v>3</v>
      </c>
      <c r="K676" s="2">
        <v>0</v>
      </c>
      <c r="L67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76" s="2" t="str">
        <f>IF(Table1[[#This Row],[Experience Years]]&lt;=2,"Entry Level",IF(Table1[[#This Row],[Experience Years]]&lt;=7,"Mid Level",IF(Table1[[#This Row],[Experience Years]]&lt;=15,"Senior Level")))</f>
        <v>Entry Level</v>
      </c>
      <c r="N676" s="1">
        <f>AVERAGE(Table1[[#This Row],[Interview Score]:[Personality Score]])</f>
        <v>76.333333333333329</v>
      </c>
      <c r="O6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676" s="2" t="str">
        <f t="shared" si="10"/>
        <v>40-50</v>
      </c>
    </row>
    <row r="677" spans="1:16" x14ac:dyDescent="0.25">
      <c r="A677">
        <v>23</v>
      </c>
      <c r="B677" s="2">
        <v>0</v>
      </c>
      <c r="C677" s="2">
        <v>2</v>
      </c>
      <c r="D677" s="2">
        <v>5</v>
      </c>
      <c r="E677" s="2">
        <v>5</v>
      </c>
      <c r="F677" s="1">
        <v>34.6415845</v>
      </c>
      <c r="G677" s="2">
        <v>2</v>
      </c>
      <c r="H677" s="2">
        <v>94</v>
      </c>
      <c r="I677" s="2">
        <v>98</v>
      </c>
      <c r="J677" s="2">
        <v>3</v>
      </c>
      <c r="K677" s="2">
        <v>0</v>
      </c>
      <c r="L67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77" s="2" t="str">
        <f>IF(Table1[[#This Row],[Experience Years]]&lt;=2,"Entry Level",IF(Table1[[#This Row],[Experience Years]]&lt;=7,"Mid Level",IF(Table1[[#This Row],[Experience Years]]&lt;=15,"Senior Level")))</f>
        <v>Mid Level</v>
      </c>
      <c r="N677" s="1">
        <f>AVERAGE(Table1[[#This Row],[Interview Score]:[Personality Score]])</f>
        <v>64.666666666666671</v>
      </c>
      <c r="O6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77" s="2" t="str">
        <f t="shared" si="10"/>
        <v>30-40</v>
      </c>
    </row>
    <row r="678" spans="1:16" x14ac:dyDescent="0.25">
      <c r="A678">
        <v>35</v>
      </c>
      <c r="B678" s="2">
        <v>1</v>
      </c>
      <c r="C678" s="2">
        <v>1</v>
      </c>
      <c r="D678" s="2">
        <v>2</v>
      </c>
      <c r="E678" s="2">
        <v>4</v>
      </c>
      <c r="F678" s="1">
        <v>25.861459750000002</v>
      </c>
      <c r="G678" s="2">
        <v>66</v>
      </c>
      <c r="H678" s="2">
        <v>3</v>
      </c>
      <c r="I678" s="2">
        <v>95</v>
      </c>
      <c r="J678" s="2">
        <v>1</v>
      </c>
      <c r="K678" s="2">
        <v>0</v>
      </c>
      <c r="L67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78" t="str">
        <f>IF(Table1[[#This Row],[Experience Years]]&lt;=2,"Entry Level",IF(Table1[[#This Row],[Experience Years]]&lt;=7,"Mid Level",IF(Table1[[#This Row],[Experience Years]]&lt;=15,"Senior Level")))</f>
        <v>Entry Level</v>
      </c>
      <c r="N678" s="1">
        <f>AVERAGE(Table1[[#This Row],[Interview Score]:[Personality Score]])</f>
        <v>54.666666666666664</v>
      </c>
      <c r="O6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78" s="2" t="str">
        <f t="shared" si="10"/>
        <v>20-30</v>
      </c>
    </row>
    <row r="679" spans="1:16" x14ac:dyDescent="0.25">
      <c r="A679">
        <v>43</v>
      </c>
      <c r="B679" s="2">
        <v>1</v>
      </c>
      <c r="C679" s="2">
        <v>2</v>
      </c>
      <c r="D679" s="2">
        <v>13</v>
      </c>
      <c r="E679" s="2">
        <v>3</v>
      </c>
      <c r="F679" s="1">
        <v>48.515350689999998</v>
      </c>
      <c r="G679" s="2">
        <v>85</v>
      </c>
      <c r="H679" s="2">
        <v>37</v>
      </c>
      <c r="I679" s="2">
        <v>57</v>
      </c>
      <c r="J679" s="2">
        <v>2</v>
      </c>
      <c r="K679" s="2">
        <v>0</v>
      </c>
      <c r="L67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79" t="str">
        <f>IF(Table1[[#This Row],[Experience Years]]&lt;=2,"Entry Level",IF(Table1[[#This Row],[Experience Years]]&lt;=7,"Mid Level",IF(Table1[[#This Row],[Experience Years]]&lt;=15,"Senior Level")))</f>
        <v>Senior Level</v>
      </c>
      <c r="N679" s="1">
        <f>AVERAGE(Table1[[#This Row],[Interview Score]:[Personality Score]])</f>
        <v>59.666666666666664</v>
      </c>
      <c r="O6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79" s="2" t="str">
        <f t="shared" si="10"/>
        <v>40-50</v>
      </c>
    </row>
    <row r="680" spans="1:16" x14ac:dyDescent="0.25">
      <c r="A680">
        <v>35</v>
      </c>
      <c r="B680" s="2">
        <v>0</v>
      </c>
      <c r="C680" s="2">
        <v>1</v>
      </c>
      <c r="D680" s="2">
        <v>12</v>
      </c>
      <c r="E680" s="2">
        <v>1</v>
      </c>
      <c r="F680" s="1">
        <v>15.99692449</v>
      </c>
      <c r="G680" s="2">
        <v>80</v>
      </c>
      <c r="H680" s="2">
        <v>62</v>
      </c>
      <c r="I680" s="2">
        <v>4</v>
      </c>
      <c r="J680" s="2">
        <v>2</v>
      </c>
      <c r="K680" s="2">
        <v>0</v>
      </c>
      <c r="L68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80" s="2" t="str">
        <f>IF(Table1[[#This Row],[Experience Years]]&lt;=2,"Entry Level",IF(Table1[[#This Row],[Experience Years]]&lt;=7,"Mid Level",IF(Table1[[#This Row],[Experience Years]]&lt;=15,"Senior Level")))</f>
        <v>Senior Level</v>
      </c>
      <c r="N680" s="1">
        <f>AVERAGE(Table1[[#This Row],[Interview Score]:[Personality Score]])</f>
        <v>48.666666666666664</v>
      </c>
      <c r="O6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80" s="2" t="str">
        <f t="shared" si="10"/>
        <v>10-20</v>
      </c>
    </row>
    <row r="681" spans="1:16" x14ac:dyDescent="0.25">
      <c r="A681">
        <v>42</v>
      </c>
      <c r="B681" s="2">
        <v>1</v>
      </c>
      <c r="C681" s="2">
        <v>4</v>
      </c>
      <c r="D681" s="2">
        <v>0</v>
      </c>
      <c r="E681" s="2">
        <v>5</v>
      </c>
      <c r="F681" s="1">
        <v>1.958394376</v>
      </c>
      <c r="G681" s="2">
        <v>99</v>
      </c>
      <c r="H681" s="2">
        <v>46</v>
      </c>
      <c r="I681" s="2">
        <v>15</v>
      </c>
      <c r="J681" s="2">
        <v>1</v>
      </c>
      <c r="K681" s="2">
        <v>1</v>
      </c>
      <c r="L68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81" t="str">
        <f>IF(Table1[[#This Row],[Experience Years]]&lt;=2,"Entry Level",IF(Table1[[#This Row],[Experience Years]]&lt;=7,"Mid Level",IF(Table1[[#This Row],[Experience Years]]&lt;=15,"Senior Level")))</f>
        <v>Entry Level</v>
      </c>
      <c r="N681" s="1">
        <f>AVERAGE(Table1[[#This Row],[Interview Score]:[Personality Score]])</f>
        <v>53.333333333333336</v>
      </c>
      <c r="O6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81" s="2" t="str">
        <f t="shared" si="10"/>
        <v>0-10</v>
      </c>
    </row>
    <row r="682" spans="1:16" x14ac:dyDescent="0.25">
      <c r="A682">
        <v>21</v>
      </c>
      <c r="B682" s="2">
        <v>0</v>
      </c>
      <c r="C682" s="2">
        <v>1</v>
      </c>
      <c r="D682" s="2">
        <v>13</v>
      </c>
      <c r="E682" s="2">
        <v>4</v>
      </c>
      <c r="F682" s="1">
        <v>22.599468569999999</v>
      </c>
      <c r="G682" s="2">
        <v>16</v>
      </c>
      <c r="H682" s="2">
        <v>0</v>
      </c>
      <c r="I682" s="2">
        <v>16</v>
      </c>
      <c r="J682" s="2">
        <v>2</v>
      </c>
      <c r="K682" s="2">
        <v>0</v>
      </c>
      <c r="L68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82" s="2" t="str">
        <f>IF(Table1[[#This Row],[Experience Years]]&lt;=2,"Entry Level",IF(Table1[[#This Row],[Experience Years]]&lt;=7,"Mid Level",IF(Table1[[#This Row],[Experience Years]]&lt;=15,"Senior Level")))</f>
        <v>Senior Level</v>
      </c>
      <c r="N682" s="1">
        <f>AVERAGE(Table1[[#This Row],[Interview Score]:[Personality Score]])</f>
        <v>10.666666666666666</v>
      </c>
      <c r="O6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82" s="2" t="str">
        <f t="shared" si="10"/>
        <v>20-30</v>
      </c>
    </row>
    <row r="683" spans="1:16" x14ac:dyDescent="0.25">
      <c r="A683">
        <v>36</v>
      </c>
      <c r="B683" s="2">
        <v>0</v>
      </c>
      <c r="C683" s="2">
        <v>3</v>
      </c>
      <c r="D683" s="2">
        <v>12</v>
      </c>
      <c r="E683" s="2">
        <v>5</v>
      </c>
      <c r="F683" s="1">
        <v>2.6505967949999998</v>
      </c>
      <c r="G683" s="2">
        <v>13</v>
      </c>
      <c r="H683" s="2">
        <v>2</v>
      </c>
      <c r="I683" s="2">
        <v>31</v>
      </c>
      <c r="J683" s="2">
        <v>2</v>
      </c>
      <c r="K683" s="2">
        <v>0</v>
      </c>
      <c r="L68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83" s="2" t="str">
        <f>IF(Table1[[#This Row],[Experience Years]]&lt;=2,"Entry Level",IF(Table1[[#This Row],[Experience Years]]&lt;=7,"Mid Level",IF(Table1[[#This Row],[Experience Years]]&lt;=15,"Senior Level")))</f>
        <v>Senior Level</v>
      </c>
      <c r="N683" s="1">
        <f>AVERAGE(Table1[[#This Row],[Interview Score]:[Personality Score]])</f>
        <v>15.333333333333334</v>
      </c>
      <c r="O6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83" s="2" t="str">
        <f t="shared" si="10"/>
        <v>0-10</v>
      </c>
    </row>
    <row r="684" spans="1:16" x14ac:dyDescent="0.25">
      <c r="A684">
        <v>47</v>
      </c>
      <c r="B684" s="2">
        <v>1</v>
      </c>
      <c r="C684" s="2">
        <v>4</v>
      </c>
      <c r="D684" s="2">
        <v>15</v>
      </c>
      <c r="E684" s="2">
        <v>1</v>
      </c>
      <c r="F684" s="1">
        <v>48.696837629999997</v>
      </c>
      <c r="G684" s="2">
        <v>8</v>
      </c>
      <c r="H684" s="2">
        <v>100</v>
      </c>
      <c r="I684" s="2">
        <v>95</v>
      </c>
      <c r="J684" s="2">
        <v>1</v>
      </c>
      <c r="K684" s="2">
        <v>1</v>
      </c>
      <c r="L68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84" t="str">
        <f>IF(Table1[[#This Row],[Experience Years]]&lt;=2,"Entry Level",IF(Table1[[#This Row],[Experience Years]]&lt;=7,"Mid Level",IF(Table1[[#This Row],[Experience Years]]&lt;=15,"Senior Level")))</f>
        <v>Senior Level</v>
      </c>
      <c r="N684" s="1">
        <f>AVERAGE(Table1[[#This Row],[Interview Score]:[Personality Score]])</f>
        <v>67.666666666666671</v>
      </c>
      <c r="O6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84" s="2" t="str">
        <f t="shared" si="10"/>
        <v>40-50</v>
      </c>
    </row>
    <row r="685" spans="1:16" x14ac:dyDescent="0.25">
      <c r="A685">
        <v>46</v>
      </c>
      <c r="B685" s="2">
        <v>0</v>
      </c>
      <c r="C685" s="2">
        <v>3</v>
      </c>
      <c r="D685" s="2">
        <v>11</v>
      </c>
      <c r="E685" s="2">
        <v>3</v>
      </c>
      <c r="F685" s="1">
        <v>11.49590229</v>
      </c>
      <c r="G685" s="2">
        <v>61</v>
      </c>
      <c r="H685" s="2">
        <v>85</v>
      </c>
      <c r="I685" s="2">
        <v>51</v>
      </c>
      <c r="J685" s="2">
        <v>3</v>
      </c>
      <c r="K685" s="2">
        <v>0</v>
      </c>
      <c r="L68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85" s="2" t="str">
        <f>IF(Table1[[#This Row],[Experience Years]]&lt;=2,"Entry Level",IF(Table1[[#This Row],[Experience Years]]&lt;=7,"Mid Level",IF(Table1[[#This Row],[Experience Years]]&lt;=15,"Senior Level")))</f>
        <v>Senior Level</v>
      </c>
      <c r="N685" s="1">
        <f>AVERAGE(Table1[[#This Row],[Interview Score]:[Personality Score]])</f>
        <v>65.666666666666671</v>
      </c>
      <c r="O6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85" s="2" t="str">
        <f t="shared" si="10"/>
        <v>10-20</v>
      </c>
    </row>
    <row r="686" spans="1:16" x14ac:dyDescent="0.25">
      <c r="A686">
        <v>39</v>
      </c>
      <c r="B686" s="2">
        <v>0</v>
      </c>
      <c r="C686" s="2">
        <v>2</v>
      </c>
      <c r="D686" s="2">
        <v>4</v>
      </c>
      <c r="E686" s="2">
        <v>5</v>
      </c>
      <c r="F686" s="1">
        <v>40.446351200000002</v>
      </c>
      <c r="G686" s="2">
        <v>93</v>
      </c>
      <c r="H686" s="2">
        <v>61</v>
      </c>
      <c r="I686" s="2">
        <v>19</v>
      </c>
      <c r="J686" s="2">
        <v>2</v>
      </c>
      <c r="K686" s="2">
        <v>0</v>
      </c>
      <c r="L68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86" s="2" t="str">
        <f>IF(Table1[[#This Row],[Experience Years]]&lt;=2,"Entry Level",IF(Table1[[#This Row],[Experience Years]]&lt;=7,"Mid Level",IF(Table1[[#This Row],[Experience Years]]&lt;=15,"Senior Level")))</f>
        <v>Mid Level</v>
      </c>
      <c r="N686" s="1">
        <f>AVERAGE(Table1[[#This Row],[Interview Score]:[Personality Score]])</f>
        <v>57.666666666666664</v>
      </c>
      <c r="O6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86" s="2" t="str">
        <f t="shared" si="10"/>
        <v>40-50</v>
      </c>
    </row>
    <row r="687" spans="1:16" x14ac:dyDescent="0.25">
      <c r="A687">
        <v>43</v>
      </c>
      <c r="B687" s="2">
        <v>1</v>
      </c>
      <c r="C687" s="2">
        <v>3</v>
      </c>
      <c r="D687" s="2">
        <v>9</v>
      </c>
      <c r="E687" s="2">
        <v>2</v>
      </c>
      <c r="F687" s="1">
        <v>39.728604160000003</v>
      </c>
      <c r="G687" s="2">
        <v>20</v>
      </c>
      <c r="H687" s="2">
        <v>63</v>
      </c>
      <c r="I687" s="2">
        <v>65</v>
      </c>
      <c r="J687" s="2">
        <v>3</v>
      </c>
      <c r="K687" s="2">
        <v>1</v>
      </c>
      <c r="L68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687" t="str">
        <f>IF(Table1[[#This Row],[Experience Years]]&lt;=2,"Entry Level",IF(Table1[[#This Row],[Experience Years]]&lt;=7,"Mid Level",IF(Table1[[#This Row],[Experience Years]]&lt;=15,"Senior Level")))</f>
        <v>Senior Level</v>
      </c>
      <c r="N687" s="1">
        <f>AVERAGE(Table1[[#This Row],[Interview Score]:[Personality Score]])</f>
        <v>49.333333333333336</v>
      </c>
      <c r="O6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87" s="2" t="str">
        <f t="shared" si="10"/>
        <v>30-40</v>
      </c>
    </row>
    <row r="688" spans="1:16" x14ac:dyDescent="0.25">
      <c r="A688">
        <v>31</v>
      </c>
      <c r="B688" s="2">
        <v>0</v>
      </c>
      <c r="C688" s="2">
        <v>4</v>
      </c>
      <c r="D688" s="2">
        <v>13</v>
      </c>
      <c r="E688" s="2">
        <v>4</v>
      </c>
      <c r="F688" s="1">
        <v>11.88644498</v>
      </c>
      <c r="G688" s="2">
        <v>75</v>
      </c>
      <c r="H688" s="2">
        <v>16</v>
      </c>
      <c r="I688" s="2">
        <v>83</v>
      </c>
      <c r="J688" s="2">
        <v>2</v>
      </c>
      <c r="K688" s="2">
        <v>1</v>
      </c>
      <c r="L68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88" s="2" t="str">
        <f>IF(Table1[[#This Row],[Experience Years]]&lt;=2,"Entry Level",IF(Table1[[#This Row],[Experience Years]]&lt;=7,"Mid Level",IF(Table1[[#This Row],[Experience Years]]&lt;=15,"Senior Level")))</f>
        <v>Senior Level</v>
      </c>
      <c r="N688" s="1">
        <f>AVERAGE(Table1[[#This Row],[Interview Score]:[Personality Score]])</f>
        <v>58</v>
      </c>
      <c r="O6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88" s="2" t="str">
        <f t="shared" si="10"/>
        <v>10-20</v>
      </c>
    </row>
    <row r="689" spans="1:16" x14ac:dyDescent="0.25">
      <c r="A689">
        <v>37</v>
      </c>
      <c r="B689" s="2">
        <v>0</v>
      </c>
      <c r="C689" s="2">
        <v>2</v>
      </c>
      <c r="D689" s="2">
        <v>12</v>
      </c>
      <c r="E689" s="2">
        <v>5</v>
      </c>
      <c r="F689" s="1">
        <v>32.061326520000001</v>
      </c>
      <c r="G689" s="2">
        <v>36</v>
      </c>
      <c r="H689" s="2">
        <v>77</v>
      </c>
      <c r="I689" s="2">
        <v>81</v>
      </c>
      <c r="J689" s="2">
        <v>3</v>
      </c>
      <c r="K689" s="2">
        <v>0</v>
      </c>
      <c r="L68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89" s="2" t="str">
        <f>IF(Table1[[#This Row],[Experience Years]]&lt;=2,"Entry Level",IF(Table1[[#This Row],[Experience Years]]&lt;=7,"Mid Level",IF(Table1[[#This Row],[Experience Years]]&lt;=15,"Senior Level")))</f>
        <v>Senior Level</v>
      </c>
      <c r="N689" s="1">
        <f>AVERAGE(Table1[[#This Row],[Interview Score]:[Personality Score]])</f>
        <v>64.666666666666671</v>
      </c>
      <c r="O6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689" s="2" t="str">
        <f t="shared" si="10"/>
        <v>30-40</v>
      </c>
    </row>
    <row r="690" spans="1:16" x14ac:dyDescent="0.25">
      <c r="A690">
        <v>22</v>
      </c>
      <c r="B690" s="2">
        <v>0</v>
      </c>
      <c r="C690" s="2">
        <v>2</v>
      </c>
      <c r="D690" s="2">
        <v>10</v>
      </c>
      <c r="E690" s="2">
        <v>4</v>
      </c>
      <c r="F690" s="1">
        <v>3.4039484240000002</v>
      </c>
      <c r="G690" s="2">
        <v>95</v>
      </c>
      <c r="H690" s="2">
        <v>61</v>
      </c>
      <c r="I690" s="2">
        <v>0</v>
      </c>
      <c r="J690" s="2">
        <v>2</v>
      </c>
      <c r="K690" s="2">
        <v>0</v>
      </c>
      <c r="L69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90" s="2" t="str">
        <f>IF(Table1[[#This Row],[Experience Years]]&lt;=2,"Entry Level",IF(Table1[[#This Row],[Experience Years]]&lt;=7,"Mid Level",IF(Table1[[#This Row],[Experience Years]]&lt;=15,"Senior Level")))</f>
        <v>Senior Level</v>
      </c>
      <c r="N690" s="1">
        <f>AVERAGE(Table1[[#This Row],[Interview Score]:[Personality Score]])</f>
        <v>52</v>
      </c>
      <c r="O6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90" s="2" t="str">
        <f t="shared" si="10"/>
        <v>0-10</v>
      </c>
    </row>
    <row r="691" spans="1:16" x14ac:dyDescent="0.25">
      <c r="A691">
        <v>47</v>
      </c>
      <c r="B691" s="2">
        <v>0</v>
      </c>
      <c r="C691" s="2">
        <v>2</v>
      </c>
      <c r="D691" s="2">
        <v>3</v>
      </c>
      <c r="E691" s="2">
        <v>2</v>
      </c>
      <c r="F691" s="1">
        <v>25.17872929</v>
      </c>
      <c r="G691" s="2">
        <v>10</v>
      </c>
      <c r="H691" s="2">
        <v>34</v>
      </c>
      <c r="I691" s="2">
        <v>57</v>
      </c>
      <c r="J691" s="2">
        <v>1</v>
      </c>
      <c r="K691" s="2">
        <v>0</v>
      </c>
      <c r="L69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91" s="2" t="str">
        <f>IF(Table1[[#This Row],[Experience Years]]&lt;=2,"Entry Level",IF(Table1[[#This Row],[Experience Years]]&lt;=7,"Mid Level",IF(Table1[[#This Row],[Experience Years]]&lt;=15,"Senior Level")))</f>
        <v>Mid Level</v>
      </c>
      <c r="N691" s="1">
        <f>AVERAGE(Table1[[#This Row],[Interview Score]:[Personality Score]])</f>
        <v>33.666666666666664</v>
      </c>
      <c r="O6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91" s="2" t="str">
        <f t="shared" si="10"/>
        <v>20-30</v>
      </c>
    </row>
    <row r="692" spans="1:16" x14ac:dyDescent="0.25">
      <c r="A692">
        <v>20</v>
      </c>
      <c r="B692" s="2">
        <v>1</v>
      </c>
      <c r="C692" s="2">
        <v>2</v>
      </c>
      <c r="D692" s="2">
        <v>6</v>
      </c>
      <c r="E692" s="2">
        <v>3</v>
      </c>
      <c r="F692" s="1">
        <v>1.7323563639999999</v>
      </c>
      <c r="G692" s="2">
        <v>19</v>
      </c>
      <c r="H692" s="2">
        <v>12</v>
      </c>
      <c r="I692" s="2">
        <v>92</v>
      </c>
      <c r="J692" s="2">
        <v>2</v>
      </c>
      <c r="K692" s="2">
        <v>0</v>
      </c>
      <c r="L69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92" t="str">
        <f>IF(Table1[[#This Row],[Experience Years]]&lt;=2,"Entry Level",IF(Table1[[#This Row],[Experience Years]]&lt;=7,"Mid Level",IF(Table1[[#This Row],[Experience Years]]&lt;=15,"Senior Level")))</f>
        <v>Mid Level</v>
      </c>
      <c r="N692" s="1">
        <f>AVERAGE(Table1[[#This Row],[Interview Score]:[Personality Score]])</f>
        <v>41</v>
      </c>
      <c r="O6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92" s="2" t="str">
        <f t="shared" si="10"/>
        <v>0-10</v>
      </c>
    </row>
    <row r="693" spans="1:16" x14ac:dyDescent="0.25">
      <c r="A693">
        <v>20</v>
      </c>
      <c r="B693" s="2">
        <v>1</v>
      </c>
      <c r="C693" s="2">
        <v>2</v>
      </c>
      <c r="D693" s="2">
        <v>5</v>
      </c>
      <c r="E693" s="2">
        <v>3</v>
      </c>
      <c r="F693" s="1">
        <v>47.057194010000003</v>
      </c>
      <c r="G693" s="2">
        <v>34</v>
      </c>
      <c r="H693" s="2">
        <v>34</v>
      </c>
      <c r="I693" s="2">
        <v>92</v>
      </c>
      <c r="J693" s="2">
        <v>2</v>
      </c>
      <c r="K693" s="2">
        <v>0</v>
      </c>
      <c r="L69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93" t="str">
        <f>IF(Table1[[#This Row],[Experience Years]]&lt;=2,"Entry Level",IF(Table1[[#This Row],[Experience Years]]&lt;=7,"Mid Level",IF(Table1[[#This Row],[Experience Years]]&lt;=15,"Senior Level")))</f>
        <v>Mid Level</v>
      </c>
      <c r="N693" s="1">
        <f>AVERAGE(Table1[[#This Row],[Interview Score]:[Personality Score]])</f>
        <v>53.333333333333336</v>
      </c>
      <c r="O6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93" s="2" t="str">
        <f t="shared" si="10"/>
        <v>40-50</v>
      </c>
    </row>
    <row r="694" spans="1:16" x14ac:dyDescent="0.25">
      <c r="A694">
        <v>48</v>
      </c>
      <c r="B694" s="2">
        <v>1</v>
      </c>
      <c r="C694" s="2">
        <v>2</v>
      </c>
      <c r="D694" s="2">
        <v>9</v>
      </c>
      <c r="E694" s="2">
        <v>2</v>
      </c>
      <c r="F694" s="1">
        <v>49.804301209999998</v>
      </c>
      <c r="G694" s="2">
        <v>52</v>
      </c>
      <c r="H694" s="2">
        <v>42</v>
      </c>
      <c r="I694" s="2">
        <v>82</v>
      </c>
      <c r="J694" s="2">
        <v>2</v>
      </c>
      <c r="K694" s="2">
        <v>0</v>
      </c>
      <c r="L69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694" t="str">
        <f>IF(Table1[[#This Row],[Experience Years]]&lt;=2,"Entry Level",IF(Table1[[#This Row],[Experience Years]]&lt;=7,"Mid Level",IF(Table1[[#This Row],[Experience Years]]&lt;=15,"Senior Level")))</f>
        <v>Senior Level</v>
      </c>
      <c r="N694" s="1">
        <f>AVERAGE(Table1[[#This Row],[Interview Score]:[Personality Score]])</f>
        <v>58.666666666666664</v>
      </c>
      <c r="O6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94" s="2" t="str">
        <f t="shared" si="10"/>
        <v>40-50</v>
      </c>
    </row>
    <row r="695" spans="1:16" x14ac:dyDescent="0.25">
      <c r="A695">
        <v>38</v>
      </c>
      <c r="B695" s="2">
        <v>0</v>
      </c>
      <c r="C695" s="2">
        <v>2</v>
      </c>
      <c r="D695" s="2">
        <v>6</v>
      </c>
      <c r="E695" s="2">
        <v>4</v>
      </c>
      <c r="F695" s="1">
        <v>12.114138329999999</v>
      </c>
      <c r="G695" s="2">
        <v>46</v>
      </c>
      <c r="H695" s="2">
        <v>1</v>
      </c>
      <c r="I695" s="2">
        <v>43</v>
      </c>
      <c r="J695" s="2">
        <v>2</v>
      </c>
      <c r="K695" s="2">
        <v>0</v>
      </c>
      <c r="L69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695" s="2" t="str">
        <f>IF(Table1[[#This Row],[Experience Years]]&lt;=2,"Entry Level",IF(Table1[[#This Row],[Experience Years]]&lt;=7,"Mid Level",IF(Table1[[#This Row],[Experience Years]]&lt;=15,"Senior Level")))</f>
        <v>Mid Level</v>
      </c>
      <c r="N695" s="1">
        <f>AVERAGE(Table1[[#This Row],[Interview Score]:[Personality Score]])</f>
        <v>30</v>
      </c>
      <c r="O6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95" s="2" t="str">
        <f t="shared" si="10"/>
        <v>10-20</v>
      </c>
    </row>
    <row r="696" spans="1:16" x14ac:dyDescent="0.25">
      <c r="A696">
        <v>30</v>
      </c>
      <c r="B696" s="2">
        <v>0</v>
      </c>
      <c r="C696" s="2">
        <v>1</v>
      </c>
      <c r="D696" s="2">
        <v>4</v>
      </c>
      <c r="E696" s="2">
        <v>5</v>
      </c>
      <c r="F696" s="1">
        <v>11.40530173</v>
      </c>
      <c r="G696" s="2">
        <v>74</v>
      </c>
      <c r="H696" s="2">
        <v>55</v>
      </c>
      <c r="I696" s="2">
        <v>5</v>
      </c>
      <c r="J696" s="2">
        <v>1</v>
      </c>
      <c r="K696" s="2">
        <v>1</v>
      </c>
      <c r="L69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696" s="2" t="str">
        <f>IF(Table1[[#This Row],[Experience Years]]&lt;=2,"Entry Level",IF(Table1[[#This Row],[Experience Years]]&lt;=7,"Mid Level",IF(Table1[[#This Row],[Experience Years]]&lt;=15,"Senior Level")))</f>
        <v>Mid Level</v>
      </c>
      <c r="N696" s="1">
        <f>AVERAGE(Table1[[#This Row],[Interview Score]:[Personality Score]])</f>
        <v>44.666666666666664</v>
      </c>
      <c r="O6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96" s="2" t="str">
        <f t="shared" si="10"/>
        <v>10-20</v>
      </c>
    </row>
    <row r="697" spans="1:16" x14ac:dyDescent="0.25">
      <c r="A697">
        <v>24</v>
      </c>
      <c r="B697" s="2">
        <v>1</v>
      </c>
      <c r="C697" s="2">
        <v>1</v>
      </c>
      <c r="D697" s="2">
        <v>14</v>
      </c>
      <c r="E697" s="2">
        <v>2</v>
      </c>
      <c r="F697" s="1">
        <v>38.686008829999999</v>
      </c>
      <c r="G697" s="2">
        <v>51</v>
      </c>
      <c r="H697" s="2">
        <v>76</v>
      </c>
      <c r="I697" s="2">
        <v>49</v>
      </c>
      <c r="J697" s="2">
        <v>2</v>
      </c>
      <c r="K697" s="2">
        <v>0</v>
      </c>
      <c r="L69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97" t="str">
        <f>IF(Table1[[#This Row],[Experience Years]]&lt;=2,"Entry Level",IF(Table1[[#This Row],[Experience Years]]&lt;=7,"Mid Level",IF(Table1[[#This Row],[Experience Years]]&lt;=15,"Senior Level")))</f>
        <v>Senior Level</v>
      </c>
      <c r="N697" s="1">
        <f>AVERAGE(Table1[[#This Row],[Interview Score]:[Personality Score]])</f>
        <v>58.666666666666664</v>
      </c>
      <c r="O6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697" s="2" t="str">
        <f t="shared" si="10"/>
        <v>30-40</v>
      </c>
    </row>
    <row r="698" spans="1:16" x14ac:dyDescent="0.25">
      <c r="A698">
        <v>31</v>
      </c>
      <c r="B698" s="2">
        <v>0</v>
      </c>
      <c r="C698" s="2">
        <v>2</v>
      </c>
      <c r="D698" s="2">
        <v>14</v>
      </c>
      <c r="E698" s="2">
        <v>1</v>
      </c>
      <c r="F698" s="1">
        <v>13.66896994</v>
      </c>
      <c r="G698" s="2">
        <v>7</v>
      </c>
      <c r="H698" s="2">
        <v>50</v>
      </c>
      <c r="I698" s="2">
        <v>71</v>
      </c>
      <c r="J698" s="2">
        <v>2</v>
      </c>
      <c r="K698" s="2">
        <v>0</v>
      </c>
      <c r="L69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698" s="2" t="str">
        <f>IF(Table1[[#This Row],[Experience Years]]&lt;=2,"Entry Level",IF(Table1[[#This Row],[Experience Years]]&lt;=7,"Mid Level",IF(Table1[[#This Row],[Experience Years]]&lt;=15,"Senior Level")))</f>
        <v>Senior Level</v>
      </c>
      <c r="N698" s="1">
        <f>AVERAGE(Table1[[#This Row],[Interview Score]:[Personality Score]])</f>
        <v>42.666666666666664</v>
      </c>
      <c r="O6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98" s="2" t="str">
        <f t="shared" si="10"/>
        <v>10-20</v>
      </c>
    </row>
    <row r="699" spans="1:16" x14ac:dyDescent="0.25">
      <c r="A699">
        <v>22</v>
      </c>
      <c r="B699" s="2">
        <v>0</v>
      </c>
      <c r="C699" s="2">
        <v>1</v>
      </c>
      <c r="D699" s="2">
        <v>3</v>
      </c>
      <c r="E699" s="2">
        <v>4</v>
      </c>
      <c r="F699" s="1">
        <v>45.753827960000002</v>
      </c>
      <c r="G699" s="2">
        <v>3</v>
      </c>
      <c r="H699" s="2">
        <v>53</v>
      </c>
      <c r="I699" s="2">
        <v>87</v>
      </c>
      <c r="J699" s="2">
        <v>2</v>
      </c>
      <c r="K699" s="2">
        <v>0</v>
      </c>
      <c r="L69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699" s="2" t="str">
        <f>IF(Table1[[#This Row],[Experience Years]]&lt;=2,"Entry Level",IF(Table1[[#This Row],[Experience Years]]&lt;=7,"Mid Level",IF(Table1[[#This Row],[Experience Years]]&lt;=15,"Senior Level")))</f>
        <v>Mid Level</v>
      </c>
      <c r="N699" s="1">
        <f>AVERAGE(Table1[[#This Row],[Interview Score]:[Personality Score]])</f>
        <v>47.666666666666664</v>
      </c>
      <c r="O6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699" s="2" t="str">
        <f t="shared" si="10"/>
        <v>40-50</v>
      </c>
    </row>
    <row r="700" spans="1:16" x14ac:dyDescent="0.25">
      <c r="A700">
        <v>20</v>
      </c>
      <c r="B700" s="2">
        <v>0</v>
      </c>
      <c r="C700" s="2">
        <v>2</v>
      </c>
      <c r="D700" s="2">
        <v>15</v>
      </c>
      <c r="E700" s="2">
        <v>3</v>
      </c>
      <c r="F700" s="1">
        <v>29.696456810000001</v>
      </c>
      <c r="G700" s="2">
        <v>26</v>
      </c>
      <c r="H700" s="2">
        <v>15</v>
      </c>
      <c r="I700" s="2">
        <v>19</v>
      </c>
      <c r="J700" s="2">
        <v>2</v>
      </c>
      <c r="K700" s="2">
        <v>0</v>
      </c>
      <c r="L70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00" s="2" t="str">
        <f>IF(Table1[[#This Row],[Experience Years]]&lt;=2,"Entry Level",IF(Table1[[#This Row],[Experience Years]]&lt;=7,"Mid Level",IF(Table1[[#This Row],[Experience Years]]&lt;=15,"Senior Level")))</f>
        <v>Senior Level</v>
      </c>
      <c r="N700" s="1">
        <f>AVERAGE(Table1[[#This Row],[Interview Score]:[Personality Score]])</f>
        <v>20</v>
      </c>
      <c r="O7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00" s="2" t="str">
        <f t="shared" si="10"/>
        <v>20-30</v>
      </c>
    </row>
    <row r="701" spans="1:16" x14ac:dyDescent="0.25">
      <c r="A701">
        <v>20</v>
      </c>
      <c r="B701" s="2">
        <v>0</v>
      </c>
      <c r="C701" s="2">
        <v>2</v>
      </c>
      <c r="D701" s="2">
        <v>6</v>
      </c>
      <c r="E701" s="2">
        <v>2</v>
      </c>
      <c r="F701" s="1">
        <v>18.538881150000002</v>
      </c>
      <c r="G701" s="2">
        <v>43</v>
      </c>
      <c r="H701" s="2">
        <v>17</v>
      </c>
      <c r="I701" s="2">
        <v>13</v>
      </c>
      <c r="J701" s="2">
        <v>3</v>
      </c>
      <c r="K701" s="2">
        <v>0</v>
      </c>
      <c r="L70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01" s="2" t="str">
        <f>IF(Table1[[#This Row],[Experience Years]]&lt;=2,"Entry Level",IF(Table1[[#This Row],[Experience Years]]&lt;=7,"Mid Level",IF(Table1[[#This Row],[Experience Years]]&lt;=15,"Senior Level")))</f>
        <v>Mid Level</v>
      </c>
      <c r="N701" s="1">
        <f>AVERAGE(Table1[[#This Row],[Interview Score]:[Personality Score]])</f>
        <v>24.333333333333332</v>
      </c>
      <c r="O7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01" s="2" t="str">
        <f t="shared" si="10"/>
        <v>10-20</v>
      </c>
    </row>
    <row r="702" spans="1:16" x14ac:dyDescent="0.25">
      <c r="A702">
        <v>27</v>
      </c>
      <c r="B702" s="2">
        <v>1</v>
      </c>
      <c r="C702" s="2">
        <v>3</v>
      </c>
      <c r="D702" s="2">
        <v>6</v>
      </c>
      <c r="E702" s="2">
        <v>3</v>
      </c>
      <c r="F702" s="1">
        <v>42.634687319999998</v>
      </c>
      <c r="G702" s="2">
        <v>39</v>
      </c>
      <c r="H702" s="2">
        <v>6</v>
      </c>
      <c r="I702" s="2">
        <v>4</v>
      </c>
      <c r="J702" s="2">
        <v>2</v>
      </c>
      <c r="K702" s="2">
        <v>0</v>
      </c>
      <c r="L70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02" t="str">
        <f>IF(Table1[[#This Row],[Experience Years]]&lt;=2,"Entry Level",IF(Table1[[#This Row],[Experience Years]]&lt;=7,"Mid Level",IF(Table1[[#This Row],[Experience Years]]&lt;=15,"Senior Level")))</f>
        <v>Mid Level</v>
      </c>
      <c r="N702" s="1">
        <f>AVERAGE(Table1[[#This Row],[Interview Score]:[Personality Score]])</f>
        <v>16.333333333333332</v>
      </c>
      <c r="O7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02" s="2" t="str">
        <f t="shared" si="10"/>
        <v>40-50</v>
      </c>
    </row>
    <row r="703" spans="1:16" x14ac:dyDescent="0.25">
      <c r="A703">
        <v>29</v>
      </c>
      <c r="B703" s="2">
        <v>1</v>
      </c>
      <c r="C703" s="2">
        <v>1</v>
      </c>
      <c r="D703" s="2">
        <v>5</v>
      </c>
      <c r="E703" s="2">
        <v>4</v>
      </c>
      <c r="F703" s="1">
        <v>25.67033502</v>
      </c>
      <c r="G703" s="2">
        <v>46</v>
      </c>
      <c r="H703" s="2">
        <v>44</v>
      </c>
      <c r="I703" s="2">
        <v>40</v>
      </c>
      <c r="J703" s="2">
        <v>2</v>
      </c>
      <c r="K703" s="2">
        <v>0</v>
      </c>
      <c r="L70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03" t="str">
        <f>IF(Table1[[#This Row],[Experience Years]]&lt;=2,"Entry Level",IF(Table1[[#This Row],[Experience Years]]&lt;=7,"Mid Level",IF(Table1[[#This Row],[Experience Years]]&lt;=15,"Senior Level")))</f>
        <v>Mid Level</v>
      </c>
      <c r="N703" s="1">
        <f>AVERAGE(Table1[[#This Row],[Interview Score]:[Personality Score]])</f>
        <v>43.333333333333336</v>
      </c>
      <c r="O7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03" s="2" t="str">
        <f t="shared" si="10"/>
        <v>20-30</v>
      </c>
    </row>
    <row r="704" spans="1:16" x14ac:dyDescent="0.25">
      <c r="A704">
        <v>30</v>
      </c>
      <c r="B704" s="2">
        <v>1</v>
      </c>
      <c r="C704" s="2">
        <v>2</v>
      </c>
      <c r="D704" s="2">
        <v>7</v>
      </c>
      <c r="E704" s="2">
        <v>3</v>
      </c>
      <c r="F704" s="1">
        <v>46.581645690000002</v>
      </c>
      <c r="G704" s="2">
        <v>93</v>
      </c>
      <c r="H704" s="2">
        <v>35</v>
      </c>
      <c r="I704" s="2">
        <v>39</v>
      </c>
      <c r="J704" s="2">
        <v>3</v>
      </c>
      <c r="K704" s="2">
        <v>0</v>
      </c>
      <c r="L70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04" t="str">
        <f>IF(Table1[[#This Row],[Experience Years]]&lt;=2,"Entry Level",IF(Table1[[#This Row],[Experience Years]]&lt;=7,"Mid Level",IF(Table1[[#This Row],[Experience Years]]&lt;=15,"Senior Level")))</f>
        <v>Mid Level</v>
      </c>
      <c r="N704" s="1">
        <f>AVERAGE(Table1[[#This Row],[Interview Score]:[Personality Score]])</f>
        <v>55.666666666666664</v>
      </c>
      <c r="O7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04" s="2" t="str">
        <f t="shared" si="10"/>
        <v>40-50</v>
      </c>
    </row>
    <row r="705" spans="1:16" x14ac:dyDescent="0.25">
      <c r="A705">
        <v>31</v>
      </c>
      <c r="B705" s="2">
        <v>0</v>
      </c>
      <c r="C705" s="2">
        <v>3</v>
      </c>
      <c r="D705" s="2">
        <v>3</v>
      </c>
      <c r="E705" s="2">
        <v>2</v>
      </c>
      <c r="F705" s="1">
        <v>47.40071184</v>
      </c>
      <c r="G705" s="2">
        <v>43</v>
      </c>
      <c r="H705" s="2">
        <v>40</v>
      </c>
      <c r="I705" s="2">
        <v>33</v>
      </c>
      <c r="J705" s="2">
        <v>2</v>
      </c>
      <c r="K705" s="2">
        <v>0</v>
      </c>
      <c r="L70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05" s="2" t="str">
        <f>IF(Table1[[#This Row],[Experience Years]]&lt;=2,"Entry Level",IF(Table1[[#This Row],[Experience Years]]&lt;=7,"Mid Level",IF(Table1[[#This Row],[Experience Years]]&lt;=15,"Senior Level")))</f>
        <v>Mid Level</v>
      </c>
      <c r="N705" s="1">
        <f>AVERAGE(Table1[[#This Row],[Interview Score]:[Personality Score]])</f>
        <v>38.666666666666664</v>
      </c>
      <c r="O7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05" s="2" t="str">
        <f t="shared" si="10"/>
        <v>40-50</v>
      </c>
    </row>
    <row r="706" spans="1:16" x14ac:dyDescent="0.25">
      <c r="A706">
        <v>48</v>
      </c>
      <c r="B706" s="2">
        <v>1</v>
      </c>
      <c r="C706" s="2">
        <v>2</v>
      </c>
      <c r="D706" s="2">
        <v>9</v>
      </c>
      <c r="E706" s="2">
        <v>4</v>
      </c>
      <c r="F706" s="1">
        <v>9.2710076059999995</v>
      </c>
      <c r="G706" s="2">
        <v>47</v>
      </c>
      <c r="H706" s="2">
        <v>93</v>
      </c>
      <c r="I706" s="2">
        <v>79</v>
      </c>
      <c r="J706" s="2">
        <v>1</v>
      </c>
      <c r="K706" s="2">
        <v>1</v>
      </c>
      <c r="L70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06" t="str">
        <f>IF(Table1[[#This Row],[Experience Years]]&lt;=2,"Entry Level",IF(Table1[[#This Row],[Experience Years]]&lt;=7,"Mid Level",IF(Table1[[#This Row],[Experience Years]]&lt;=15,"Senior Level")))</f>
        <v>Senior Level</v>
      </c>
      <c r="N706" s="1">
        <f>AVERAGE(Table1[[#This Row],[Interview Score]:[Personality Score]])</f>
        <v>73</v>
      </c>
      <c r="O7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06" s="2" t="str">
        <f t="shared" ref="P706:P769" si="11">IF(F706&lt;10,"0-10",IF(F706&lt;20,"10-20",IF(F706&lt;30,"20-30",IF(F706&lt;40,"30-40",IF(F706&lt;50,"40-50","50+")))))</f>
        <v>0-10</v>
      </c>
    </row>
    <row r="707" spans="1:16" x14ac:dyDescent="0.25">
      <c r="A707">
        <v>32</v>
      </c>
      <c r="B707" s="2">
        <v>1</v>
      </c>
      <c r="C707" s="2">
        <v>1</v>
      </c>
      <c r="D707" s="2">
        <v>4</v>
      </c>
      <c r="E707" s="2">
        <v>1</v>
      </c>
      <c r="F707" s="1">
        <v>1.116170307</v>
      </c>
      <c r="G707" s="2">
        <v>90</v>
      </c>
      <c r="H707" s="2">
        <v>41</v>
      </c>
      <c r="I707" s="2">
        <v>44</v>
      </c>
      <c r="J707" s="2">
        <v>1</v>
      </c>
      <c r="K707" s="2">
        <v>0</v>
      </c>
      <c r="L70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07" t="str">
        <f>IF(Table1[[#This Row],[Experience Years]]&lt;=2,"Entry Level",IF(Table1[[#This Row],[Experience Years]]&lt;=7,"Mid Level",IF(Table1[[#This Row],[Experience Years]]&lt;=15,"Senior Level")))</f>
        <v>Mid Level</v>
      </c>
      <c r="N707" s="1">
        <f>AVERAGE(Table1[[#This Row],[Interview Score]:[Personality Score]])</f>
        <v>58.333333333333336</v>
      </c>
      <c r="O7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07" s="2" t="str">
        <f t="shared" si="11"/>
        <v>0-10</v>
      </c>
    </row>
    <row r="708" spans="1:16" x14ac:dyDescent="0.25">
      <c r="A708">
        <v>31</v>
      </c>
      <c r="B708" s="2">
        <v>0</v>
      </c>
      <c r="C708" s="2">
        <v>3</v>
      </c>
      <c r="D708" s="2">
        <v>3</v>
      </c>
      <c r="E708" s="2">
        <v>2</v>
      </c>
      <c r="F708" s="1">
        <v>50.196547010000003</v>
      </c>
      <c r="G708" s="2">
        <v>84</v>
      </c>
      <c r="H708" s="2">
        <v>6</v>
      </c>
      <c r="I708" s="2">
        <v>70</v>
      </c>
      <c r="J708" s="2">
        <v>2</v>
      </c>
      <c r="K708" s="2">
        <v>0</v>
      </c>
      <c r="L70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08" s="2" t="str">
        <f>IF(Table1[[#This Row],[Experience Years]]&lt;=2,"Entry Level",IF(Table1[[#This Row],[Experience Years]]&lt;=7,"Mid Level",IF(Table1[[#This Row],[Experience Years]]&lt;=15,"Senior Level")))</f>
        <v>Mid Level</v>
      </c>
      <c r="N708" s="1">
        <f>AVERAGE(Table1[[#This Row],[Interview Score]:[Personality Score]])</f>
        <v>53.333333333333336</v>
      </c>
      <c r="O7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08" s="2" t="str">
        <f t="shared" si="11"/>
        <v>50+</v>
      </c>
    </row>
    <row r="709" spans="1:16" x14ac:dyDescent="0.25">
      <c r="A709">
        <v>50</v>
      </c>
      <c r="B709" s="2">
        <v>0</v>
      </c>
      <c r="C709" s="2">
        <v>3</v>
      </c>
      <c r="D709" s="2">
        <v>11</v>
      </c>
      <c r="E709" s="2">
        <v>5</v>
      </c>
      <c r="F709" s="1">
        <v>46.306876809999999</v>
      </c>
      <c r="G709" s="2">
        <v>51</v>
      </c>
      <c r="H709" s="2">
        <v>14</v>
      </c>
      <c r="I709" s="2">
        <v>79</v>
      </c>
      <c r="J709" s="2">
        <v>1</v>
      </c>
      <c r="K709" s="2">
        <v>1</v>
      </c>
      <c r="L70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09" s="2" t="str">
        <f>IF(Table1[[#This Row],[Experience Years]]&lt;=2,"Entry Level",IF(Table1[[#This Row],[Experience Years]]&lt;=7,"Mid Level",IF(Table1[[#This Row],[Experience Years]]&lt;=15,"Senior Level")))</f>
        <v>Senior Level</v>
      </c>
      <c r="N709" s="1">
        <f>AVERAGE(Table1[[#This Row],[Interview Score]:[Personality Score]])</f>
        <v>48</v>
      </c>
      <c r="O7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09" s="2" t="str">
        <f t="shared" si="11"/>
        <v>40-50</v>
      </c>
    </row>
    <row r="710" spans="1:16" x14ac:dyDescent="0.25">
      <c r="A710">
        <v>33</v>
      </c>
      <c r="B710" s="2">
        <v>1</v>
      </c>
      <c r="C710" s="2">
        <v>2</v>
      </c>
      <c r="D710" s="2">
        <v>0</v>
      </c>
      <c r="E710" s="2">
        <v>2</v>
      </c>
      <c r="F710" s="1">
        <v>3.772261785</v>
      </c>
      <c r="G710" s="2">
        <v>83</v>
      </c>
      <c r="H710" s="2">
        <v>59</v>
      </c>
      <c r="I710" s="2">
        <v>70</v>
      </c>
      <c r="J710" s="2">
        <v>2</v>
      </c>
      <c r="K710" s="2">
        <v>0</v>
      </c>
      <c r="L71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10" t="str">
        <f>IF(Table1[[#This Row],[Experience Years]]&lt;=2,"Entry Level",IF(Table1[[#This Row],[Experience Years]]&lt;=7,"Mid Level",IF(Table1[[#This Row],[Experience Years]]&lt;=15,"Senior Level")))</f>
        <v>Entry Level</v>
      </c>
      <c r="N710" s="1">
        <f>AVERAGE(Table1[[#This Row],[Interview Score]:[Personality Score]])</f>
        <v>70.666666666666671</v>
      </c>
      <c r="O7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10" s="2" t="str">
        <f t="shared" si="11"/>
        <v>0-10</v>
      </c>
    </row>
    <row r="711" spans="1:16" x14ac:dyDescent="0.25">
      <c r="A711">
        <v>21</v>
      </c>
      <c r="B711" s="2">
        <v>1</v>
      </c>
      <c r="C711" s="2">
        <v>2</v>
      </c>
      <c r="D711" s="2">
        <v>11</v>
      </c>
      <c r="E711" s="2">
        <v>4</v>
      </c>
      <c r="F711" s="1">
        <v>42.651713200000003</v>
      </c>
      <c r="G711" s="2">
        <v>67</v>
      </c>
      <c r="H711" s="2">
        <v>39</v>
      </c>
      <c r="I711" s="2">
        <v>26</v>
      </c>
      <c r="J711" s="2">
        <v>1</v>
      </c>
      <c r="K711" s="2">
        <v>0</v>
      </c>
      <c r="L71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11" t="str">
        <f>IF(Table1[[#This Row],[Experience Years]]&lt;=2,"Entry Level",IF(Table1[[#This Row],[Experience Years]]&lt;=7,"Mid Level",IF(Table1[[#This Row],[Experience Years]]&lt;=15,"Senior Level")))</f>
        <v>Senior Level</v>
      </c>
      <c r="N711" s="1">
        <f>AVERAGE(Table1[[#This Row],[Interview Score]:[Personality Score]])</f>
        <v>44</v>
      </c>
      <c r="O7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11" s="2" t="str">
        <f t="shared" si="11"/>
        <v>40-50</v>
      </c>
    </row>
    <row r="712" spans="1:16" x14ac:dyDescent="0.25">
      <c r="A712">
        <v>48</v>
      </c>
      <c r="B712" s="2">
        <v>1</v>
      </c>
      <c r="C712" s="2">
        <v>4</v>
      </c>
      <c r="D712" s="2">
        <v>7</v>
      </c>
      <c r="E712" s="2">
        <v>2</v>
      </c>
      <c r="F712" s="1">
        <v>23.89024663</v>
      </c>
      <c r="G712" s="2">
        <v>10</v>
      </c>
      <c r="H712" s="2">
        <v>82</v>
      </c>
      <c r="I712" s="2">
        <v>77</v>
      </c>
      <c r="J712" s="2">
        <v>1</v>
      </c>
      <c r="K712" s="2">
        <v>1</v>
      </c>
      <c r="L71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12" t="str">
        <f>IF(Table1[[#This Row],[Experience Years]]&lt;=2,"Entry Level",IF(Table1[[#This Row],[Experience Years]]&lt;=7,"Mid Level",IF(Table1[[#This Row],[Experience Years]]&lt;=15,"Senior Level")))</f>
        <v>Mid Level</v>
      </c>
      <c r="N712" s="1">
        <f>AVERAGE(Table1[[#This Row],[Interview Score]:[Personality Score]])</f>
        <v>56.333333333333336</v>
      </c>
      <c r="O7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12" s="2" t="str">
        <f t="shared" si="11"/>
        <v>20-30</v>
      </c>
    </row>
    <row r="713" spans="1:16" x14ac:dyDescent="0.25">
      <c r="A713">
        <v>38</v>
      </c>
      <c r="B713" s="2">
        <v>1</v>
      </c>
      <c r="C713" s="2">
        <v>2</v>
      </c>
      <c r="D713" s="2">
        <v>0</v>
      </c>
      <c r="E713" s="2">
        <v>1</v>
      </c>
      <c r="F713" s="1">
        <v>13.94808025</v>
      </c>
      <c r="G713" s="2">
        <v>76</v>
      </c>
      <c r="H713" s="2">
        <v>36</v>
      </c>
      <c r="I713" s="2">
        <v>77</v>
      </c>
      <c r="J713" s="2">
        <v>2</v>
      </c>
      <c r="K713" s="2">
        <v>0</v>
      </c>
      <c r="L71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13" t="str">
        <f>IF(Table1[[#This Row],[Experience Years]]&lt;=2,"Entry Level",IF(Table1[[#This Row],[Experience Years]]&lt;=7,"Mid Level",IF(Table1[[#This Row],[Experience Years]]&lt;=15,"Senior Level")))</f>
        <v>Entry Level</v>
      </c>
      <c r="N713" s="1">
        <f>AVERAGE(Table1[[#This Row],[Interview Score]:[Personality Score]])</f>
        <v>63</v>
      </c>
      <c r="O7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13" s="2" t="str">
        <f t="shared" si="11"/>
        <v>10-20</v>
      </c>
    </row>
    <row r="714" spans="1:16" x14ac:dyDescent="0.25">
      <c r="A714">
        <v>37</v>
      </c>
      <c r="B714" s="2">
        <v>0</v>
      </c>
      <c r="C714" s="2">
        <v>2</v>
      </c>
      <c r="D714" s="2">
        <v>4</v>
      </c>
      <c r="E714" s="2">
        <v>1</v>
      </c>
      <c r="F714" s="1">
        <v>44.937326179999999</v>
      </c>
      <c r="G714" s="2">
        <v>72</v>
      </c>
      <c r="H714" s="2">
        <v>65</v>
      </c>
      <c r="I714" s="2">
        <v>43</v>
      </c>
      <c r="J714" s="2">
        <v>3</v>
      </c>
      <c r="K714" s="2">
        <v>0</v>
      </c>
      <c r="L71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14" s="2" t="str">
        <f>IF(Table1[[#This Row],[Experience Years]]&lt;=2,"Entry Level",IF(Table1[[#This Row],[Experience Years]]&lt;=7,"Mid Level",IF(Table1[[#This Row],[Experience Years]]&lt;=15,"Senior Level")))</f>
        <v>Mid Level</v>
      </c>
      <c r="N714" s="1">
        <f>AVERAGE(Table1[[#This Row],[Interview Score]:[Personality Score]])</f>
        <v>60</v>
      </c>
      <c r="O7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14" s="2" t="str">
        <f t="shared" si="11"/>
        <v>40-50</v>
      </c>
    </row>
    <row r="715" spans="1:16" x14ac:dyDescent="0.25">
      <c r="A715">
        <v>22</v>
      </c>
      <c r="B715" s="2">
        <v>1</v>
      </c>
      <c r="C715" s="2">
        <v>3</v>
      </c>
      <c r="D715" s="2">
        <v>14</v>
      </c>
      <c r="E715" s="2">
        <v>5</v>
      </c>
      <c r="F715" s="1">
        <v>10.83336162</v>
      </c>
      <c r="G715" s="2">
        <v>3</v>
      </c>
      <c r="H715" s="2">
        <v>54</v>
      </c>
      <c r="I715" s="2">
        <v>32</v>
      </c>
      <c r="J715" s="2">
        <v>2</v>
      </c>
      <c r="K715" s="2">
        <v>0</v>
      </c>
      <c r="L71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15" t="str">
        <f>IF(Table1[[#This Row],[Experience Years]]&lt;=2,"Entry Level",IF(Table1[[#This Row],[Experience Years]]&lt;=7,"Mid Level",IF(Table1[[#This Row],[Experience Years]]&lt;=15,"Senior Level")))</f>
        <v>Senior Level</v>
      </c>
      <c r="N715" s="1">
        <f>AVERAGE(Table1[[#This Row],[Interview Score]:[Personality Score]])</f>
        <v>29.666666666666668</v>
      </c>
      <c r="O7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15" s="2" t="str">
        <f t="shared" si="11"/>
        <v>10-20</v>
      </c>
    </row>
    <row r="716" spans="1:16" x14ac:dyDescent="0.25">
      <c r="A716">
        <v>42</v>
      </c>
      <c r="B716" s="2">
        <v>1</v>
      </c>
      <c r="C716" s="2">
        <v>2</v>
      </c>
      <c r="D716" s="2">
        <v>5</v>
      </c>
      <c r="E716" s="2">
        <v>3</v>
      </c>
      <c r="F716" s="1">
        <v>48.36499997</v>
      </c>
      <c r="G716" s="2">
        <v>75</v>
      </c>
      <c r="H716" s="2">
        <v>76</v>
      </c>
      <c r="I716" s="2">
        <v>32</v>
      </c>
      <c r="J716" s="2">
        <v>3</v>
      </c>
      <c r="K716" s="2">
        <v>0</v>
      </c>
      <c r="L71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16" t="str">
        <f>IF(Table1[[#This Row],[Experience Years]]&lt;=2,"Entry Level",IF(Table1[[#This Row],[Experience Years]]&lt;=7,"Mid Level",IF(Table1[[#This Row],[Experience Years]]&lt;=15,"Senior Level")))</f>
        <v>Mid Level</v>
      </c>
      <c r="N716" s="1">
        <f>AVERAGE(Table1[[#This Row],[Interview Score]:[Personality Score]])</f>
        <v>61</v>
      </c>
      <c r="O7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16" s="2" t="str">
        <f t="shared" si="11"/>
        <v>40-50</v>
      </c>
    </row>
    <row r="717" spans="1:16" x14ac:dyDescent="0.25">
      <c r="A717">
        <v>36</v>
      </c>
      <c r="B717" s="2">
        <v>0</v>
      </c>
      <c r="C717" s="2">
        <v>2</v>
      </c>
      <c r="D717" s="2">
        <v>5</v>
      </c>
      <c r="E717" s="2">
        <v>4</v>
      </c>
      <c r="F717" s="1">
        <v>11.28107438</v>
      </c>
      <c r="G717" s="2">
        <v>72</v>
      </c>
      <c r="H717" s="2">
        <v>94</v>
      </c>
      <c r="I717" s="2">
        <v>43</v>
      </c>
      <c r="J717" s="2">
        <v>3</v>
      </c>
      <c r="K717" s="2">
        <v>0</v>
      </c>
      <c r="L71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17" s="2" t="str">
        <f>IF(Table1[[#This Row],[Experience Years]]&lt;=2,"Entry Level",IF(Table1[[#This Row],[Experience Years]]&lt;=7,"Mid Level",IF(Table1[[#This Row],[Experience Years]]&lt;=15,"Senior Level")))</f>
        <v>Mid Level</v>
      </c>
      <c r="N717" s="1">
        <f>AVERAGE(Table1[[#This Row],[Interview Score]:[Personality Score]])</f>
        <v>69.666666666666671</v>
      </c>
      <c r="O7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17" s="2" t="str">
        <f t="shared" si="11"/>
        <v>10-20</v>
      </c>
    </row>
    <row r="718" spans="1:16" x14ac:dyDescent="0.25">
      <c r="A718">
        <v>45</v>
      </c>
      <c r="B718" s="2">
        <v>1</v>
      </c>
      <c r="C718" s="2">
        <v>2</v>
      </c>
      <c r="D718" s="2">
        <v>12</v>
      </c>
      <c r="E718" s="2">
        <v>4</v>
      </c>
      <c r="F718" s="1">
        <v>31.684159390000001</v>
      </c>
      <c r="G718" s="2">
        <v>76</v>
      </c>
      <c r="H718" s="2">
        <v>79</v>
      </c>
      <c r="I718" s="2">
        <v>19</v>
      </c>
      <c r="J718" s="2">
        <v>1</v>
      </c>
      <c r="K718" s="2">
        <v>1</v>
      </c>
      <c r="L71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18" t="str">
        <f>IF(Table1[[#This Row],[Experience Years]]&lt;=2,"Entry Level",IF(Table1[[#This Row],[Experience Years]]&lt;=7,"Mid Level",IF(Table1[[#This Row],[Experience Years]]&lt;=15,"Senior Level")))</f>
        <v>Senior Level</v>
      </c>
      <c r="N718" s="1">
        <f>AVERAGE(Table1[[#This Row],[Interview Score]:[Personality Score]])</f>
        <v>58</v>
      </c>
      <c r="O7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18" s="2" t="str">
        <f t="shared" si="11"/>
        <v>30-40</v>
      </c>
    </row>
    <row r="719" spans="1:16" x14ac:dyDescent="0.25">
      <c r="A719">
        <v>27</v>
      </c>
      <c r="B719" s="2">
        <v>0</v>
      </c>
      <c r="C719" s="2">
        <v>3</v>
      </c>
      <c r="D719" s="2">
        <v>4</v>
      </c>
      <c r="E719" s="2">
        <v>3</v>
      </c>
      <c r="F719" s="1">
        <v>12.15431673</v>
      </c>
      <c r="G719" s="2">
        <v>47</v>
      </c>
      <c r="H719" s="2">
        <v>55</v>
      </c>
      <c r="I719" s="2">
        <v>35</v>
      </c>
      <c r="J719" s="2">
        <v>2</v>
      </c>
      <c r="K719" s="2">
        <v>0</v>
      </c>
      <c r="L71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19" s="2" t="str">
        <f>IF(Table1[[#This Row],[Experience Years]]&lt;=2,"Entry Level",IF(Table1[[#This Row],[Experience Years]]&lt;=7,"Mid Level",IF(Table1[[#This Row],[Experience Years]]&lt;=15,"Senior Level")))</f>
        <v>Mid Level</v>
      </c>
      <c r="N719" s="1">
        <f>AVERAGE(Table1[[#This Row],[Interview Score]:[Personality Score]])</f>
        <v>45.666666666666664</v>
      </c>
      <c r="O7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19" s="2" t="str">
        <f t="shared" si="11"/>
        <v>10-20</v>
      </c>
    </row>
    <row r="720" spans="1:16" x14ac:dyDescent="0.25">
      <c r="A720">
        <v>48</v>
      </c>
      <c r="B720" s="2">
        <v>0</v>
      </c>
      <c r="C720" s="2">
        <v>2</v>
      </c>
      <c r="D720" s="2">
        <v>15</v>
      </c>
      <c r="E720" s="2">
        <v>1</v>
      </c>
      <c r="F720" s="1">
        <v>28.283433250000002</v>
      </c>
      <c r="G720" s="2">
        <v>25</v>
      </c>
      <c r="H720" s="2">
        <v>43</v>
      </c>
      <c r="I720" s="2">
        <v>6</v>
      </c>
      <c r="J720" s="2">
        <v>2</v>
      </c>
      <c r="K720" s="2">
        <v>0</v>
      </c>
      <c r="L72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20" s="2" t="str">
        <f>IF(Table1[[#This Row],[Experience Years]]&lt;=2,"Entry Level",IF(Table1[[#This Row],[Experience Years]]&lt;=7,"Mid Level",IF(Table1[[#This Row],[Experience Years]]&lt;=15,"Senior Level")))</f>
        <v>Senior Level</v>
      </c>
      <c r="N720" s="1">
        <f>AVERAGE(Table1[[#This Row],[Interview Score]:[Personality Score]])</f>
        <v>24.666666666666668</v>
      </c>
      <c r="O7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20" s="2" t="str">
        <f t="shared" si="11"/>
        <v>20-30</v>
      </c>
    </row>
    <row r="721" spans="1:16" x14ac:dyDescent="0.25">
      <c r="A721">
        <v>45</v>
      </c>
      <c r="B721" s="2">
        <v>0</v>
      </c>
      <c r="C721" s="2">
        <v>2</v>
      </c>
      <c r="D721" s="2">
        <v>2</v>
      </c>
      <c r="E721" s="2">
        <v>1</v>
      </c>
      <c r="F721" s="1">
        <v>35.198756500000002</v>
      </c>
      <c r="G721" s="2">
        <v>76</v>
      </c>
      <c r="H721" s="2">
        <v>56</v>
      </c>
      <c r="I721" s="2">
        <v>31</v>
      </c>
      <c r="J721" s="2">
        <v>3</v>
      </c>
      <c r="K721" s="2">
        <v>0</v>
      </c>
      <c r="L72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21" s="2" t="str">
        <f>IF(Table1[[#This Row],[Experience Years]]&lt;=2,"Entry Level",IF(Table1[[#This Row],[Experience Years]]&lt;=7,"Mid Level",IF(Table1[[#This Row],[Experience Years]]&lt;=15,"Senior Level")))</f>
        <v>Entry Level</v>
      </c>
      <c r="N721" s="1">
        <f>AVERAGE(Table1[[#This Row],[Interview Score]:[Personality Score]])</f>
        <v>54.333333333333336</v>
      </c>
      <c r="O7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21" s="2" t="str">
        <f t="shared" si="11"/>
        <v>30-40</v>
      </c>
    </row>
    <row r="722" spans="1:16" x14ac:dyDescent="0.25">
      <c r="A722">
        <v>29</v>
      </c>
      <c r="B722" s="2">
        <v>1</v>
      </c>
      <c r="C722" s="2">
        <v>2</v>
      </c>
      <c r="D722" s="2">
        <v>14</v>
      </c>
      <c r="E722" s="2">
        <v>2</v>
      </c>
      <c r="F722" s="1">
        <v>10.51139654</v>
      </c>
      <c r="G722" s="2">
        <v>38</v>
      </c>
      <c r="H722" s="2">
        <v>5</v>
      </c>
      <c r="I722" s="2">
        <v>66</v>
      </c>
      <c r="J722" s="2">
        <v>2</v>
      </c>
      <c r="K722" s="2">
        <v>0</v>
      </c>
      <c r="L72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22" t="str">
        <f>IF(Table1[[#This Row],[Experience Years]]&lt;=2,"Entry Level",IF(Table1[[#This Row],[Experience Years]]&lt;=7,"Mid Level",IF(Table1[[#This Row],[Experience Years]]&lt;=15,"Senior Level")))</f>
        <v>Senior Level</v>
      </c>
      <c r="N722" s="1">
        <f>AVERAGE(Table1[[#This Row],[Interview Score]:[Personality Score]])</f>
        <v>36.333333333333336</v>
      </c>
      <c r="O7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22" s="2" t="str">
        <f t="shared" si="11"/>
        <v>10-20</v>
      </c>
    </row>
    <row r="723" spans="1:16" x14ac:dyDescent="0.25">
      <c r="A723">
        <v>45</v>
      </c>
      <c r="B723" s="2">
        <v>1</v>
      </c>
      <c r="C723" s="2">
        <v>2</v>
      </c>
      <c r="D723" s="2">
        <v>4</v>
      </c>
      <c r="E723" s="2">
        <v>5</v>
      </c>
      <c r="F723" s="1">
        <v>27.04428914</v>
      </c>
      <c r="G723" s="2">
        <v>91</v>
      </c>
      <c r="H723" s="2">
        <v>91</v>
      </c>
      <c r="I723" s="2">
        <v>38</v>
      </c>
      <c r="J723" s="2">
        <v>3</v>
      </c>
      <c r="K723" s="2">
        <v>0</v>
      </c>
      <c r="L72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23" t="str">
        <f>IF(Table1[[#This Row],[Experience Years]]&lt;=2,"Entry Level",IF(Table1[[#This Row],[Experience Years]]&lt;=7,"Mid Level",IF(Table1[[#This Row],[Experience Years]]&lt;=15,"Senior Level")))</f>
        <v>Mid Level</v>
      </c>
      <c r="N723" s="1">
        <f>AVERAGE(Table1[[#This Row],[Interview Score]:[Personality Score]])</f>
        <v>73.333333333333329</v>
      </c>
      <c r="O7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23" s="2" t="str">
        <f t="shared" si="11"/>
        <v>20-30</v>
      </c>
    </row>
    <row r="724" spans="1:16" x14ac:dyDescent="0.25">
      <c r="A724">
        <v>49</v>
      </c>
      <c r="B724" s="2">
        <v>0</v>
      </c>
      <c r="C724" s="2">
        <v>2</v>
      </c>
      <c r="D724" s="2">
        <v>11</v>
      </c>
      <c r="E724" s="2">
        <v>5</v>
      </c>
      <c r="F724" s="1">
        <v>24.452987220000001</v>
      </c>
      <c r="G724" s="2">
        <v>57</v>
      </c>
      <c r="H724" s="2">
        <v>31</v>
      </c>
      <c r="I724" s="2">
        <v>92</v>
      </c>
      <c r="J724" s="2">
        <v>1</v>
      </c>
      <c r="K724" s="2">
        <v>1</v>
      </c>
      <c r="L72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24" s="2" t="str">
        <f>IF(Table1[[#This Row],[Experience Years]]&lt;=2,"Entry Level",IF(Table1[[#This Row],[Experience Years]]&lt;=7,"Mid Level",IF(Table1[[#This Row],[Experience Years]]&lt;=15,"Senior Level")))</f>
        <v>Senior Level</v>
      </c>
      <c r="N724" s="1">
        <f>AVERAGE(Table1[[#This Row],[Interview Score]:[Personality Score]])</f>
        <v>60</v>
      </c>
      <c r="O7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24" s="2" t="str">
        <f t="shared" si="11"/>
        <v>20-30</v>
      </c>
    </row>
    <row r="725" spans="1:16" x14ac:dyDescent="0.25">
      <c r="A725">
        <v>21</v>
      </c>
      <c r="B725" s="2">
        <v>1</v>
      </c>
      <c r="C725" s="2">
        <v>3</v>
      </c>
      <c r="D725" s="2">
        <v>7</v>
      </c>
      <c r="E725" s="2">
        <v>5</v>
      </c>
      <c r="F725" s="1">
        <v>4.5518710699999998</v>
      </c>
      <c r="G725" s="2">
        <v>18</v>
      </c>
      <c r="H725" s="2">
        <v>73</v>
      </c>
      <c r="I725" s="2">
        <v>23</v>
      </c>
      <c r="J725" s="2">
        <v>1</v>
      </c>
      <c r="K725" s="2">
        <v>1</v>
      </c>
      <c r="L72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25" t="str">
        <f>IF(Table1[[#This Row],[Experience Years]]&lt;=2,"Entry Level",IF(Table1[[#This Row],[Experience Years]]&lt;=7,"Mid Level",IF(Table1[[#This Row],[Experience Years]]&lt;=15,"Senior Level")))</f>
        <v>Mid Level</v>
      </c>
      <c r="N725" s="1">
        <f>AVERAGE(Table1[[#This Row],[Interview Score]:[Personality Score]])</f>
        <v>38</v>
      </c>
      <c r="O7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25" s="2" t="str">
        <f t="shared" si="11"/>
        <v>0-10</v>
      </c>
    </row>
    <row r="726" spans="1:16" x14ac:dyDescent="0.25">
      <c r="A726">
        <v>38</v>
      </c>
      <c r="B726" s="2">
        <v>1</v>
      </c>
      <c r="C726" s="2">
        <v>2</v>
      </c>
      <c r="D726" s="2">
        <v>13</v>
      </c>
      <c r="E726" s="2">
        <v>2</v>
      </c>
      <c r="F726" s="1">
        <v>41.915390879999997</v>
      </c>
      <c r="G726" s="2">
        <v>87</v>
      </c>
      <c r="H726" s="2">
        <v>17</v>
      </c>
      <c r="I726" s="2">
        <v>85</v>
      </c>
      <c r="J726" s="2">
        <v>2</v>
      </c>
      <c r="K726" s="2">
        <v>0</v>
      </c>
      <c r="L72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26" t="str">
        <f>IF(Table1[[#This Row],[Experience Years]]&lt;=2,"Entry Level",IF(Table1[[#This Row],[Experience Years]]&lt;=7,"Mid Level",IF(Table1[[#This Row],[Experience Years]]&lt;=15,"Senior Level")))</f>
        <v>Senior Level</v>
      </c>
      <c r="N726" s="1">
        <f>AVERAGE(Table1[[#This Row],[Interview Score]:[Personality Score]])</f>
        <v>63</v>
      </c>
      <c r="O7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26" s="2" t="str">
        <f t="shared" si="11"/>
        <v>40-50</v>
      </c>
    </row>
    <row r="727" spans="1:16" x14ac:dyDescent="0.25">
      <c r="A727">
        <v>28</v>
      </c>
      <c r="B727" s="2">
        <v>0</v>
      </c>
      <c r="C727" s="2">
        <v>1</v>
      </c>
      <c r="D727" s="2">
        <v>1</v>
      </c>
      <c r="E727" s="2">
        <v>5</v>
      </c>
      <c r="F727" s="1">
        <v>17.78412003</v>
      </c>
      <c r="G727" s="2">
        <v>82</v>
      </c>
      <c r="H727" s="2">
        <v>67</v>
      </c>
      <c r="I727" s="2">
        <v>69</v>
      </c>
      <c r="J727" s="2">
        <v>2</v>
      </c>
      <c r="K727" s="2">
        <v>0</v>
      </c>
      <c r="L72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27" s="2" t="str">
        <f>IF(Table1[[#This Row],[Experience Years]]&lt;=2,"Entry Level",IF(Table1[[#This Row],[Experience Years]]&lt;=7,"Mid Level",IF(Table1[[#This Row],[Experience Years]]&lt;=15,"Senior Level")))</f>
        <v>Entry Level</v>
      </c>
      <c r="N727" s="1">
        <f>AVERAGE(Table1[[#This Row],[Interview Score]:[Personality Score]])</f>
        <v>72.666666666666671</v>
      </c>
      <c r="O7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27" s="2" t="str">
        <f t="shared" si="11"/>
        <v>10-20</v>
      </c>
    </row>
    <row r="728" spans="1:16" x14ac:dyDescent="0.25">
      <c r="A728">
        <v>26</v>
      </c>
      <c r="B728" s="2">
        <v>0</v>
      </c>
      <c r="C728" s="2">
        <v>3</v>
      </c>
      <c r="D728" s="2">
        <v>15</v>
      </c>
      <c r="E728" s="2">
        <v>3</v>
      </c>
      <c r="F728" s="1">
        <v>29.729109879999999</v>
      </c>
      <c r="G728" s="2">
        <v>76</v>
      </c>
      <c r="H728" s="2">
        <v>72</v>
      </c>
      <c r="I728" s="2">
        <v>87</v>
      </c>
      <c r="J728" s="2">
        <v>1</v>
      </c>
      <c r="K728" s="2">
        <v>1</v>
      </c>
      <c r="L72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28" s="2" t="str">
        <f>IF(Table1[[#This Row],[Experience Years]]&lt;=2,"Entry Level",IF(Table1[[#This Row],[Experience Years]]&lt;=7,"Mid Level",IF(Table1[[#This Row],[Experience Years]]&lt;=15,"Senior Level")))</f>
        <v>Senior Level</v>
      </c>
      <c r="N728" s="1">
        <f>AVERAGE(Table1[[#This Row],[Interview Score]:[Personality Score]])</f>
        <v>78.333333333333329</v>
      </c>
      <c r="O7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28" s="2" t="str">
        <f t="shared" si="11"/>
        <v>20-30</v>
      </c>
    </row>
    <row r="729" spans="1:16" x14ac:dyDescent="0.25">
      <c r="A729">
        <v>23</v>
      </c>
      <c r="B729" s="2">
        <v>1</v>
      </c>
      <c r="C729" s="2">
        <v>1</v>
      </c>
      <c r="D729" s="2">
        <v>5</v>
      </c>
      <c r="E729" s="2">
        <v>2</v>
      </c>
      <c r="F729" s="1">
        <v>26.739211749999999</v>
      </c>
      <c r="G729" s="2">
        <v>76</v>
      </c>
      <c r="H729" s="2">
        <v>6</v>
      </c>
      <c r="I729" s="2">
        <v>86</v>
      </c>
      <c r="J729" s="2">
        <v>2</v>
      </c>
      <c r="K729" s="2">
        <v>0</v>
      </c>
      <c r="L72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29" t="str">
        <f>IF(Table1[[#This Row],[Experience Years]]&lt;=2,"Entry Level",IF(Table1[[#This Row],[Experience Years]]&lt;=7,"Mid Level",IF(Table1[[#This Row],[Experience Years]]&lt;=15,"Senior Level")))</f>
        <v>Mid Level</v>
      </c>
      <c r="N729" s="1">
        <f>AVERAGE(Table1[[#This Row],[Interview Score]:[Personality Score]])</f>
        <v>56</v>
      </c>
      <c r="O7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29" s="2" t="str">
        <f t="shared" si="11"/>
        <v>20-30</v>
      </c>
    </row>
    <row r="730" spans="1:16" x14ac:dyDescent="0.25">
      <c r="A730">
        <v>45</v>
      </c>
      <c r="B730" s="2">
        <v>0</v>
      </c>
      <c r="C730" s="2">
        <v>4</v>
      </c>
      <c r="D730" s="2">
        <v>8</v>
      </c>
      <c r="E730" s="2">
        <v>3</v>
      </c>
      <c r="F730" s="1">
        <v>26.663025229999999</v>
      </c>
      <c r="G730" s="2">
        <v>57</v>
      </c>
      <c r="H730" s="2">
        <v>7</v>
      </c>
      <c r="I730" s="2">
        <v>53</v>
      </c>
      <c r="J730" s="2">
        <v>1</v>
      </c>
      <c r="K730" s="2">
        <v>1</v>
      </c>
      <c r="L73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30" s="2" t="str">
        <f>IF(Table1[[#This Row],[Experience Years]]&lt;=2,"Entry Level",IF(Table1[[#This Row],[Experience Years]]&lt;=7,"Mid Level",IF(Table1[[#This Row],[Experience Years]]&lt;=15,"Senior Level")))</f>
        <v>Senior Level</v>
      </c>
      <c r="N730" s="1">
        <f>AVERAGE(Table1[[#This Row],[Interview Score]:[Personality Score]])</f>
        <v>39</v>
      </c>
      <c r="O7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30" s="2" t="str">
        <f t="shared" si="11"/>
        <v>20-30</v>
      </c>
    </row>
    <row r="731" spans="1:16" x14ac:dyDescent="0.25">
      <c r="A731">
        <v>40</v>
      </c>
      <c r="B731" s="2">
        <v>1</v>
      </c>
      <c r="C731" s="2">
        <v>1</v>
      </c>
      <c r="D731" s="2">
        <v>7</v>
      </c>
      <c r="E731" s="2">
        <v>2</v>
      </c>
      <c r="F731" s="1">
        <v>6.3611197099999996</v>
      </c>
      <c r="G731" s="2">
        <v>27</v>
      </c>
      <c r="H731" s="2">
        <v>63</v>
      </c>
      <c r="I731" s="2">
        <v>37</v>
      </c>
      <c r="J731" s="2">
        <v>2</v>
      </c>
      <c r="K731" s="2">
        <v>0</v>
      </c>
      <c r="L73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31" t="str">
        <f>IF(Table1[[#This Row],[Experience Years]]&lt;=2,"Entry Level",IF(Table1[[#This Row],[Experience Years]]&lt;=7,"Mid Level",IF(Table1[[#This Row],[Experience Years]]&lt;=15,"Senior Level")))</f>
        <v>Mid Level</v>
      </c>
      <c r="N731" s="1">
        <f>AVERAGE(Table1[[#This Row],[Interview Score]:[Personality Score]])</f>
        <v>42.333333333333336</v>
      </c>
      <c r="O7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31" s="2" t="str">
        <f t="shared" si="11"/>
        <v>0-10</v>
      </c>
    </row>
    <row r="732" spans="1:16" x14ac:dyDescent="0.25">
      <c r="A732">
        <v>37</v>
      </c>
      <c r="B732" s="2">
        <v>1</v>
      </c>
      <c r="C732" s="2">
        <v>2</v>
      </c>
      <c r="D732" s="2">
        <v>13</v>
      </c>
      <c r="E732" s="2">
        <v>5</v>
      </c>
      <c r="F732" s="1">
        <v>22.174100459999998</v>
      </c>
      <c r="G732" s="2">
        <v>65</v>
      </c>
      <c r="H732" s="2">
        <v>6</v>
      </c>
      <c r="I732" s="2">
        <v>73</v>
      </c>
      <c r="J732" s="2">
        <v>3</v>
      </c>
      <c r="K732" s="2">
        <v>0</v>
      </c>
      <c r="L73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32" t="str">
        <f>IF(Table1[[#This Row],[Experience Years]]&lt;=2,"Entry Level",IF(Table1[[#This Row],[Experience Years]]&lt;=7,"Mid Level",IF(Table1[[#This Row],[Experience Years]]&lt;=15,"Senior Level")))</f>
        <v>Senior Level</v>
      </c>
      <c r="N732" s="1">
        <f>AVERAGE(Table1[[#This Row],[Interview Score]:[Personality Score]])</f>
        <v>48</v>
      </c>
      <c r="O7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32" s="2" t="str">
        <f t="shared" si="11"/>
        <v>20-30</v>
      </c>
    </row>
    <row r="733" spans="1:16" x14ac:dyDescent="0.25">
      <c r="A733">
        <v>32</v>
      </c>
      <c r="B733" s="2">
        <v>1</v>
      </c>
      <c r="C733" s="2">
        <v>1</v>
      </c>
      <c r="D733" s="2">
        <v>10</v>
      </c>
      <c r="E733" s="2">
        <v>3</v>
      </c>
      <c r="F733" s="1">
        <v>23.618337960000002</v>
      </c>
      <c r="G733" s="2">
        <v>9</v>
      </c>
      <c r="H733" s="2">
        <v>40</v>
      </c>
      <c r="I733" s="2">
        <v>79</v>
      </c>
      <c r="J733" s="2">
        <v>3</v>
      </c>
      <c r="K733" s="2">
        <v>0</v>
      </c>
      <c r="L73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33" t="str">
        <f>IF(Table1[[#This Row],[Experience Years]]&lt;=2,"Entry Level",IF(Table1[[#This Row],[Experience Years]]&lt;=7,"Mid Level",IF(Table1[[#This Row],[Experience Years]]&lt;=15,"Senior Level")))</f>
        <v>Senior Level</v>
      </c>
      <c r="N733" s="1">
        <f>AVERAGE(Table1[[#This Row],[Interview Score]:[Personality Score]])</f>
        <v>42.666666666666664</v>
      </c>
      <c r="O7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33" s="2" t="str">
        <f t="shared" si="11"/>
        <v>20-30</v>
      </c>
    </row>
    <row r="734" spans="1:16" x14ac:dyDescent="0.25">
      <c r="A734">
        <v>30</v>
      </c>
      <c r="B734" s="2">
        <v>1</v>
      </c>
      <c r="C734" s="2">
        <v>4</v>
      </c>
      <c r="D734" s="2">
        <v>7</v>
      </c>
      <c r="E734" s="2">
        <v>3</v>
      </c>
      <c r="F734" s="1">
        <v>37.682142020000001</v>
      </c>
      <c r="G734" s="2">
        <v>85</v>
      </c>
      <c r="H734" s="2">
        <v>39</v>
      </c>
      <c r="I734" s="2">
        <v>74</v>
      </c>
      <c r="J734" s="2">
        <v>2</v>
      </c>
      <c r="K734" s="2">
        <v>1</v>
      </c>
      <c r="L73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34" t="str">
        <f>IF(Table1[[#This Row],[Experience Years]]&lt;=2,"Entry Level",IF(Table1[[#This Row],[Experience Years]]&lt;=7,"Mid Level",IF(Table1[[#This Row],[Experience Years]]&lt;=15,"Senior Level")))</f>
        <v>Mid Level</v>
      </c>
      <c r="N734" s="1">
        <f>AVERAGE(Table1[[#This Row],[Interview Score]:[Personality Score]])</f>
        <v>66</v>
      </c>
      <c r="O7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34" s="2" t="str">
        <f t="shared" si="11"/>
        <v>30-40</v>
      </c>
    </row>
    <row r="735" spans="1:16" x14ac:dyDescent="0.25">
      <c r="A735">
        <v>48</v>
      </c>
      <c r="B735" s="2">
        <v>0</v>
      </c>
      <c r="C735" s="2">
        <v>2</v>
      </c>
      <c r="D735" s="2">
        <v>7</v>
      </c>
      <c r="E735" s="2">
        <v>3</v>
      </c>
      <c r="F735" s="1">
        <v>43.000941599999997</v>
      </c>
      <c r="G735" s="2">
        <v>76</v>
      </c>
      <c r="H735" s="2">
        <v>2</v>
      </c>
      <c r="I735" s="2">
        <v>31</v>
      </c>
      <c r="J735" s="2">
        <v>2</v>
      </c>
      <c r="K735" s="2">
        <v>0</v>
      </c>
      <c r="L73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35" s="2" t="str">
        <f>IF(Table1[[#This Row],[Experience Years]]&lt;=2,"Entry Level",IF(Table1[[#This Row],[Experience Years]]&lt;=7,"Mid Level",IF(Table1[[#This Row],[Experience Years]]&lt;=15,"Senior Level")))</f>
        <v>Mid Level</v>
      </c>
      <c r="N735" s="1">
        <f>AVERAGE(Table1[[#This Row],[Interview Score]:[Personality Score]])</f>
        <v>36.333333333333336</v>
      </c>
      <c r="O7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35" s="2" t="str">
        <f t="shared" si="11"/>
        <v>40-50</v>
      </c>
    </row>
    <row r="736" spans="1:16" x14ac:dyDescent="0.25">
      <c r="A736">
        <v>43</v>
      </c>
      <c r="B736" s="2">
        <v>0</v>
      </c>
      <c r="C736" s="2">
        <v>1</v>
      </c>
      <c r="D736" s="2">
        <v>14</v>
      </c>
      <c r="E736" s="2">
        <v>2</v>
      </c>
      <c r="F736" s="1">
        <v>28.249113909999998</v>
      </c>
      <c r="G736" s="2">
        <v>57</v>
      </c>
      <c r="H736" s="2">
        <v>16</v>
      </c>
      <c r="I736" s="2">
        <v>44</v>
      </c>
      <c r="J736" s="2">
        <v>2</v>
      </c>
      <c r="K736" s="2">
        <v>0</v>
      </c>
      <c r="L73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36" s="2" t="str">
        <f>IF(Table1[[#This Row],[Experience Years]]&lt;=2,"Entry Level",IF(Table1[[#This Row],[Experience Years]]&lt;=7,"Mid Level",IF(Table1[[#This Row],[Experience Years]]&lt;=15,"Senior Level")))</f>
        <v>Senior Level</v>
      </c>
      <c r="N736" s="1">
        <f>AVERAGE(Table1[[#This Row],[Interview Score]:[Personality Score]])</f>
        <v>39</v>
      </c>
      <c r="O7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36" s="2" t="str">
        <f t="shared" si="11"/>
        <v>20-30</v>
      </c>
    </row>
    <row r="737" spans="1:16" x14ac:dyDescent="0.25">
      <c r="A737">
        <v>23</v>
      </c>
      <c r="B737" s="2">
        <v>0</v>
      </c>
      <c r="C737" s="2">
        <v>2</v>
      </c>
      <c r="D737" s="2">
        <v>12</v>
      </c>
      <c r="E737" s="2">
        <v>4</v>
      </c>
      <c r="F737" s="1">
        <v>5.3391477030000001</v>
      </c>
      <c r="G737" s="2">
        <v>72</v>
      </c>
      <c r="H737" s="2">
        <v>65</v>
      </c>
      <c r="I737" s="2">
        <v>60</v>
      </c>
      <c r="J737" s="2">
        <v>1</v>
      </c>
      <c r="K737" s="2">
        <v>1</v>
      </c>
      <c r="L73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37" s="2" t="str">
        <f>IF(Table1[[#This Row],[Experience Years]]&lt;=2,"Entry Level",IF(Table1[[#This Row],[Experience Years]]&lt;=7,"Mid Level",IF(Table1[[#This Row],[Experience Years]]&lt;=15,"Senior Level")))</f>
        <v>Senior Level</v>
      </c>
      <c r="N737" s="1">
        <f>AVERAGE(Table1[[#This Row],[Interview Score]:[Personality Score]])</f>
        <v>65.666666666666671</v>
      </c>
      <c r="O7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37" s="2" t="str">
        <f t="shared" si="11"/>
        <v>0-10</v>
      </c>
    </row>
    <row r="738" spans="1:16" x14ac:dyDescent="0.25">
      <c r="A738">
        <v>44</v>
      </c>
      <c r="B738" s="2">
        <v>0</v>
      </c>
      <c r="C738" s="2">
        <v>1</v>
      </c>
      <c r="D738" s="2">
        <v>6</v>
      </c>
      <c r="E738" s="2">
        <v>5</v>
      </c>
      <c r="F738" s="1">
        <v>12.842473529999999</v>
      </c>
      <c r="G738" s="2">
        <v>96</v>
      </c>
      <c r="H738" s="2">
        <v>78</v>
      </c>
      <c r="I738" s="2">
        <v>69</v>
      </c>
      <c r="J738" s="2">
        <v>2</v>
      </c>
      <c r="K738" s="2">
        <v>1</v>
      </c>
      <c r="L73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38" s="2" t="str">
        <f>IF(Table1[[#This Row],[Experience Years]]&lt;=2,"Entry Level",IF(Table1[[#This Row],[Experience Years]]&lt;=7,"Mid Level",IF(Table1[[#This Row],[Experience Years]]&lt;=15,"Senior Level")))</f>
        <v>Mid Level</v>
      </c>
      <c r="N738" s="1">
        <f>AVERAGE(Table1[[#This Row],[Interview Score]:[Personality Score]])</f>
        <v>81</v>
      </c>
      <c r="O7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738" s="2" t="str">
        <f t="shared" si="11"/>
        <v>10-20</v>
      </c>
    </row>
    <row r="739" spans="1:16" x14ac:dyDescent="0.25">
      <c r="A739">
        <v>40</v>
      </c>
      <c r="B739" s="2">
        <v>1</v>
      </c>
      <c r="C739" s="2">
        <v>1</v>
      </c>
      <c r="D739" s="2">
        <v>7</v>
      </c>
      <c r="E739" s="2">
        <v>3</v>
      </c>
      <c r="F739" s="1">
        <v>9.2467013429999998</v>
      </c>
      <c r="G739" s="2">
        <v>13</v>
      </c>
      <c r="H739" s="2">
        <v>92</v>
      </c>
      <c r="I739" s="2">
        <v>87</v>
      </c>
      <c r="J739" s="2">
        <v>1</v>
      </c>
      <c r="K739" s="2">
        <v>1</v>
      </c>
      <c r="L73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39" t="str">
        <f>IF(Table1[[#This Row],[Experience Years]]&lt;=2,"Entry Level",IF(Table1[[#This Row],[Experience Years]]&lt;=7,"Mid Level",IF(Table1[[#This Row],[Experience Years]]&lt;=15,"Senior Level")))</f>
        <v>Mid Level</v>
      </c>
      <c r="N739" s="1">
        <f>AVERAGE(Table1[[#This Row],[Interview Score]:[Personality Score]])</f>
        <v>64</v>
      </c>
      <c r="O7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39" s="2" t="str">
        <f t="shared" si="11"/>
        <v>0-10</v>
      </c>
    </row>
    <row r="740" spans="1:16" x14ac:dyDescent="0.25">
      <c r="A740">
        <v>48</v>
      </c>
      <c r="B740" s="2">
        <v>1</v>
      </c>
      <c r="C740" s="2">
        <v>4</v>
      </c>
      <c r="D740" s="2">
        <v>12</v>
      </c>
      <c r="E740" s="2">
        <v>4</v>
      </c>
      <c r="F740" s="1">
        <v>7.2307531589999998</v>
      </c>
      <c r="G740" s="2">
        <v>83</v>
      </c>
      <c r="H740" s="2">
        <v>51</v>
      </c>
      <c r="I740" s="2">
        <v>96</v>
      </c>
      <c r="J740" s="2">
        <v>3</v>
      </c>
      <c r="K740" s="2">
        <v>1</v>
      </c>
      <c r="L74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40" t="str">
        <f>IF(Table1[[#This Row],[Experience Years]]&lt;=2,"Entry Level",IF(Table1[[#This Row],[Experience Years]]&lt;=7,"Mid Level",IF(Table1[[#This Row],[Experience Years]]&lt;=15,"Senior Level")))</f>
        <v>Senior Level</v>
      </c>
      <c r="N740" s="1">
        <f>AVERAGE(Table1[[#This Row],[Interview Score]:[Personality Score]])</f>
        <v>76.666666666666671</v>
      </c>
      <c r="O7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40" s="2" t="str">
        <f t="shared" si="11"/>
        <v>0-10</v>
      </c>
    </row>
    <row r="741" spans="1:16" x14ac:dyDescent="0.25">
      <c r="A741">
        <v>44</v>
      </c>
      <c r="B741" s="2">
        <v>0</v>
      </c>
      <c r="C741" s="2">
        <v>2</v>
      </c>
      <c r="D741" s="2">
        <v>5</v>
      </c>
      <c r="E741" s="2">
        <v>5</v>
      </c>
      <c r="F741" s="1">
        <v>19.294964929999999</v>
      </c>
      <c r="G741" s="2">
        <v>14</v>
      </c>
      <c r="H741" s="2">
        <v>21</v>
      </c>
      <c r="I741" s="2">
        <v>52</v>
      </c>
      <c r="J741" s="2">
        <v>3</v>
      </c>
      <c r="K741" s="2">
        <v>0</v>
      </c>
      <c r="L74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41" s="2" t="str">
        <f>IF(Table1[[#This Row],[Experience Years]]&lt;=2,"Entry Level",IF(Table1[[#This Row],[Experience Years]]&lt;=7,"Mid Level",IF(Table1[[#This Row],[Experience Years]]&lt;=15,"Senior Level")))</f>
        <v>Mid Level</v>
      </c>
      <c r="N741" s="1">
        <f>AVERAGE(Table1[[#This Row],[Interview Score]:[Personality Score]])</f>
        <v>29</v>
      </c>
      <c r="O7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41" s="2" t="str">
        <f t="shared" si="11"/>
        <v>10-20</v>
      </c>
    </row>
    <row r="742" spans="1:16" x14ac:dyDescent="0.25">
      <c r="A742">
        <v>23</v>
      </c>
      <c r="B742" s="2">
        <v>1</v>
      </c>
      <c r="C742" s="2">
        <v>3</v>
      </c>
      <c r="D742" s="2">
        <v>1</v>
      </c>
      <c r="E742" s="2">
        <v>5</v>
      </c>
      <c r="F742" s="1">
        <v>12.469675110000001</v>
      </c>
      <c r="G742" s="2">
        <v>95</v>
      </c>
      <c r="H742" s="2">
        <v>3</v>
      </c>
      <c r="I742" s="2">
        <v>50</v>
      </c>
      <c r="J742" s="2">
        <v>2</v>
      </c>
      <c r="K742" s="2">
        <v>0</v>
      </c>
      <c r="L74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42" t="str">
        <f>IF(Table1[[#This Row],[Experience Years]]&lt;=2,"Entry Level",IF(Table1[[#This Row],[Experience Years]]&lt;=7,"Mid Level",IF(Table1[[#This Row],[Experience Years]]&lt;=15,"Senior Level")))</f>
        <v>Entry Level</v>
      </c>
      <c r="N742" s="1">
        <f>AVERAGE(Table1[[#This Row],[Interview Score]:[Personality Score]])</f>
        <v>49.333333333333336</v>
      </c>
      <c r="O7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42" s="2" t="str">
        <f t="shared" si="11"/>
        <v>10-20</v>
      </c>
    </row>
    <row r="743" spans="1:16" x14ac:dyDescent="0.25">
      <c r="A743">
        <v>29</v>
      </c>
      <c r="B743" s="2">
        <v>1</v>
      </c>
      <c r="C743" s="2">
        <v>2</v>
      </c>
      <c r="D743" s="2">
        <v>1</v>
      </c>
      <c r="E743" s="2">
        <v>3</v>
      </c>
      <c r="F743" s="1">
        <v>11.915155589999999</v>
      </c>
      <c r="G743" s="2">
        <v>32</v>
      </c>
      <c r="H743" s="2">
        <v>5</v>
      </c>
      <c r="I743" s="2">
        <v>75</v>
      </c>
      <c r="J743" s="2">
        <v>2</v>
      </c>
      <c r="K743" s="2">
        <v>0</v>
      </c>
      <c r="L74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43" t="str">
        <f>IF(Table1[[#This Row],[Experience Years]]&lt;=2,"Entry Level",IF(Table1[[#This Row],[Experience Years]]&lt;=7,"Mid Level",IF(Table1[[#This Row],[Experience Years]]&lt;=15,"Senior Level")))</f>
        <v>Entry Level</v>
      </c>
      <c r="N743" s="1">
        <f>AVERAGE(Table1[[#This Row],[Interview Score]:[Personality Score]])</f>
        <v>37.333333333333336</v>
      </c>
      <c r="O7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43" s="2" t="str">
        <f t="shared" si="11"/>
        <v>10-20</v>
      </c>
    </row>
    <row r="744" spans="1:16" x14ac:dyDescent="0.25">
      <c r="A744">
        <v>24</v>
      </c>
      <c r="B744" s="2">
        <v>1</v>
      </c>
      <c r="C744" s="2">
        <v>2</v>
      </c>
      <c r="D744" s="2">
        <v>7</v>
      </c>
      <c r="E744" s="2">
        <v>3</v>
      </c>
      <c r="F744" s="1">
        <v>3.734658729</v>
      </c>
      <c r="G744" s="2">
        <v>16</v>
      </c>
      <c r="H744" s="2">
        <v>37</v>
      </c>
      <c r="I744" s="2">
        <v>55</v>
      </c>
      <c r="J744" s="2">
        <v>1</v>
      </c>
      <c r="K744" s="2">
        <v>0</v>
      </c>
      <c r="L74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44" t="str">
        <f>IF(Table1[[#This Row],[Experience Years]]&lt;=2,"Entry Level",IF(Table1[[#This Row],[Experience Years]]&lt;=7,"Mid Level",IF(Table1[[#This Row],[Experience Years]]&lt;=15,"Senior Level")))</f>
        <v>Mid Level</v>
      </c>
      <c r="N744" s="1">
        <f>AVERAGE(Table1[[#This Row],[Interview Score]:[Personality Score]])</f>
        <v>36</v>
      </c>
      <c r="O7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44" s="2" t="str">
        <f t="shared" si="11"/>
        <v>0-10</v>
      </c>
    </row>
    <row r="745" spans="1:16" x14ac:dyDescent="0.25">
      <c r="A745">
        <v>28</v>
      </c>
      <c r="B745" s="2">
        <v>0</v>
      </c>
      <c r="C745" s="2">
        <v>1</v>
      </c>
      <c r="D745" s="2">
        <v>10</v>
      </c>
      <c r="E745" s="2">
        <v>2</v>
      </c>
      <c r="F745" s="1">
        <v>1.8835022400000001</v>
      </c>
      <c r="G745" s="2">
        <v>23</v>
      </c>
      <c r="H745" s="2">
        <v>25</v>
      </c>
      <c r="I745" s="2">
        <v>26</v>
      </c>
      <c r="J745" s="2">
        <v>2</v>
      </c>
      <c r="K745" s="2">
        <v>0</v>
      </c>
      <c r="L74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45" s="2" t="str">
        <f>IF(Table1[[#This Row],[Experience Years]]&lt;=2,"Entry Level",IF(Table1[[#This Row],[Experience Years]]&lt;=7,"Mid Level",IF(Table1[[#This Row],[Experience Years]]&lt;=15,"Senior Level")))</f>
        <v>Senior Level</v>
      </c>
      <c r="N745" s="1">
        <f>AVERAGE(Table1[[#This Row],[Interview Score]:[Personality Score]])</f>
        <v>24.666666666666668</v>
      </c>
      <c r="O7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45" s="2" t="str">
        <f t="shared" si="11"/>
        <v>0-10</v>
      </c>
    </row>
    <row r="746" spans="1:16" x14ac:dyDescent="0.25">
      <c r="A746">
        <v>43</v>
      </c>
      <c r="B746" s="2">
        <v>0</v>
      </c>
      <c r="C746" s="2">
        <v>2</v>
      </c>
      <c r="D746" s="2">
        <v>0</v>
      </c>
      <c r="E746" s="2">
        <v>4</v>
      </c>
      <c r="F746" s="1">
        <v>6.138412132</v>
      </c>
      <c r="G746" s="2">
        <v>29</v>
      </c>
      <c r="H746" s="2">
        <v>10</v>
      </c>
      <c r="I746" s="2">
        <v>37</v>
      </c>
      <c r="J746" s="2">
        <v>2</v>
      </c>
      <c r="K746" s="2">
        <v>0</v>
      </c>
      <c r="L74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46" s="2" t="str">
        <f>IF(Table1[[#This Row],[Experience Years]]&lt;=2,"Entry Level",IF(Table1[[#This Row],[Experience Years]]&lt;=7,"Mid Level",IF(Table1[[#This Row],[Experience Years]]&lt;=15,"Senior Level")))</f>
        <v>Entry Level</v>
      </c>
      <c r="N746" s="1">
        <f>AVERAGE(Table1[[#This Row],[Interview Score]:[Personality Score]])</f>
        <v>25.333333333333332</v>
      </c>
      <c r="O7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46" s="2" t="str">
        <f t="shared" si="11"/>
        <v>0-10</v>
      </c>
    </row>
    <row r="747" spans="1:16" x14ac:dyDescent="0.25">
      <c r="A747">
        <v>22</v>
      </c>
      <c r="B747" s="2">
        <v>0</v>
      </c>
      <c r="C747" s="2">
        <v>3</v>
      </c>
      <c r="D747" s="2">
        <v>5</v>
      </c>
      <c r="E747" s="2">
        <v>4</v>
      </c>
      <c r="F747" s="1">
        <v>9.6098739710000007</v>
      </c>
      <c r="G747" s="2">
        <v>61</v>
      </c>
      <c r="H747" s="2">
        <v>89</v>
      </c>
      <c r="I747" s="2">
        <v>61</v>
      </c>
      <c r="J747" s="2">
        <v>2</v>
      </c>
      <c r="K747" s="2">
        <v>0</v>
      </c>
      <c r="L74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47" s="2" t="str">
        <f>IF(Table1[[#This Row],[Experience Years]]&lt;=2,"Entry Level",IF(Table1[[#This Row],[Experience Years]]&lt;=7,"Mid Level",IF(Table1[[#This Row],[Experience Years]]&lt;=15,"Senior Level")))</f>
        <v>Mid Level</v>
      </c>
      <c r="N747" s="1">
        <f>AVERAGE(Table1[[#This Row],[Interview Score]:[Personality Score]])</f>
        <v>70.333333333333329</v>
      </c>
      <c r="O7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47" s="2" t="str">
        <f t="shared" si="11"/>
        <v>0-10</v>
      </c>
    </row>
    <row r="748" spans="1:16" x14ac:dyDescent="0.25">
      <c r="A748">
        <v>36</v>
      </c>
      <c r="B748" s="2">
        <v>1</v>
      </c>
      <c r="C748" s="2">
        <v>4</v>
      </c>
      <c r="D748" s="2">
        <v>12</v>
      </c>
      <c r="E748" s="2">
        <v>3</v>
      </c>
      <c r="F748" s="1">
        <v>22.54918644</v>
      </c>
      <c r="G748" s="2">
        <v>12</v>
      </c>
      <c r="H748" s="2">
        <v>16</v>
      </c>
      <c r="I748" s="2">
        <v>17</v>
      </c>
      <c r="J748" s="2">
        <v>1</v>
      </c>
      <c r="K748" s="2">
        <v>1</v>
      </c>
      <c r="L74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48" t="str">
        <f>IF(Table1[[#This Row],[Experience Years]]&lt;=2,"Entry Level",IF(Table1[[#This Row],[Experience Years]]&lt;=7,"Mid Level",IF(Table1[[#This Row],[Experience Years]]&lt;=15,"Senior Level")))</f>
        <v>Senior Level</v>
      </c>
      <c r="N748" s="1">
        <f>AVERAGE(Table1[[#This Row],[Interview Score]:[Personality Score]])</f>
        <v>15</v>
      </c>
      <c r="O7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48" s="2" t="str">
        <f t="shared" si="11"/>
        <v>20-30</v>
      </c>
    </row>
    <row r="749" spans="1:16" x14ac:dyDescent="0.25">
      <c r="A749">
        <v>22</v>
      </c>
      <c r="B749" s="2">
        <v>0</v>
      </c>
      <c r="C749" s="2">
        <v>2</v>
      </c>
      <c r="D749" s="2">
        <v>15</v>
      </c>
      <c r="E749" s="2">
        <v>5</v>
      </c>
      <c r="F749" s="1">
        <v>26.52601306</v>
      </c>
      <c r="G749" s="2">
        <v>61</v>
      </c>
      <c r="H749" s="2">
        <v>87</v>
      </c>
      <c r="I749" s="2">
        <v>63</v>
      </c>
      <c r="J749" s="2">
        <v>3</v>
      </c>
      <c r="K749" s="2">
        <v>0</v>
      </c>
      <c r="L74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49" s="2" t="str">
        <f>IF(Table1[[#This Row],[Experience Years]]&lt;=2,"Entry Level",IF(Table1[[#This Row],[Experience Years]]&lt;=7,"Mid Level",IF(Table1[[#This Row],[Experience Years]]&lt;=15,"Senior Level")))</f>
        <v>Senior Level</v>
      </c>
      <c r="N749" s="1">
        <f>AVERAGE(Table1[[#This Row],[Interview Score]:[Personality Score]])</f>
        <v>70.333333333333329</v>
      </c>
      <c r="O7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49" s="2" t="str">
        <f t="shared" si="11"/>
        <v>20-30</v>
      </c>
    </row>
    <row r="750" spans="1:16" x14ac:dyDescent="0.25">
      <c r="A750">
        <v>35</v>
      </c>
      <c r="B750" s="2">
        <v>0</v>
      </c>
      <c r="C750" s="2">
        <v>2</v>
      </c>
      <c r="D750" s="2">
        <v>5</v>
      </c>
      <c r="E750" s="2">
        <v>3</v>
      </c>
      <c r="F750" s="1">
        <v>8.0295959089999993</v>
      </c>
      <c r="G750" s="2">
        <v>46</v>
      </c>
      <c r="H750" s="2">
        <v>91</v>
      </c>
      <c r="I750" s="2">
        <v>76</v>
      </c>
      <c r="J750" s="2">
        <v>2</v>
      </c>
      <c r="K750" s="2">
        <v>0</v>
      </c>
      <c r="L75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50" s="2" t="str">
        <f>IF(Table1[[#This Row],[Experience Years]]&lt;=2,"Entry Level",IF(Table1[[#This Row],[Experience Years]]&lt;=7,"Mid Level",IF(Table1[[#This Row],[Experience Years]]&lt;=15,"Senior Level")))</f>
        <v>Mid Level</v>
      </c>
      <c r="N750" s="1">
        <f>AVERAGE(Table1[[#This Row],[Interview Score]:[Personality Score]])</f>
        <v>71</v>
      </c>
      <c r="O7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50" s="2" t="str">
        <f t="shared" si="11"/>
        <v>0-10</v>
      </c>
    </row>
    <row r="751" spans="1:16" x14ac:dyDescent="0.25">
      <c r="A751">
        <v>23</v>
      </c>
      <c r="B751" s="2">
        <v>0</v>
      </c>
      <c r="C751" s="2">
        <v>2</v>
      </c>
      <c r="D751" s="2">
        <v>15</v>
      </c>
      <c r="E751" s="2">
        <v>5</v>
      </c>
      <c r="F751" s="1">
        <v>22.239167080000001</v>
      </c>
      <c r="G751" s="2">
        <v>15</v>
      </c>
      <c r="H751" s="2">
        <v>98</v>
      </c>
      <c r="I751" s="2">
        <v>29</v>
      </c>
      <c r="J751" s="2">
        <v>3</v>
      </c>
      <c r="K751" s="2">
        <v>0</v>
      </c>
      <c r="L75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51" s="2" t="str">
        <f>IF(Table1[[#This Row],[Experience Years]]&lt;=2,"Entry Level",IF(Table1[[#This Row],[Experience Years]]&lt;=7,"Mid Level",IF(Table1[[#This Row],[Experience Years]]&lt;=15,"Senior Level")))</f>
        <v>Senior Level</v>
      </c>
      <c r="N751" s="1">
        <f>AVERAGE(Table1[[#This Row],[Interview Score]:[Personality Score]])</f>
        <v>47.333333333333336</v>
      </c>
      <c r="O7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51" s="2" t="str">
        <f t="shared" si="11"/>
        <v>20-30</v>
      </c>
    </row>
    <row r="752" spans="1:16" x14ac:dyDescent="0.25">
      <c r="A752">
        <v>37</v>
      </c>
      <c r="B752" s="2">
        <v>0</v>
      </c>
      <c r="C752" s="2">
        <v>4</v>
      </c>
      <c r="D752" s="2">
        <v>10</v>
      </c>
      <c r="E752" s="2">
        <v>5</v>
      </c>
      <c r="F752" s="1">
        <v>18.087442119999999</v>
      </c>
      <c r="G752" s="2">
        <v>65</v>
      </c>
      <c r="H752" s="2">
        <v>30</v>
      </c>
      <c r="I752" s="2">
        <v>48</v>
      </c>
      <c r="J752" s="2">
        <v>3</v>
      </c>
      <c r="K752" s="2">
        <v>0</v>
      </c>
      <c r="L75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52" s="2" t="str">
        <f>IF(Table1[[#This Row],[Experience Years]]&lt;=2,"Entry Level",IF(Table1[[#This Row],[Experience Years]]&lt;=7,"Mid Level",IF(Table1[[#This Row],[Experience Years]]&lt;=15,"Senior Level")))</f>
        <v>Senior Level</v>
      </c>
      <c r="N752" s="1">
        <f>AVERAGE(Table1[[#This Row],[Interview Score]:[Personality Score]])</f>
        <v>47.666666666666664</v>
      </c>
      <c r="O7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52" s="2" t="str">
        <f t="shared" si="11"/>
        <v>10-20</v>
      </c>
    </row>
    <row r="753" spans="1:16" x14ac:dyDescent="0.25">
      <c r="A753">
        <v>36</v>
      </c>
      <c r="B753" s="2">
        <v>0</v>
      </c>
      <c r="C753" s="2">
        <v>2</v>
      </c>
      <c r="D753" s="2">
        <v>3</v>
      </c>
      <c r="E753" s="2">
        <v>3</v>
      </c>
      <c r="F753" s="1">
        <v>10.17118217</v>
      </c>
      <c r="G753" s="2">
        <v>80</v>
      </c>
      <c r="H753" s="2">
        <v>76</v>
      </c>
      <c r="I753" s="2">
        <v>40</v>
      </c>
      <c r="J753" s="2">
        <v>3</v>
      </c>
      <c r="K753" s="2">
        <v>0</v>
      </c>
      <c r="L75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53" s="2" t="str">
        <f>IF(Table1[[#This Row],[Experience Years]]&lt;=2,"Entry Level",IF(Table1[[#This Row],[Experience Years]]&lt;=7,"Mid Level",IF(Table1[[#This Row],[Experience Years]]&lt;=15,"Senior Level")))</f>
        <v>Mid Level</v>
      </c>
      <c r="N753" s="1">
        <f>AVERAGE(Table1[[#This Row],[Interview Score]:[Personality Score]])</f>
        <v>65.333333333333329</v>
      </c>
      <c r="O7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53" s="2" t="str">
        <f t="shared" si="11"/>
        <v>10-20</v>
      </c>
    </row>
    <row r="754" spans="1:16" x14ac:dyDescent="0.25">
      <c r="A754">
        <v>26</v>
      </c>
      <c r="B754" s="2">
        <v>0</v>
      </c>
      <c r="C754" s="2">
        <v>2</v>
      </c>
      <c r="D754" s="2">
        <v>11</v>
      </c>
      <c r="E754" s="2">
        <v>1</v>
      </c>
      <c r="F754" s="1">
        <v>1.3420374070000001</v>
      </c>
      <c r="G754" s="2">
        <v>95</v>
      </c>
      <c r="H754" s="2">
        <v>34</v>
      </c>
      <c r="I754" s="2">
        <v>12</v>
      </c>
      <c r="J754" s="2">
        <v>1</v>
      </c>
      <c r="K754" s="2">
        <v>1</v>
      </c>
      <c r="L75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54" s="2" t="str">
        <f>IF(Table1[[#This Row],[Experience Years]]&lt;=2,"Entry Level",IF(Table1[[#This Row],[Experience Years]]&lt;=7,"Mid Level",IF(Table1[[#This Row],[Experience Years]]&lt;=15,"Senior Level")))</f>
        <v>Senior Level</v>
      </c>
      <c r="N754" s="1">
        <f>AVERAGE(Table1[[#This Row],[Interview Score]:[Personality Score]])</f>
        <v>47</v>
      </c>
      <c r="O7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54" s="2" t="str">
        <f t="shared" si="11"/>
        <v>0-10</v>
      </c>
    </row>
    <row r="755" spans="1:16" x14ac:dyDescent="0.25">
      <c r="A755">
        <v>43</v>
      </c>
      <c r="B755" s="2">
        <v>1</v>
      </c>
      <c r="C755" s="2">
        <v>3</v>
      </c>
      <c r="D755" s="2">
        <v>10</v>
      </c>
      <c r="E755" s="2">
        <v>4</v>
      </c>
      <c r="F755" s="1">
        <v>24.350893330000002</v>
      </c>
      <c r="G755" s="2">
        <v>42</v>
      </c>
      <c r="H755" s="2">
        <v>15</v>
      </c>
      <c r="I755" s="2">
        <v>33</v>
      </c>
      <c r="J755" s="2">
        <v>1</v>
      </c>
      <c r="K755" s="2">
        <v>1</v>
      </c>
      <c r="L75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55" t="str">
        <f>IF(Table1[[#This Row],[Experience Years]]&lt;=2,"Entry Level",IF(Table1[[#This Row],[Experience Years]]&lt;=7,"Mid Level",IF(Table1[[#This Row],[Experience Years]]&lt;=15,"Senior Level")))</f>
        <v>Senior Level</v>
      </c>
      <c r="N755" s="1">
        <f>AVERAGE(Table1[[#This Row],[Interview Score]:[Personality Score]])</f>
        <v>30</v>
      </c>
      <c r="O7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55" s="2" t="str">
        <f t="shared" si="11"/>
        <v>20-30</v>
      </c>
    </row>
    <row r="756" spans="1:16" x14ac:dyDescent="0.25">
      <c r="A756">
        <v>42</v>
      </c>
      <c r="B756" s="2">
        <v>1</v>
      </c>
      <c r="C756" s="2">
        <v>1</v>
      </c>
      <c r="D756" s="2">
        <v>12</v>
      </c>
      <c r="E756" s="2">
        <v>5</v>
      </c>
      <c r="F756" s="1">
        <v>35.282587460000002</v>
      </c>
      <c r="G756" s="2">
        <v>7</v>
      </c>
      <c r="H756" s="2">
        <v>78</v>
      </c>
      <c r="I756" s="2">
        <v>99</v>
      </c>
      <c r="J756" s="2">
        <v>2</v>
      </c>
      <c r="K756" s="2">
        <v>0</v>
      </c>
      <c r="L75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56" t="str">
        <f>IF(Table1[[#This Row],[Experience Years]]&lt;=2,"Entry Level",IF(Table1[[#This Row],[Experience Years]]&lt;=7,"Mid Level",IF(Table1[[#This Row],[Experience Years]]&lt;=15,"Senior Level")))</f>
        <v>Senior Level</v>
      </c>
      <c r="N756" s="1">
        <f>AVERAGE(Table1[[#This Row],[Interview Score]:[Personality Score]])</f>
        <v>61.333333333333336</v>
      </c>
      <c r="O7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56" s="2" t="str">
        <f t="shared" si="11"/>
        <v>30-40</v>
      </c>
    </row>
    <row r="757" spans="1:16" x14ac:dyDescent="0.25">
      <c r="A757">
        <v>49</v>
      </c>
      <c r="B757" s="2">
        <v>0</v>
      </c>
      <c r="C757" s="2">
        <v>1</v>
      </c>
      <c r="D757" s="2">
        <v>14</v>
      </c>
      <c r="E757" s="2">
        <v>5</v>
      </c>
      <c r="F757" s="1">
        <v>12.313866709999999</v>
      </c>
      <c r="G757" s="2">
        <v>2</v>
      </c>
      <c r="H757" s="2">
        <v>17</v>
      </c>
      <c r="I757" s="2">
        <v>93</v>
      </c>
      <c r="J757" s="2">
        <v>1</v>
      </c>
      <c r="K757" s="2">
        <v>1</v>
      </c>
      <c r="L75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57" s="2" t="str">
        <f>IF(Table1[[#This Row],[Experience Years]]&lt;=2,"Entry Level",IF(Table1[[#This Row],[Experience Years]]&lt;=7,"Mid Level",IF(Table1[[#This Row],[Experience Years]]&lt;=15,"Senior Level")))</f>
        <v>Senior Level</v>
      </c>
      <c r="N757" s="1">
        <f>AVERAGE(Table1[[#This Row],[Interview Score]:[Personality Score]])</f>
        <v>37.333333333333336</v>
      </c>
      <c r="O7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57" s="2" t="str">
        <f t="shared" si="11"/>
        <v>10-20</v>
      </c>
    </row>
    <row r="758" spans="1:16" x14ac:dyDescent="0.25">
      <c r="A758">
        <v>24</v>
      </c>
      <c r="B758" s="2">
        <v>0</v>
      </c>
      <c r="C758" s="2">
        <v>2</v>
      </c>
      <c r="D758" s="2">
        <v>10</v>
      </c>
      <c r="E758" s="2">
        <v>1</v>
      </c>
      <c r="F758" s="1">
        <v>7.5903414949999997</v>
      </c>
      <c r="G758" s="2">
        <v>11</v>
      </c>
      <c r="H758" s="2">
        <v>100</v>
      </c>
      <c r="I758" s="2">
        <v>24</v>
      </c>
      <c r="J758" s="2">
        <v>2</v>
      </c>
      <c r="K758" s="2">
        <v>0</v>
      </c>
      <c r="L75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58" s="2" t="str">
        <f>IF(Table1[[#This Row],[Experience Years]]&lt;=2,"Entry Level",IF(Table1[[#This Row],[Experience Years]]&lt;=7,"Mid Level",IF(Table1[[#This Row],[Experience Years]]&lt;=15,"Senior Level")))</f>
        <v>Senior Level</v>
      </c>
      <c r="N758" s="1">
        <f>AVERAGE(Table1[[#This Row],[Interview Score]:[Personality Score]])</f>
        <v>45</v>
      </c>
      <c r="O7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58" s="2" t="str">
        <f t="shared" si="11"/>
        <v>0-10</v>
      </c>
    </row>
    <row r="759" spans="1:16" x14ac:dyDescent="0.25">
      <c r="A759">
        <v>31</v>
      </c>
      <c r="B759" s="2">
        <v>1</v>
      </c>
      <c r="C759" s="2">
        <v>4</v>
      </c>
      <c r="D759" s="2">
        <v>15</v>
      </c>
      <c r="E759" s="2">
        <v>2</v>
      </c>
      <c r="F759" s="1">
        <v>45.352137220000003</v>
      </c>
      <c r="G759" s="2">
        <v>83</v>
      </c>
      <c r="H759" s="2">
        <v>61</v>
      </c>
      <c r="I759" s="2">
        <v>65</v>
      </c>
      <c r="J759" s="2">
        <v>2</v>
      </c>
      <c r="K759" s="2">
        <v>1</v>
      </c>
      <c r="L75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59" t="str">
        <f>IF(Table1[[#This Row],[Experience Years]]&lt;=2,"Entry Level",IF(Table1[[#This Row],[Experience Years]]&lt;=7,"Mid Level",IF(Table1[[#This Row],[Experience Years]]&lt;=15,"Senior Level")))</f>
        <v>Senior Level</v>
      </c>
      <c r="N759" s="1">
        <f>AVERAGE(Table1[[#This Row],[Interview Score]:[Personality Score]])</f>
        <v>69.666666666666671</v>
      </c>
      <c r="O7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59" s="2" t="str">
        <f t="shared" si="11"/>
        <v>40-50</v>
      </c>
    </row>
    <row r="760" spans="1:16" x14ac:dyDescent="0.25">
      <c r="A760">
        <v>36</v>
      </c>
      <c r="B760" s="2">
        <v>1</v>
      </c>
      <c r="C760" s="2">
        <v>2</v>
      </c>
      <c r="D760" s="2">
        <v>12</v>
      </c>
      <c r="E760" s="2">
        <v>1</v>
      </c>
      <c r="F760" s="1">
        <v>14.751238620000001</v>
      </c>
      <c r="G760" s="2">
        <v>15</v>
      </c>
      <c r="H760" s="2">
        <v>26</v>
      </c>
      <c r="I760" s="2">
        <v>99</v>
      </c>
      <c r="J760" s="2">
        <v>2</v>
      </c>
      <c r="K760" s="2">
        <v>0</v>
      </c>
      <c r="L76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60" t="str">
        <f>IF(Table1[[#This Row],[Experience Years]]&lt;=2,"Entry Level",IF(Table1[[#This Row],[Experience Years]]&lt;=7,"Mid Level",IF(Table1[[#This Row],[Experience Years]]&lt;=15,"Senior Level")))</f>
        <v>Senior Level</v>
      </c>
      <c r="N760" s="1">
        <f>AVERAGE(Table1[[#This Row],[Interview Score]:[Personality Score]])</f>
        <v>46.666666666666664</v>
      </c>
      <c r="O7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0" s="2" t="str">
        <f t="shared" si="11"/>
        <v>10-20</v>
      </c>
    </row>
    <row r="761" spans="1:16" x14ac:dyDescent="0.25">
      <c r="A761">
        <v>42</v>
      </c>
      <c r="B761" s="2">
        <v>0</v>
      </c>
      <c r="C761" s="2">
        <v>2</v>
      </c>
      <c r="D761" s="2">
        <v>9</v>
      </c>
      <c r="E761" s="2">
        <v>1</v>
      </c>
      <c r="F761" s="1">
        <v>12.180630989999999</v>
      </c>
      <c r="G761" s="2">
        <v>77</v>
      </c>
      <c r="H761" s="2">
        <v>34</v>
      </c>
      <c r="I761" s="2">
        <v>17</v>
      </c>
      <c r="J761" s="2">
        <v>1</v>
      </c>
      <c r="K761" s="2">
        <v>1</v>
      </c>
      <c r="L76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61" s="2" t="str">
        <f>IF(Table1[[#This Row],[Experience Years]]&lt;=2,"Entry Level",IF(Table1[[#This Row],[Experience Years]]&lt;=7,"Mid Level",IF(Table1[[#This Row],[Experience Years]]&lt;=15,"Senior Level")))</f>
        <v>Senior Level</v>
      </c>
      <c r="N761" s="1">
        <f>AVERAGE(Table1[[#This Row],[Interview Score]:[Personality Score]])</f>
        <v>42.666666666666664</v>
      </c>
      <c r="O7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1" s="2" t="str">
        <f t="shared" si="11"/>
        <v>10-20</v>
      </c>
    </row>
    <row r="762" spans="1:16" x14ac:dyDescent="0.25">
      <c r="A762">
        <v>32</v>
      </c>
      <c r="B762" s="2">
        <v>0</v>
      </c>
      <c r="C762" s="2">
        <v>2</v>
      </c>
      <c r="D762" s="2">
        <v>2</v>
      </c>
      <c r="E762" s="2">
        <v>5</v>
      </c>
      <c r="F762" s="1">
        <v>43.854846979999998</v>
      </c>
      <c r="G762" s="2">
        <v>79</v>
      </c>
      <c r="H762" s="2">
        <v>44</v>
      </c>
      <c r="I762" s="2">
        <v>4</v>
      </c>
      <c r="J762" s="2">
        <v>3</v>
      </c>
      <c r="K762" s="2">
        <v>0</v>
      </c>
      <c r="L76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62" s="2" t="str">
        <f>IF(Table1[[#This Row],[Experience Years]]&lt;=2,"Entry Level",IF(Table1[[#This Row],[Experience Years]]&lt;=7,"Mid Level",IF(Table1[[#This Row],[Experience Years]]&lt;=15,"Senior Level")))</f>
        <v>Entry Level</v>
      </c>
      <c r="N762" s="1">
        <f>AVERAGE(Table1[[#This Row],[Interview Score]:[Personality Score]])</f>
        <v>42.333333333333336</v>
      </c>
      <c r="O7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2" s="2" t="str">
        <f t="shared" si="11"/>
        <v>40-50</v>
      </c>
    </row>
    <row r="763" spans="1:16" x14ac:dyDescent="0.25">
      <c r="A763">
        <v>42</v>
      </c>
      <c r="B763" s="2">
        <v>0</v>
      </c>
      <c r="C763" s="2">
        <v>2</v>
      </c>
      <c r="D763" s="2">
        <v>12</v>
      </c>
      <c r="E763" s="2">
        <v>4</v>
      </c>
      <c r="F763" s="1">
        <v>41.85535496</v>
      </c>
      <c r="G763" s="2">
        <v>58</v>
      </c>
      <c r="H763" s="2">
        <v>34</v>
      </c>
      <c r="I763" s="2">
        <v>18</v>
      </c>
      <c r="J763" s="2">
        <v>1</v>
      </c>
      <c r="K763" s="2">
        <v>0</v>
      </c>
      <c r="L76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63" s="2" t="str">
        <f>IF(Table1[[#This Row],[Experience Years]]&lt;=2,"Entry Level",IF(Table1[[#This Row],[Experience Years]]&lt;=7,"Mid Level",IF(Table1[[#This Row],[Experience Years]]&lt;=15,"Senior Level")))</f>
        <v>Senior Level</v>
      </c>
      <c r="N763" s="1">
        <f>AVERAGE(Table1[[#This Row],[Interview Score]:[Personality Score]])</f>
        <v>36.666666666666664</v>
      </c>
      <c r="O7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3" s="2" t="str">
        <f t="shared" si="11"/>
        <v>40-50</v>
      </c>
    </row>
    <row r="764" spans="1:16" x14ac:dyDescent="0.25">
      <c r="A764">
        <v>44</v>
      </c>
      <c r="B764" s="2">
        <v>0</v>
      </c>
      <c r="C764" s="2">
        <v>2</v>
      </c>
      <c r="D764" s="2">
        <v>10</v>
      </c>
      <c r="E764" s="2">
        <v>1</v>
      </c>
      <c r="F764" s="1">
        <v>23.417323530000001</v>
      </c>
      <c r="G764" s="2">
        <v>48</v>
      </c>
      <c r="H764" s="2">
        <v>27</v>
      </c>
      <c r="I764" s="2">
        <v>41</v>
      </c>
      <c r="J764" s="2">
        <v>2</v>
      </c>
      <c r="K764" s="2">
        <v>0</v>
      </c>
      <c r="L76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64" s="2" t="str">
        <f>IF(Table1[[#This Row],[Experience Years]]&lt;=2,"Entry Level",IF(Table1[[#This Row],[Experience Years]]&lt;=7,"Mid Level",IF(Table1[[#This Row],[Experience Years]]&lt;=15,"Senior Level")))</f>
        <v>Senior Level</v>
      </c>
      <c r="N764" s="1">
        <f>AVERAGE(Table1[[#This Row],[Interview Score]:[Personality Score]])</f>
        <v>38.666666666666664</v>
      </c>
      <c r="O7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4" s="2" t="str">
        <f t="shared" si="11"/>
        <v>20-30</v>
      </c>
    </row>
    <row r="765" spans="1:16" x14ac:dyDescent="0.25">
      <c r="A765">
        <v>22</v>
      </c>
      <c r="B765" s="2">
        <v>1</v>
      </c>
      <c r="C765" s="2">
        <v>2</v>
      </c>
      <c r="D765" s="2">
        <v>2</v>
      </c>
      <c r="E765" s="2">
        <v>2</v>
      </c>
      <c r="F765" s="1">
        <v>25.46194307</v>
      </c>
      <c r="G765" s="2">
        <v>62</v>
      </c>
      <c r="H765" s="2">
        <v>8</v>
      </c>
      <c r="I765" s="2">
        <v>17</v>
      </c>
      <c r="J765" s="2">
        <v>2</v>
      </c>
      <c r="K765" s="2">
        <v>0</v>
      </c>
      <c r="L76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65" t="str">
        <f>IF(Table1[[#This Row],[Experience Years]]&lt;=2,"Entry Level",IF(Table1[[#This Row],[Experience Years]]&lt;=7,"Mid Level",IF(Table1[[#This Row],[Experience Years]]&lt;=15,"Senior Level")))</f>
        <v>Entry Level</v>
      </c>
      <c r="N765" s="1">
        <f>AVERAGE(Table1[[#This Row],[Interview Score]:[Personality Score]])</f>
        <v>29</v>
      </c>
      <c r="O7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5" s="2" t="str">
        <f t="shared" si="11"/>
        <v>20-30</v>
      </c>
    </row>
    <row r="766" spans="1:16" x14ac:dyDescent="0.25">
      <c r="A766">
        <v>28</v>
      </c>
      <c r="B766" s="2">
        <v>0</v>
      </c>
      <c r="C766" s="2">
        <v>2</v>
      </c>
      <c r="D766" s="2">
        <v>14</v>
      </c>
      <c r="E766" s="2">
        <v>3</v>
      </c>
      <c r="F766" s="1">
        <v>11.88743524</v>
      </c>
      <c r="G766" s="2">
        <v>61</v>
      </c>
      <c r="H766" s="2">
        <v>75</v>
      </c>
      <c r="I766" s="2">
        <v>31</v>
      </c>
      <c r="J766" s="2">
        <v>2</v>
      </c>
      <c r="K766" s="2">
        <v>0</v>
      </c>
      <c r="L76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66" s="2" t="str">
        <f>IF(Table1[[#This Row],[Experience Years]]&lt;=2,"Entry Level",IF(Table1[[#This Row],[Experience Years]]&lt;=7,"Mid Level",IF(Table1[[#This Row],[Experience Years]]&lt;=15,"Senior Level")))</f>
        <v>Senior Level</v>
      </c>
      <c r="N766" s="1">
        <f>AVERAGE(Table1[[#This Row],[Interview Score]:[Personality Score]])</f>
        <v>55.666666666666664</v>
      </c>
      <c r="O7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66" s="2" t="str">
        <f t="shared" si="11"/>
        <v>10-20</v>
      </c>
    </row>
    <row r="767" spans="1:16" x14ac:dyDescent="0.25">
      <c r="A767">
        <v>49</v>
      </c>
      <c r="B767" s="2">
        <v>0</v>
      </c>
      <c r="C767" s="2">
        <v>2</v>
      </c>
      <c r="D767" s="2">
        <v>14</v>
      </c>
      <c r="E767" s="2">
        <v>1</v>
      </c>
      <c r="F767" s="1">
        <v>4.9150835239999999</v>
      </c>
      <c r="G767" s="2">
        <v>48</v>
      </c>
      <c r="H767" s="2">
        <v>14</v>
      </c>
      <c r="I767" s="2">
        <v>20</v>
      </c>
      <c r="J767" s="2">
        <v>2</v>
      </c>
      <c r="K767" s="2">
        <v>0</v>
      </c>
      <c r="L76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67" s="2" t="str">
        <f>IF(Table1[[#This Row],[Experience Years]]&lt;=2,"Entry Level",IF(Table1[[#This Row],[Experience Years]]&lt;=7,"Mid Level",IF(Table1[[#This Row],[Experience Years]]&lt;=15,"Senior Level")))</f>
        <v>Senior Level</v>
      </c>
      <c r="N767" s="1">
        <f>AVERAGE(Table1[[#This Row],[Interview Score]:[Personality Score]])</f>
        <v>27.333333333333332</v>
      </c>
      <c r="O7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7" s="2" t="str">
        <f t="shared" si="11"/>
        <v>0-10</v>
      </c>
    </row>
    <row r="768" spans="1:16" x14ac:dyDescent="0.25">
      <c r="A768">
        <v>36</v>
      </c>
      <c r="B768" s="2">
        <v>0</v>
      </c>
      <c r="C768" s="2">
        <v>2</v>
      </c>
      <c r="D768" s="2">
        <v>15</v>
      </c>
      <c r="E768" s="2">
        <v>1</v>
      </c>
      <c r="F768" s="1">
        <v>29.67159127</v>
      </c>
      <c r="G768" s="2">
        <v>50</v>
      </c>
      <c r="H768" s="2">
        <v>20</v>
      </c>
      <c r="I768" s="2">
        <v>9</v>
      </c>
      <c r="J768" s="2">
        <v>1</v>
      </c>
      <c r="K768" s="2">
        <v>0</v>
      </c>
      <c r="L76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68" s="2" t="str">
        <f>IF(Table1[[#This Row],[Experience Years]]&lt;=2,"Entry Level",IF(Table1[[#This Row],[Experience Years]]&lt;=7,"Mid Level",IF(Table1[[#This Row],[Experience Years]]&lt;=15,"Senior Level")))</f>
        <v>Senior Level</v>
      </c>
      <c r="N768" s="1">
        <f>AVERAGE(Table1[[#This Row],[Interview Score]:[Personality Score]])</f>
        <v>26.333333333333332</v>
      </c>
      <c r="O7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8" s="2" t="str">
        <f t="shared" si="11"/>
        <v>20-30</v>
      </c>
    </row>
    <row r="769" spans="1:16" x14ac:dyDescent="0.25">
      <c r="A769">
        <v>36</v>
      </c>
      <c r="B769" s="2">
        <v>0</v>
      </c>
      <c r="C769" s="2">
        <v>2</v>
      </c>
      <c r="D769" s="2">
        <v>12</v>
      </c>
      <c r="E769" s="2">
        <v>2</v>
      </c>
      <c r="F769" s="1">
        <v>5.91724608</v>
      </c>
      <c r="G769" s="2">
        <v>32</v>
      </c>
      <c r="H769" s="2">
        <v>51</v>
      </c>
      <c r="I769" s="2">
        <v>36</v>
      </c>
      <c r="J769" s="2">
        <v>2</v>
      </c>
      <c r="K769" s="2">
        <v>0</v>
      </c>
      <c r="L76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69" s="2" t="str">
        <f>IF(Table1[[#This Row],[Experience Years]]&lt;=2,"Entry Level",IF(Table1[[#This Row],[Experience Years]]&lt;=7,"Mid Level",IF(Table1[[#This Row],[Experience Years]]&lt;=15,"Senior Level")))</f>
        <v>Senior Level</v>
      </c>
      <c r="N769" s="1">
        <f>AVERAGE(Table1[[#This Row],[Interview Score]:[Personality Score]])</f>
        <v>39.666666666666664</v>
      </c>
      <c r="O7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69" s="2" t="str">
        <f t="shared" si="11"/>
        <v>0-10</v>
      </c>
    </row>
    <row r="770" spans="1:16" x14ac:dyDescent="0.25">
      <c r="A770">
        <v>49</v>
      </c>
      <c r="B770" s="2">
        <v>1</v>
      </c>
      <c r="C770" s="2">
        <v>3</v>
      </c>
      <c r="D770" s="2">
        <v>12</v>
      </c>
      <c r="E770" s="2">
        <v>4</v>
      </c>
      <c r="F770" s="1">
        <v>23.463727349999999</v>
      </c>
      <c r="G770" s="2">
        <v>29</v>
      </c>
      <c r="H770" s="2">
        <v>34</v>
      </c>
      <c r="I770" s="2">
        <v>48</v>
      </c>
      <c r="J770" s="2">
        <v>1</v>
      </c>
      <c r="K770" s="2">
        <v>1</v>
      </c>
      <c r="L77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70" t="str">
        <f>IF(Table1[[#This Row],[Experience Years]]&lt;=2,"Entry Level",IF(Table1[[#This Row],[Experience Years]]&lt;=7,"Mid Level",IF(Table1[[#This Row],[Experience Years]]&lt;=15,"Senior Level")))</f>
        <v>Senior Level</v>
      </c>
      <c r="N770" s="1">
        <f>AVERAGE(Table1[[#This Row],[Interview Score]:[Personality Score]])</f>
        <v>37</v>
      </c>
      <c r="O7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70" s="2" t="str">
        <f t="shared" ref="P770:P833" si="12">IF(F770&lt;10,"0-10",IF(F770&lt;20,"10-20",IF(F770&lt;30,"20-30",IF(F770&lt;40,"30-40",IF(F770&lt;50,"40-50","50+")))))</f>
        <v>20-30</v>
      </c>
    </row>
    <row r="771" spans="1:16" x14ac:dyDescent="0.25">
      <c r="A771">
        <v>39</v>
      </c>
      <c r="B771" s="2">
        <v>1</v>
      </c>
      <c r="C771" s="2">
        <v>1</v>
      </c>
      <c r="D771" s="2">
        <v>0</v>
      </c>
      <c r="E771" s="2">
        <v>1</v>
      </c>
      <c r="F771" s="1">
        <v>48.024859929999998</v>
      </c>
      <c r="G771" s="2">
        <v>58</v>
      </c>
      <c r="H771" s="2">
        <v>96</v>
      </c>
      <c r="I771" s="2">
        <v>85</v>
      </c>
      <c r="J771" s="2">
        <v>1</v>
      </c>
      <c r="K771" s="2">
        <v>1</v>
      </c>
      <c r="L77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71" t="str">
        <f>IF(Table1[[#This Row],[Experience Years]]&lt;=2,"Entry Level",IF(Table1[[#This Row],[Experience Years]]&lt;=7,"Mid Level",IF(Table1[[#This Row],[Experience Years]]&lt;=15,"Senior Level")))</f>
        <v>Entry Level</v>
      </c>
      <c r="N771" s="1">
        <f>AVERAGE(Table1[[#This Row],[Interview Score]:[Personality Score]])</f>
        <v>79.666666666666671</v>
      </c>
      <c r="O7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71" s="2" t="str">
        <f t="shared" si="12"/>
        <v>40-50</v>
      </c>
    </row>
    <row r="772" spans="1:16" x14ac:dyDescent="0.25">
      <c r="A772">
        <v>35</v>
      </c>
      <c r="B772" s="2">
        <v>1</v>
      </c>
      <c r="C772" s="2">
        <v>3</v>
      </c>
      <c r="D772" s="2">
        <v>2</v>
      </c>
      <c r="E772" s="2">
        <v>1</v>
      </c>
      <c r="F772" s="1">
        <v>48.641719459999997</v>
      </c>
      <c r="G772" s="2">
        <v>75</v>
      </c>
      <c r="H772" s="2">
        <v>50</v>
      </c>
      <c r="I772" s="2">
        <v>12</v>
      </c>
      <c r="J772" s="2">
        <v>2</v>
      </c>
      <c r="K772" s="2">
        <v>0</v>
      </c>
      <c r="L77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72" t="str">
        <f>IF(Table1[[#This Row],[Experience Years]]&lt;=2,"Entry Level",IF(Table1[[#This Row],[Experience Years]]&lt;=7,"Mid Level",IF(Table1[[#This Row],[Experience Years]]&lt;=15,"Senior Level")))</f>
        <v>Entry Level</v>
      </c>
      <c r="N772" s="1">
        <f>AVERAGE(Table1[[#This Row],[Interview Score]:[Personality Score]])</f>
        <v>45.666666666666664</v>
      </c>
      <c r="O7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72" s="2" t="str">
        <f t="shared" si="12"/>
        <v>40-50</v>
      </c>
    </row>
    <row r="773" spans="1:16" x14ac:dyDescent="0.25">
      <c r="A773">
        <v>44</v>
      </c>
      <c r="B773" s="2">
        <v>0</v>
      </c>
      <c r="C773" s="2">
        <v>3</v>
      </c>
      <c r="D773" s="2">
        <v>3</v>
      </c>
      <c r="E773" s="2">
        <v>4</v>
      </c>
      <c r="F773" s="1">
        <v>12.966614330000001</v>
      </c>
      <c r="G773" s="2">
        <v>14</v>
      </c>
      <c r="H773" s="2">
        <v>82</v>
      </c>
      <c r="I773" s="2">
        <v>54</v>
      </c>
      <c r="J773" s="2">
        <v>2</v>
      </c>
      <c r="K773" s="2">
        <v>0</v>
      </c>
      <c r="L77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73" s="2" t="str">
        <f>IF(Table1[[#This Row],[Experience Years]]&lt;=2,"Entry Level",IF(Table1[[#This Row],[Experience Years]]&lt;=7,"Mid Level",IF(Table1[[#This Row],[Experience Years]]&lt;=15,"Senior Level")))</f>
        <v>Mid Level</v>
      </c>
      <c r="N773" s="1">
        <f>AVERAGE(Table1[[#This Row],[Interview Score]:[Personality Score]])</f>
        <v>50</v>
      </c>
      <c r="O7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73" s="2" t="str">
        <f t="shared" si="12"/>
        <v>10-20</v>
      </c>
    </row>
    <row r="774" spans="1:16" x14ac:dyDescent="0.25">
      <c r="A774">
        <v>41</v>
      </c>
      <c r="B774" s="2">
        <v>0</v>
      </c>
      <c r="C774" s="2">
        <v>2</v>
      </c>
      <c r="D774" s="2">
        <v>10</v>
      </c>
      <c r="E774" s="2">
        <v>2</v>
      </c>
      <c r="F774" s="1">
        <v>32.205671000000002</v>
      </c>
      <c r="G774" s="2">
        <v>81</v>
      </c>
      <c r="H774" s="2">
        <v>54</v>
      </c>
      <c r="I774" s="2">
        <v>16</v>
      </c>
      <c r="J774" s="2">
        <v>2</v>
      </c>
      <c r="K774" s="2">
        <v>0</v>
      </c>
      <c r="L77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74" s="2" t="str">
        <f>IF(Table1[[#This Row],[Experience Years]]&lt;=2,"Entry Level",IF(Table1[[#This Row],[Experience Years]]&lt;=7,"Mid Level",IF(Table1[[#This Row],[Experience Years]]&lt;=15,"Senior Level")))</f>
        <v>Senior Level</v>
      </c>
      <c r="N774" s="1">
        <f>AVERAGE(Table1[[#This Row],[Interview Score]:[Personality Score]])</f>
        <v>50.333333333333336</v>
      </c>
      <c r="O7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74" s="2" t="str">
        <f t="shared" si="12"/>
        <v>30-40</v>
      </c>
    </row>
    <row r="775" spans="1:16" x14ac:dyDescent="0.25">
      <c r="A775">
        <v>32</v>
      </c>
      <c r="B775" s="2">
        <v>1</v>
      </c>
      <c r="C775" s="2">
        <v>2</v>
      </c>
      <c r="D775" s="2">
        <v>10</v>
      </c>
      <c r="E775" s="2">
        <v>1</v>
      </c>
      <c r="F775" s="1">
        <v>24.70381321</v>
      </c>
      <c r="G775" s="2">
        <v>91</v>
      </c>
      <c r="H775" s="2">
        <v>86</v>
      </c>
      <c r="I775" s="2">
        <v>8</v>
      </c>
      <c r="J775" s="2">
        <v>2</v>
      </c>
      <c r="K775" s="2">
        <v>0</v>
      </c>
      <c r="L77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75" t="str">
        <f>IF(Table1[[#This Row],[Experience Years]]&lt;=2,"Entry Level",IF(Table1[[#This Row],[Experience Years]]&lt;=7,"Mid Level",IF(Table1[[#This Row],[Experience Years]]&lt;=15,"Senior Level")))</f>
        <v>Senior Level</v>
      </c>
      <c r="N775" s="1">
        <f>AVERAGE(Table1[[#This Row],[Interview Score]:[Personality Score]])</f>
        <v>61.666666666666664</v>
      </c>
      <c r="O7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75" s="2" t="str">
        <f t="shared" si="12"/>
        <v>20-30</v>
      </c>
    </row>
    <row r="776" spans="1:16" x14ac:dyDescent="0.25">
      <c r="A776">
        <v>46</v>
      </c>
      <c r="B776" s="2">
        <v>0</v>
      </c>
      <c r="C776" s="2">
        <v>2</v>
      </c>
      <c r="D776" s="2">
        <v>4</v>
      </c>
      <c r="E776" s="2">
        <v>4</v>
      </c>
      <c r="F776" s="1">
        <v>44.784256380000002</v>
      </c>
      <c r="G776" s="2">
        <v>22</v>
      </c>
      <c r="H776" s="2">
        <v>76</v>
      </c>
      <c r="I776" s="2">
        <v>87</v>
      </c>
      <c r="J776" s="2">
        <v>3</v>
      </c>
      <c r="K776" s="2">
        <v>0</v>
      </c>
      <c r="L77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76" s="2" t="str">
        <f>IF(Table1[[#This Row],[Experience Years]]&lt;=2,"Entry Level",IF(Table1[[#This Row],[Experience Years]]&lt;=7,"Mid Level",IF(Table1[[#This Row],[Experience Years]]&lt;=15,"Senior Level")))</f>
        <v>Mid Level</v>
      </c>
      <c r="N776" s="1">
        <f>AVERAGE(Table1[[#This Row],[Interview Score]:[Personality Score]])</f>
        <v>61.666666666666664</v>
      </c>
      <c r="O7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76" s="2" t="str">
        <f t="shared" si="12"/>
        <v>40-50</v>
      </c>
    </row>
    <row r="777" spans="1:16" x14ac:dyDescent="0.25">
      <c r="A777">
        <v>38</v>
      </c>
      <c r="B777" s="2">
        <v>0</v>
      </c>
      <c r="C777" s="2">
        <v>2</v>
      </c>
      <c r="D777" s="2">
        <v>2</v>
      </c>
      <c r="E777" s="2">
        <v>1</v>
      </c>
      <c r="F777" s="1">
        <v>14.57154321</v>
      </c>
      <c r="G777" s="2">
        <v>77</v>
      </c>
      <c r="H777" s="2">
        <v>43</v>
      </c>
      <c r="I777" s="2">
        <v>43</v>
      </c>
      <c r="J777" s="2">
        <v>3</v>
      </c>
      <c r="K777" s="2">
        <v>0</v>
      </c>
      <c r="L77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77" s="2" t="str">
        <f>IF(Table1[[#This Row],[Experience Years]]&lt;=2,"Entry Level",IF(Table1[[#This Row],[Experience Years]]&lt;=7,"Mid Level",IF(Table1[[#This Row],[Experience Years]]&lt;=15,"Senior Level")))</f>
        <v>Entry Level</v>
      </c>
      <c r="N777" s="1">
        <f>AVERAGE(Table1[[#This Row],[Interview Score]:[Personality Score]])</f>
        <v>54.333333333333336</v>
      </c>
      <c r="O7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77" s="2" t="str">
        <f t="shared" si="12"/>
        <v>10-20</v>
      </c>
    </row>
    <row r="778" spans="1:16" x14ac:dyDescent="0.25">
      <c r="A778">
        <v>36</v>
      </c>
      <c r="B778" s="2">
        <v>1</v>
      </c>
      <c r="C778" s="2">
        <v>2</v>
      </c>
      <c r="D778" s="2">
        <v>5</v>
      </c>
      <c r="E778" s="2">
        <v>3</v>
      </c>
      <c r="F778" s="1">
        <v>1.185120342</v>
      </c>
      <c r="G778" s="2">
        <v>93</v>
      </c>
      <c r="H778" s="2">
        <v>64</v>
      </c>
      <c r="I778" s="2">
        <v>77</v>
      </c>
      <c r="J778" s="2">
        <v>2</v>
      </c>
      <c r="K778" s="2">
        <v>0</v>
      </c>
      <c r="L77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78" t="str">
        <f>IF(Table1[[#This Row],[Experience Years]]&lt;=2,"Entry Level",IF(Table1[[#This Row],[Experience Years]]&lt;=7,"Mid Level",IF(Table1[[#This Row],[Experience Years]]&lt;=15,"Senior Level")))</f>
        <v>Mid Level</v>
      </c>
      <c r="N778" s="1">
        <f>AVERAGE(Table1[[#This Row],[Interview Score]:[Personality Score]])</f>
        <v>78</v>
      </c>
      <c r="O7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78" s="2" t="str">
        <f t="shared" si="12"/>
        <v>0-10</v>
      </c>
    </row>
    <row r="779" spans="1:16" x14ac:dyDescent="0.25">
      <c r="A779">
        <v>23</v>
      </c>
      <c r="B779" s="2">
        <v>1</v>
      </c>
      <c r="C779" s="2">
        <v>1</v>
      </c>
      <c r="D779" s="2">
        <v>10</v>
      </c>
      <c r="E779" s="2">
        <v>5</v>
      </c>
      <c r="F779" s="1">
        <v>9.1280602969999993</v>
      </c>
      <c r="G779" s="2">
        <v>96</v>
      </c>
      <c r="H779" s="2">
        <v>92</v>
      </c>
      <c r="I779" s="2">
        <v>45</v>
      </c>
      <c r="J779" s="2">
        <v>1</v>
      </c>
      <c r="K779" s="2">
        <v>1</v>
      </c>
      <c r="L77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79" t="str">
        <f>IF(Table1[[#This Row],[Experience Years]]&lt;=2,"Entry Level",IF(Table1[[#This Row],[Experience Years]]&lt;=7,"Mid Level",IF(Table1[[#This Row],[Experience Years]]&lt;=15,"Senior Level")))</f>
        <v>Senior Level</v>
      </c>
      <c r="N779" s="1">
        <f>AVERAGE(Table1[[#This Row],[Interview Score]:[Personality Score]])</f>
        <v>77.666666666666671</v>
      </c>
      <c r="O7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79" s="2" t="str">
        <f t="shared" si="12"/>
        <v>0-10</v>
      </c>
    </row>
    <row r="780" spans="1:16" x14ac:dyDescent="0.25">
      <c r="A780">
        <v>31</v>
      </c>
      <c r="B780" s="2">
        <v>1</v>
      </c>
      <c r="C780" s="2">
        <v>2</v>
      </c>
      <c r="D780" s="2">
        <v>13</v>
      </c>
      <c r="E780" s="2">
        <v>3</v>
      </c>
      <c r="F780" s="1">
        <v>18.476140059999999</v>
      </c>
      <c r="G780" s="2">
        <v>44</v>
      </c>
      <c r="H780" s="2">
        <v>87</v>
      </c>
      <c r="I780" s="2">
        <v>7</v>
      </c>
      <c r="J780" s="2">
        <v>2</v>
      </c>
      <c r="K780" s="2">
        <v>0</v>
      </c>
      <c r="L78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80" t="str">
        <f>IF(Table1[[#This Row],[Experience Years]]&lt;=2,"Entry Level",IF(Table1[[#This Row],[Experience Years]]&lt;=7,"Mid Level",IF(Table1[[#This Row],[Experience Years]]&lt;=15,"Senior Level")))</f>
        <v>Senior Level</v>
      </c>
      <c r="N780" s="1">
        <f>AVERAGE(Table1[[#This Row],[Interview Score]:[Personality Score]])</f>
        <v>46</v>
      </c>
      <c r="O7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80" s="2" t="str">
        <f t="shared" si="12"/>
        <v>10-20</v>
      </c>
    </row>
    <row r="781" spans="1:16" x14ac:dyDescent="0.25">
      <c r="A781">
        <v>48</v>
      </c>
      <c r="B781" s="2">
        <v>1</v>
      </c>
      <c r="C781" s="2">
        <v>3</v>
      </c>
      <c r="D781" s="2">
        <v>14</v>
      </c>
      <c r="E781" s="2">
        <v>1</v>
      </c>
      <c r="F781" s="1">
        <v>16.78605649</v>
      </c>
      <c r="G781" s="2">
        <v>61</v>
      </c>
      <c r="H781" s="2">
        <v>79</v>
      </c>
      <c r="I781" s="2">
        <v>36</v>
      </c>
      <c r="J781" s="2">
        <v>1</v>
      </c>
      <c r="K781" s="2">
        <v>1</v>
      </c>
      <c r="L78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81" t="str">
        <f>IF(Table1[[#This Row],[Experience Years]]&lt;=2,"Entry Level",IF(Table1[[#This Row],[Experience Years]]&lt;=7,"Mid Level",IF(Table1[[#This Row],[Experience Years]]&lt;=15,"Senior Level")))</f>
        <v>Senior Level</v>
      </c>
      <c r="N781" s="1">
        <f>AVERAGE(Table1[[#This Row],[Interview Score]:[Personality Score]])</f>
        <v>58.666666666666664</v>
      </c>
      <c r="O7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81" s="2" t="str">
        <f t="shared" si="12"/>
        <v>10-20</v>
      </c>
    </row>
    <row r="782" spans="1:16" x14ac:dyDescent="0.25">
      <c r="A782">
        <v>28</v>
      </c>
      <c r="B782" s="2">
        <v>0</v>
      </c>
      <c r="C782" s="2">
        <v>2</v>
      </c>
      <c r="D782" s="2">
        <v>11</v>
      </c>
      <c r="E782" s="2">
        <v>2</v>
      </c>
      <c r="F782" s="1">
        <v>40.568145960000003</v>
      </c>
      <c r="G782" s="2">
        <v>78</v>
      </c>
      <c r="H782" s="2">
        <v>24</v>
      </c>
      <c r="I782" s="2">
        <v>18</v>
      </c>
      <c r="J782" s="2">
        <v>2</v>
      </c>
      <c r="K782" s="2">
        <v>0</v>
      </c>
      <c r="L78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82" s="2" t="str">
        <f>IF(Table1[[#This Row],[Experience Years]]&lt;=2,"Entry Level",IF(Table1[[#This Row],[Experience Years]]&lt;=7,"Mid Level",IF(Table1[[#This Row],[Experience Years]]&lt;=15,"Senior Level")))</f>
        <v>Senior Level</v>
      </c>
      <c r="N782" s="1">
        <f>AVERAGE(Table1[[#This Row],[Interview Score]:[Personality Score]])</f>
        <v>40</v>
      </c>
      <c r="O7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82" s="2" t="str">
        <f t="shared" si="12"/>
        <v>40-50</v>
      </c>
    </row>
    <row r="783" spans="1:16" x14ac:dyDescent="0.25">
      <c r="A783">
        <v>38</v>
      </c>
      <c r="B783" s="2">
        <v>0</v>
      </c>
      <c r="C783" s="2">
        <v>3</v>
      </c>
      <c r="D783" s="2">
        <v>15</v>
      </c>
      <c r="E783" s="2">
        <v>5</v>
      </c>
      <c r="F783" s="1">
        <v>35.028033309999998</v>
      </c>
      <c r="G783" s="2">
        <v>70</v>
      </c>
      <c r="H783" s="2">
        <v>86</v>
      </c>
      <c r="I783" s="2">
        <v>62</v>
      </c>
      <c r="J783" s="2">
        <v>2</v>
      </c>
      <c r="K783" s="2">
        <v>1</v>
      </c>
      <c r="L78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83" s="2" t="str">
        <f>IF(Table1[[#This Row],[Experience Years]]&lt;=2,"Entry Level",IF(Table1[[#This Row],[Experience Years]]&lt;=7,"Mid Level",IF(Table1[[#This Row],[Experience Years]]&lt;=15,"Senior Level")))</f>
        <v>Senior Level</v>
      </c>
      <c r="N783" s="1">
        <f>AVERAGE(Table1[[#This Row],[Interview Score]:[Personality Score]])</f>
        <v>72.666666666666671</v>
      </c>
      <c r="O7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83" s="2" t="str">
        <f t="shared" si="12"/>
        <v>30-40</v>
      </c>
    </row>
    <row r="784" spans="1:16" x14ac:dyDescent="0.25">
      <c r="A784">
        <v>31</v>
      </c>
      <c r="B784" s="2">
        <v>1</v>
      </c>
      <c r="C784" s="2">
        <v>2</v>
      </c>
      <c r="D784" s="2">
        <v>4</v>
      </c>
      <c r="E784" s="2">
        <v>3</v>
      </c>
      <c r="F784" s="1">
        <v>15.977815980000001</v>
      </c>
      <c r="G784" s="2">
        <v>14</v>
      </c>
      <c r="H784" s="2">
        <v>91</v>
      </c>
      <c r="I784" s="2">
        <v>91</v>
      </c>
      <c r="J784" s="2">
        <v>2</v>
      </c>
      <c r="K784" s="2">
        <v>0</v>
      </c>
      <c r="L78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84" t="str">
        <f>IF(Table1[[#This Row],[Experience Years]]&lt;=2,"Entry Level",IF(Table1[[#This Row],[Experience Years]]&lt;=7,"Mid Level",IF(Table1[[#This Row],[Experience Years]]&lt;=15,"Senior Level")))</f>
        <v>Mid Level</v>
      </c>
      <c r="N784" s="1">
        <f>AVERAGE(Table1[[#This Row],[Interview Score]:[Personality Score]])</f>
        <v>65.333333333333329</v>
      </c>
      <c r="O7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84" s="2" t="str">
        <f t="shared" si="12"/>
        <v>10-20</v>
      </c>
    </row>
    <row r="785" spans="1:16" x14ac:dyDescent="0.25">
      <c r="A785">
        <v>28</v>
      </c>
      <c r="B785" s="2">
        <v>0</v>
      </c>
      <c r="C785" s="2">
        <v>3</v>
      </c>
      <c r="D785" s="2">
        <v>2</v>
      </c>
      <c r="E785" s="2">
        <v>4</v>
      </c>
      <c r="F785" s="1">
        <v>23.88719086</v>
      </c>
      <c r="G785" s="2">
        <v>45</v>
      </c>
      <c r="H785" s="2">
        <v>46</v>
      </c>
      <c r="I785" s="2">
        <v>45</v>
      </c>
      <c r="J785" s="2">
        <v>2</v>
      </c>
      <c r="K785" s="2">
        <v>0</v>
      </c>
      <c r="L78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85" s="2" t="str">
        <f>IF(Table1[[#This Row],[Experience Years]]&lt;=2,"Entry Level",IF(Table1[[#This Row],[Experience Years]]&lt;=7,"Mid Level",IF(Table1[[#This Row],[Experience Years]]&lt;=15,"Senior Level")))</f>
        <v>Entry Level</v>
      </c>
      <c r="N785" s="1">
        <f>AVERAGE(Table1[[#This Row],[Interview Score]:[Personality Score]])</f>
        <v>45.333333333333336</v>
      </c>
      <c r="O7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85" s="2" t="str">
        <f t="shared" si="12"/>
        <v>20-30</v>
      </c>
    </row>
    <row r="786" spans="1:16" x14ac:dyDescent="0.25">
      <c r="A786">
        <v>26</v>
      </c>
      <c r="B786" s="2">
        <v>1</v>
      </c>
      <c r="C786" s="2">
        <v>2</v>
      </c>
      <c r="D786" s="2">
        <v>5</v>
      </c>
      <c r="E786" s="2">
        <v>2</v>
      </c>
      <c r="F786" s="1">
        <v>5.7779551979999999</v>
      </c>
      <c r="G786" s="2">
        <v>63</v>
      </c>
      <c r="H786" s="2">
        <v>79</v>
      </c>
      <c r="I786" s="2">
        <v>93</v>
      </c>
      <c r="J786" s="2">
        <v>1</v>
      </c>
      <c r="K786" s="2">
        <v>1</v>
      </c>
      <c r="L78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786" t="str">
        <f>IF(Table1[[#This Row],[Experience Years]]&lt;=2,"Entry Level",IF(Table1[[#This Row],[Experience Years]]&lt;=7,"Mid Level",IF(Table1[[#This Row],[Experience Years]]&lt;=15,"Senior Level")))</f>
        <v>Mid Level</v>
      </c>
      <c r="N786" s="1">
        <f>AVERAGE(Table1[[#This Row],[Interview Score]:[Personality Score]])</f>
        <v>78.333333333333329</v>
      </c>
      <c r="O7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786" s="2" t="str">
        <f t="shared" si="12"/>
        <v>0-10</v>
      </c>
    </row>
    <row r="787" spans="1:16" x14ac:dyDescent="0.25">
      <c r="A787">
        <v>47</v>
      </c>
      <c r="B787" s="2">
        <v>1</v>
      </c>
      <c r="C787" s="2">
        <v>1</v>
      </c>
      <c r="D787" s="2">
        <v>5</v>
      </c>
      <c r="E787" s="2">
        <v>3</v>
      </c>
      <c r="F787" s="1">
        <v>45.907322239999999</v>
      </c>
      <c r="G787" s="2">
        <v>45</v>
      </c>
      <c r="H787" s="2">
        <v>55</v>
      </c>
      <c r="I787" s="2">
        <v>70</v>
      </c>
      <c r="J787" s="2">
        <v>2</v>
      </c>
      <c r="K787" s="2">
        <v>0</v>
      </c>
      <c r="L78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87" t="str">
        <f>IF(Table1[[#This Row],[Experience Years]]&lt;=2,"Entry Level",IF(Table1[[#This Row],[Experience Years]]&lt;=7,"Mid Level",IF(Table1[[#This Row],[Experience Years]]&lt;=15,"Senior Level")))</f>
        <v>Mid Level</v>
      </c>
      <c r="N787" s="1">
        <f>AVERAGE(Table1[[#This Row],[Interview Score]:[Personality Score]])</f>
        <v>56.666666666666664</v>
      </c>
      <c r="O7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87" s="2" t="str">
        <f t="shared" si="12"/>
        <v>40-50</v>
      </c>
    </row>
    <row r="788" spans="1:16" x14ac:dyDescent="0.25">
      <c r="A788">
        <v>33</v>
      </c>
      <c r="B788" s="2">
        <v>0</v>
      </c>
      <c r="C788" s="2">
        <v>2</v>
      </c>
      <c r="D788" s="2">
        <v>14</v>
      </c>
      <c r="E788" s="2">
        <v>4</v>
      </c>
      <c r="F788" s="1">
        <v>47.77124122</v>
      </c>
      <c r="G788" s="2">
        <v>55</v>
      </c>
      <c r="H788" s="2">
        <v>37</v>
      </c>
      <c r="I788" s="2">
        <v>25</v>
      </c>
      <c r="J788" s="2">
        <v>2</v>
      </c>
      <c r="K788" s="2">
        <v>0</v>
      </c>
      <c r="L78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88" s="2" t="str">
        <f>IF(Table1[[#This Row],[Experience Years]]&lt;=2,"Entry Level",IF(Table1[[#This Row],[Experience Years]]&lt;=7,"Mid Level",IF(Table1[[#This Row],[Experience Years]]&lt;=15,"Senior Level")))</f>
        <v>Senior Level</v>
      </c>
      <c r="N788" s="1">
        <f>AVERAGE(Table1[[#This Row],[Interview Score]:[Personality Score]])</f>
        <v>39</v>
      </c>
      <c r="O7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88" s="2" t="str">
        <f t="shared" si="12"/>
        <v>40-50</v>
      </c>
    </row>
    <row r="789" spans="1:16" x14ac:dyDescent="0.25">
      <c r="A789">
        <v>50</v>
      </c>
      <c r="B789" s="2">
        <v>1</v>
      </c>
      <c r="C789" s="2">
        <v>1</v>
      </c>
      <c r="D789" s="2">
        <v>13</v>
      </c>
      <c r="E789" s="2">
        <v>1</v>
      </c>
      <c r="F789" s="1">
        <v>49.990176769999998</v>
      </c>
      <c r="G789" s="2">
        <v>43</v>
      </c>
      <c r="H789" s="2">
        <v>10</v>
      </c>
      <c r="I789" s="2">
        <v>45</v>
      </c>
      <c r="J789" s="2">
        <v>2</v>
      </c>
      <c r="K789" s="2">
        <v>0</v>
      </c>
      <c r="L78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789" t="str">
        <f>IF(Table1[[#This Row],[Experience Years]]&lt;=2,"Entry Level",IF(Table1[[#This Row],[Experience Years]]&lt;=7,"Mid Level",IF(Table1[[#This Row],[Experience Years]]&lt;=15,"Senior Level")))</f>
        <v>Senior Level</v>
      </c>
      <c r="N789" s="1">
        <f>AVERAGE(Table1[[#This Row],[Interview Score]:[Personality Score]])</f>
        <v>32.666666666666664</v>
      </c>
      <c r="O7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89" s="2" t="str">
        <f t="shared" si="12"/>
        <v>40-50</v>
      </c>
    </row>
    <row r="790" spans="1:16" x14ac:dyDescent="0.25">
      <c r="A790">
        <v>39</v>
      </c>
      <c r="B790" s="2">
        <v>0</v>
      </c>
      <c r="C790" s="2">
        <v>2</v>
      </c>
      <c r="D790" s="2">
        <v>7</v>
      </c>
      <c r="E790" s="2">
        <v>4</v>
      </c>
      <c r="F790" s="1">
        <v>44.427641540000003</v>
      </c>
      <c r="G790" s="2">
        <v>74</v>
      </c>
      <c r="H790" s="2">
        <v>66</v>
      </c>
      <c r="I790" s="2">
        <v>45</v>
      </c>
      <c r="J790" s="2">
        <v>2</v>
      </c>
      <c r="K790" s="2">
        <v>0</v>
      </c>
      <c r="L79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90" s="2" t="str">
        <f>IF(Table1[[#This Row],[Experience Years]]&lt;=2,"Entry Level",IF(Table1[[#This Row],[Experience Years]]&lt;=7,"Mid Level",IF(Table1[[#This Row],[Experience Years]]&lt;=15,"Senior Level")))</f>
        <v>Mid Level</v>
      </c>
      <c r="N790" s="1">
        <f>AVERAGE(Table1[[#This Row],[Interview Score]:[Personality Score]])</f>
        <v>61.666666666666664</v>
      </c>
      <c r="O7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90" s="2" t="str">
        <f t="shared" si="12"/>
        <v>40-50</v>
      </c>
    </row>
    <row r="791" spans="1:16" x14ac:dyDescent="0.25">
      <c r="A791">
        <v>38</v>
      </c>
      <c r="B791" s="2">
        <v>0</v>
      </c>
      <c r="C791" s="2">
        <v>4</v>
      </c>
      <c r="D791" s="2">
        <v>1</v>
      </c>
      <c r="E791" s="2">
        <v>3</v>
      </c>
      <c r="F791" s="1">
        <v>9.6980443849999993</v>
      </c>
      <c r="G791" s="2">
        <v>28</v>
      </c>
      <c r="H791" s="2">
        <v>14</v>
      </c>
      <c r="I791" s="2">
        <v>74</v>
      </c>
      <c r="J791" s="2">
        <v>2</v>
      </c>
      <c r="K791" s="2">
        <v>0</v>
      </c>
      <c r="L79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91" s="2" t="str">
        <f>IF(Table1[[#This Row],[Experience Years]]&lt;=2,"Entry Level",IF(Table1[[#This Row],[Experience Years]]&lt;=7,"Mid Level",IF(Table1[[#This Row],[Experience Years]]&lt;=15,"Senior Level")))</f>
        <v>Entry Level</v>
      </c>
      <c r="N791" s="1">
        <f>AVERAGE(Table1[[#This Row],[Interview Score]:[Personality Score]])</f>
        <v>38.666666666666664</v>
      </c>
      <c r="O7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91" s="2" t="str">
        <f t="shared" si="12"/>
        <v>0-10</v>
      </c>
    </row>
    <row r="792" spans="1:16" x14ac:dyDescent="0.25">
      <c r="A792">
        <v>45</v>
      </c>
      <c r="B792" s="2">
        <v>0</v>
      </c>
      <c r="C792" s="2">
        <v>1</v>
      </c>
      <c r="D792" s="2">
        <v>0</v>
      </c>
      <c r="E792" s="2">
        <v>3</v>
      </c>
      <c r="F792" s="1">
        <v>3.3098241599999998</v>
      </c>
      <c r="G792" s="2">
        <v>94</v>
      </c>
      <c r="H792" s="2">
        <v>0</v>
      </c>
      <c r="I792" s="2">
        <v>13</v>
      </c>
      <c r="J792" s="2">
        <v>2</v>
      </c>
      <c r="K792" s="2">
        <v>0</v>
      </c>
      <c r="L79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92" s="2" t="str">
        <f>IF(Table1[[#This Row],[Experience Years]]&lt;=2,"Entry Level",IF(Table1[[#This Row],[Experience Years]]&lt;=7,"Mid Level",IF(Table1[[#This Row],[Experience Years]]&lt;=15,"Senior Level")))</f>
        <v>Entry Level</v>
      </c>
      <c r="N792" s="1">
        <f>AVERAGE(Table1[[#This Row],[Interview Score]:[Personality Score]])</f>
        <v>35.666666666666664</v>
      </c>
      <c r="O7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92" s="2" t="str">
        <f t="shared" si="12"/>
        <v>0-10</v>
      </c>
    </row>
    <row r="793" spans="1:16" x14ac:dyDescent="0.25">
      <c r="A793">
        <v>34</v>
      </c>
      <c r="B793" s="2">
        <v>0</v>
      </c>
      <c r="C793" s="2">
        <v>2</v>
      </c>
      <c r="D793" s="2">
        <v>15</v>
      </c>
      <c r="E793" s="2">
        <v>1</v>
      </c>
      <c r="F793" s="1">
        <v>29.979836370000001</v>
      </c>
      <c r="G793" s="2">
        <v>61</v>
      </c>
      <c r="H793" s="2">
        <v>6</v>
      </c>
      <c r="I793" s="2">
        <v>84</v>
      </c>
      <c r="J793" s="2">
        <v>2</v>
      </c>
      <c r="K793" s="2">
        <v>0</v>
      </c>
      <c r="L79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93" s="2" t="str">
        <f>IF(Table1[[#This Row],[Experience Years]]&lt;=2,"Entry Level",IF(Table1[[#This Row],[Experience Years]]&lt;=7,"Mid Level",IF(Table1[[#This Row],[Experience Years]]&lt;=15,"Senior Level")))</f>
        <v>Senior Level</v>
      </c>
      <c r="N793" s="1">
        <f>AVERAGE(Table1[[#This Row],[Interview Score]:[Personality Score]])</f>
        <v>50.333333333333336</v>
      </c>
      <c r="O7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93" s="2" t="str">
        <f t="shared" si="12"/>
        <v>20-30</v>
      </c>
    </row>
    <row r="794" spans="1:16" x14ac:dyDescent="0.25">
      <c r="A794">
        <v>35</v>
      </c>
      <c r="B794" s="2">
        <v>1</v>
      </c>
      <c r="C794" s="2">
        <v>3</v>
      </c>
      <c r="D794" s="2">
        <v>3</v>
      </c>
      <c r="E794" s="2">
        <v>4</v>
      </c>
      <c r="F794" s="1">
        <v>46.630251340000001</v>
      </c>
      <c r="G794" s="2">
        <v>88</v>
      </c>
      <c r="H794" s="2">
        <v>0</v>
      </c>
      <c r="I794" s="2">
        <v>62</v>
      </c>
      <c r="J794" s="2">
        <v>1</v>
      </c>
      <c r="K794" s="2">
        <v>1</v>
      </c>
      <c r="L79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94" t="str">
        <f>IF(Table1[[#This Row],[Experience Years]]&lt;=2,"Entry Level",IF(Table1[[#This Row],[Experience Years]]&lt;=7,"Mid Level",IF(Table1[[#This Row],[Experience Years]]&lt;=15,"Senior Level")))</f>
        <v>Mid Level</v>
      </c>
      <c r="N794" s="1">
        <f>AVERAGE(Table1[[#This Row],[Interview Score]:[Personality Score]])</f>
        <v>50</v>
      </c>
      <c r="O7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94" s="2" t="str">
        <f t="shared" si="12"/>
        <v>40-50</v>
      </c>
    </row>
    <row r="795" spans="1:16" x14ac:dyDescent="0.25">
      <c r="A795">
        <v>40</v>
      </c>
      <c r="B795" s="2">
        <v>0</v>
      </c>
      <c r="C795" s="2">
        <v>3</v>
      </c>
      <c r="D795" s="2">
        <v>15</v>
      </c>
      <c r="E795" s="2">
        <v>4</v>
      </c>
      <c r="F795" s="1">
        <v>9.8675680830000001</v>
      </c>
      <c r="G795" s="2">
        <v>51</v>
      </c>
      <c r="H795" s="2">
        <v>48</v>
      </c>
      <c r="I795" s="2">
        <v>71</v>
      </c>
      <c r="J795" s="2">
        <v>1</v>
      </c>
      <c r="K795" s="2">
        <v>1</v>
      </c>
      <c r="L79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795" s="2" t="str">
        <f>IF(Table1[[#This Row],[Experience Years]]&lt;=2,"Entry Level",IF(Table1[[#This Row],[Experience Years]]&lt;=7,"Mid Level",IF(Table1[[#This Row],[Experience Years]]&lt;=15,"Senior Level")))</f>
        <v>Senior Level</v>
      </c>
      <c r="N795" s="1">
        <f>AVERAGE(Table1[[#This Row],[Interview Score]:[Personality Score]])</f>
        <v>56.666666666666664</v>
      </c>
      <c r="O7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95" s="2" t="str">
        <f t="shared" si="12"/>
        <v>0-10</v>
      </c>
    </row>
    <row r="796" spans="1:16" x14ac:dyDescent="0.25">
      <c r="A796">
        <v>24</v>
      </c>
      <c r="B796" s="2">
        <v>1</v>
      </c>
      <c r="C796" s="2">
        <v>2</v>
      </c>
      <c r="D796" s="2">
        <v>6</v>
      </c>
      <c r="E796" s="2">
        <v>1</v>
      </c>
      <c r="F796" s="1">
        <v>1.352145731</v>
      </c>
      <c r="G796" s="2">
        <v>53</v>
      </c>
      <c r="H796" s="2">
        <v>95</v>
      </c>
      <c r="I796" s="2">
        <v>2</v>
      </c>
      <c r="J796" s="2">
        <v>2</v>
      </c>
      <c r="K796" s="2">
        <v>0</v>
      </c>
      <c r="L79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96" t="str">
        <f>IF(Table1[[#This Row],[Experience Years]]&lt;=2,"Entry Level",IF(Table1[[#This Row],[Experience Years]]&lt;=7,"Mid Level",IF(Table1[[#This Row],[Experience Years]]&lt;=15,"Senior Level")))</f>
        <v>Mid Level</v>
      </c>
      <c r="N796" s="1">
        <f>AVERAGE(Table1[[#This Row],[Interview Score]:[Personality Score]])</f>
        <v>50</v>
      </c>
      <c r="O7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796" s="2" t="str">
        <f t="shared" si="12"/>
        <v>0-10</v>
      </c>
    </row>
    <row r="797" spans="1:16" x14ac:dyDescent="0.25">
      <c r="A797">
        <v>22</v>
      </c>
      <c r="B797" s="2">
        <v>1</v>
      </c>
      <c r="C797" s="2">
        <v>2</v>
      </c>
      <c r="D797" s="2">
        <v>14</v>
      </c>
      <c r="E797" s="2">
        <v>4</v>
      </c>
      <c r="F797" s="1">
        <v>41.274802299999998</v>
      </c>
      <c r="G797" s="2">
        <v>87</v>
      </c>
      <c r="H797" s="2">
        <v>72</v>
      </c>
      <c r="I797" s="2">
        <v>27</v>
      </c>
      <c r="J797" s="2">
        <v>1</v>
      </c>
      <c r="K797" s="2">
        <v>1</v>
      </c>
      <c r="L79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797" t="str">
        <f>IF(Table1[[#This Row],[Experience Years]]&lt;=2,"Entry Level",IF(Table1[[#This Row],[Experience Years]]&lt;=7,"Mid Level",IF(Table1[[#This Row],[Experience Years]]&lt;=15,"Senior Level")))</f>
        <v>Senior Level</v>
      </c>
      <c r="N797" s="1">
        <f>AVERAGE(Table1[[#This Row],[Interview Score]:[Personality Score]])</f>
        <v>62</v>
      </c>
      <c r="O7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97" s="2" t="str">
        <f t="shared" si="12"/>
        <v>40-50</v>
      </c>
    </row>
    <row r="798" spans="1:16" x14ac:dyDescent="0.25">
      <c r="A798">
        <v>31</v>
      </c>
      <c r="B798" s="2">
        <v>1</v>
      </c>
      <c r="C798" s="2">
        <v>2</v>
      </c>
      <c r="D798" s="2">
        <v>15</v>
      </c>
      <c r="E798" s="2">
        <v>1</v>
      </c>
      <c r="F798" s="1">
        <v>4.8397842139999998</v>
      </c>
      <c r="G798" s="2">
        <v>56</v>
      </c>
      <c r="H798" s="2">
        <v>28</v>
      </c>
      <c r="I798" s="2">
        <v>28</v>
      </c>
      <c r="J798" s="2">
        <v>2</v>
      </c>
      <c r="K798" s="2">
        <v>0</v>
      </c>
      <c r="L79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798" t="str">
        <f>IF(Table1[[#This Row],[Experience Years]]&lt;=2,"Entry Level",IF(Table1[[#This Row],[Experience Years]]&lt;=7,"Mid Level",IF(Table1[[#This Row],[Experience Years]]&lt;=15,"Senior Level")))</f>
        <v>Senior Level</v>
      </c>
      <c r="N798" s="1">
        <f>AVERAGE(Table1[[#This Row],[Interview Score]:[Personality Score]])</f>
        <v>37.333333333333336</v>
      </c>
      <c r="O7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798" s="2" t="str">
        <f t="shared" si="12"/>
        <v>0-10</v>
      </c>
    </row>
    <row r="799" spans="1:16" x14ac:dyDescent="0.25">
      <c r="A799">
        <v>44</v>
      </c>
      <c r="B799" s="2">
        <v>1</v>
      </c>
      <c r="C799" s="2">
        <v>2</v>
      </c>
      <c r="D799" s="2">
        <v>10</v>
      </c>
      <c r="E799" s="2">
        <v>2</v>
      </c>
      <c r="F799" s="1">
        <v>21.685301599999999</v>
      </c>
      <c r="G799" s="2">
        <v>82</v>
      </c>
      <c r="H799" s="2">
        <v>25</v>
      </c>
      <c r="I799" s="2">
        <v>86</v>
      </c>
      <c r="J799" s="2">
        <v>2</v>
      </c>
      <c r="K799" s="2">
        <v>0</v>
      </c>
      <c r="L79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799" t="str">
        <f>IF(Table1[[#This Row],[Experience Years]]&lt;=2,"Entry Level",IF(Table1[[#This Row],[Experience Years]]&lt;=7,"Mid Level",IF(Table1[[#This Row],[Experience Years]]&lt;=15,"Senior Level")))</f>
        <v>Senior Level</v>
      </c>
      <c r="N799" s="1">
        <f>AVERAGE(Table1[[#This Row],[Interview Score]:[Personality Score]])</f>
        <v>64.333333333333329</v>
      </c>
      <c r="O7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799" s="2" t="str">
        <f t="shared" si="12"/>
        <v>20-30</v>
      </c>
    </row>
    <row r="800" spans="1:16" x14ac:dyDescent="0.25">
      <c r="A800">
        <v>39</v>
      </c>
      <c r="B800" s="2">
        <v>0</v>
      </c>
      <c r="C800" s="2">
        <v>3</v>
      </c>
      <c r="D800" s="2">
        <v>9</v>
      </c>
      <c r="E800" s="2">
        <v>3</v>
      </c>
      <c r="F800" s="1">
        <v>34.944366860000002</v>
      </c>
      <c r="G800" s="2">
        <v>65</v>
      </c>
      <c r="H800" s="2">
        <v>86</v>
      </c>
      <c r="I800" s="2">
        <v>17</v>
      </c>
      <c r="J800" s="2">
        <v>3</v>
      </c>
      <c r="K800" s="2">
        <v>0</v>
      </c>
      <c r="L80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00" s="2" t="str">
        <f>IF(Table1[[#This Row],[Experience Years]]&lt;=2,"Entry Level",IF(Table1[[#This Row],[Experience Years]]&lt;=7,"Mid Level",IF(Table1[[#This Row],[Experience Years]]&lt;=15,"Senior Level")))</f>
        <v>Senior Level</v>
      </c>
      <c r="N800" s="1">
        <f>AVERAGE(Table1[[#This Row],[Interview Score]:[Personality Score]])</f>
        <v>56</v>
      </c>
      <c r="O8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00" s="2" t="str">
        <f t="shared" si="12"/>
        <v>30-40</v>
      </c>
    </row>
    <row r="801" spans="1:16" x14ac:dyDescent="0.25">
      <c r="A801">
        <v>46</v>
      </c>
      <c r="B801" s="2">
        <v>0</v>
      </c>
      <c r="C801" s="2">
        <v>4</v>
      </c>
      <c r="D801" s="2">
        <v>2</v>
      </c>
      <c r="E801" s="2">
        <v>2</v>
      </c>
      <c r="F801" s="1">
        <v>12.839879270000001</v>
      </c>
      <c r="G801" s="2">
        <v>21</v>
      </c>
      <c r="H801" s="2">
        <v>44</v>
      </c>
      <c r="I801" s="2">
        <v>34</v>
      </c>
      <c r="J801" s="2">
        <v>3</v>
      </c>
      <c r="K801" s="2">
        <v>0</v>
      </c>
      <c r="L80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01" s="2" t="str">
        <f>IF(Table1[[#This Row],[Experience Years]]&lt;=2,"Entry Level",IF(Table1[[#This Row],[Experience Years]]&lt;=7,"Mid Level",IF(Table1[[#This Row],[Experience Years]]&lt;=15,"Senior Level")))</f>
        <v>Entry Level</v>
      </c>
      <c r="N801" s="1">
        <f>AVERAGE(Table1[[#This Row],[Interview Score]:[Personality Score]])</f>
        <v>33</v>
      </c>
      <c r="O8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01" s="2" t="str">
        <f t="shared" si="12"/>
        <v>10-20</v>
      </c>
    </row>
    <row r="802" spans="1:16" x14ac:dyDescent="0.25">
      <c r="A802">
        <v>40</v>
      </c>
      <c r="B802" s="2">
        <v>1</v>
      </c>
      <c r="C802" s="2">
        <v>3</v>
      </c>
      <c r="D802" s="2">
        <v>2</v>
      </c>
      <c r="E802" s="2">
        <v>5</v>
      </c>
      <c r="F802" s="1">
        <v>5.1981281719999997</v>
      </c>
      <c r="G802" s="2">
        <v>19</v>
      </c>
      <c r="H802" s="2">
        <v>92</v>
      </c>
      <c r="I802" s="2">
        <v>76</v>
      </c>
      <c r="J802" s="2">
        <v>1</v>
      </c>
      <c r="K802" s="2">
        <v>1</v>
      </c>
      <c r="L80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02" t="str">
        <f>IF(Table1[[#This Row],[Experience Years]]&lt;=2,"Entry Level",IF(Table1[[#This Row],[Experience Years]]&lt;=7,"Mid Level",IF(Table1[[#This Row],[Experience Years]]&lt;=15,"Senior Level")))</f>
        <v>Entry Level</v>
      </c>
      <c r="N802" s="1">
        <f>AVERAGE(Table1[[#This Row],[Interview Score]:[Personality Score]])</f>
        <v>62.333333333333336</v>
      </c>
      <c r="O8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02" s="2" t="str">
        <f t="shared" si="12"/>
        <v>0-10</v>
      </c>
    </row>
    <row r="803" spans="1:16" x14ac:dyDescent="0.25">
      <c r="A803">
        <v>23</v>
      </c>
      <c r="B803" s="2">
        <v>1</v>
      </c>
      <c r="C803" s="2">
        <v>3</v>
      </c>
      <c r="D803" s="2">
        <v>15</v>
      </c>
      <c r="E803" s="2">
        <v>5</v>
      </c>
      <c r="F803" s="1">
        <v>39.501061419999999</v>
      </c>
      <c r="G803" s="2">
        <v>32</v>
      </c>
      <c r="H803" s="2">
        <v>96</v>
      </c>
      <c r="I803" s="2">
        <v>75</v>
      </c>
      <c r="J803" s="2">
        <v>3</v>
      </c>
      <c r="K803" s="2">
        <v>1</v>
      </c>
      <c r="L80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03" t="str">
        <f>IF(Table1[[#This Row],[Experience Years]]&lt;=2,"Entry Level",IF(Table1[[#This Row],[Experience Years]]&lt;=7,"Mid Level",IF(Table1[[#This Row],[Experience Years]]&lt;=15,"Senior Level")))</f>
        <v>Senior Level</v>
      </c>
      <c r="N803" s="1">
        <f>AVERAGE(Table1[[#This Row],[Interview Score]:[Personality Score]])</f>
        <v>67.666666666666671</v>
      </c>
      <c r="O8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03" s="2" t="str">
        <f t="shared" si="12"/>
        <v>30-40</v>
      </c>
    </row>
    <row r="804" spans="1:16" x14ac:dyDescent="0.25">
      <c r="A804">
        <v>40</v>
      </c>
      <c r="B804" s="2">
        <v>0</v>
      </c>
      <c r="C804" s="2">
        <v>1</v>
      </c>
      <c r="D804" s="2">
        <v>4</v>
      </c>
      <c r="E804" s="2">
        <v>5</v>
      </c>
      <c r="F804" s="1">
        <v>32.508754240000002</v>
      </c>
      <c r="G804" s="2">
        <v>71</v>
      </c>
      <c r="H804" s="2">
        <v>70</v>
      </c>
      <c r="I804" s="2">
        <v>46</v>
      </c>
      <c r="J804" s="2">
        <v>2</v>
      </c>
      <c r="K804" s="2">
        <v>0</v>
      </c>
      <c r="L80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04" s="2" t="str">
        <f>IF(Table1[[#This Row],[Experience Years]]&lt;=2,"Entry Level",IF(Table1[[#This Row],[Experience Years]]&lt;=7,"Mid Level",IF(Table1[[#This Row],[Experience Years]]&lt;=15,"Senior Level")))</f>
        <v>Mid Level</v>
      </c>
      <c r="N804" s="1">
        <f>AVERAGE(Table1[[#This Row],[Interview Score]:[Personality Score]])</f>
        <v>62.333333333333336</v>
      </c>
      <c r="O8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04" s="2" t="str">
        <f t="shared" si="12"/>
        <v>30-40</v>
      </c>
    </row>
    <row r="805" spans="1:16" x14ac:dyDescent="0.25">
      <c r="A805">
        <v>42</v>
      </c>
      <c r="B805" s="2">
        <v>1</v>
      </c>
      <c r="C805" s="2">
        <v>3</v>
      </c>
      <c r="D805" s="2">
        <v>4</v>
      </c>
      <c r="E805" s="2">
        <v>1</v>
      </c>
      <c r="F805" s="1">
        <v>50.424524220000002</v>
      </c>
      <c r="G805" s="2">
        <v>24</v>
      </c>
      <c r="H805" s="2">
        <v>11</v>
      </c>
      <c r="I805" s="2">
        <v>4</v>
      </c>
      <c r="J805" s="2">
        <v>2</v>
      </c>
      <c r="K805" s="2">
        <v>0</v>
      </c>
      <c r="L80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05" t="str">
        <f>IF(Table1[[#This Row],[Experience Years]]&lt;=2,"Entry Level",IF(Table1[[#This Row],[Experience Years]]&lt;=7,"Mid Level",IF(Table1[[#This Row],[Experience Years]]&lt;=15,"Senior Level")))</f>
        <v>Mid Level</v>
      </c>
      <c r="N805" s="1">
        <f>AVERAGE(Table1[[#This Row],[Interview Score]:[Personality Score]])</f>
        <v>13</v>
      </c>
      <c r="O8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05" s="2" t="str">
        <f t="shared" si="12"/>
        <v>50+</v>
      </c>
    </row>
    <row r="806" spans="1:16" x14ac:dyDescent="0.25">
      <c r="A806">
        <v>35</v>
      </c>
      <c r="B806" s="2">
        <v>0</v>
      </c>
      <c r="C806" s="2">
        <v>3</v>
      </c>
      <c r="D806" s="2">
        <v>12</v>
      </c>
      <c r="E806" s="2">
        <v>4</v>
      </c>
      <c r="F806" s="1">
        <v>18.215401669999999</v>
      </c>
      <c r="G806" s="2">
        <v>45</v>
      </c>
      <c r="H806" s="2">
        <v>94</v>
      </c>
      <c r="I806" s="2">
        <v>74</v>
      </c>
      <c r="J806" s="2">
        <v>1</v>
      </c>
      <c r="K806" s="2">
        <v>1</v>
      </c>
      <c r="L80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06" s="2" t="str">
        <f>IF(Table1[[#This Row],[Experience Years]]&lt;=2,"Entry Level",IF(Table1[[#This Row],[Experience Years]]&lt;=7,"Mid Level",IF(Table1[[#This Row],[Experience Years]]&lt;=15,"Senior Level")))</f>
        <v>Senior Level</v>
      </c>
      <c r="N806" s="1">
        <f>AVERAGE(Table1[[#This Row],[Interview Score]:[Personality Score]])</f>
        <v>71</v>
      </c>
      <c r="O8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06" s="2" t="str">
        <f t="shared" si="12"/>
        <v>10-20</v>
      </c>
    </row>
    <row r="807" spans="1:16" x14ac:dyDescent="0.25">
      <c r="A807">
        <v>44</v>
      </c>
      <c r="B807" s="2">
        <v>1</v>
      </c>
      <c r="C807" s="2">
        <v>1</v>
      </c>
      <c r="D807" s="2">
        <v>9</v>
      </c>
      <c r="E807" s="2">
        <v>2</v>
      </c>
      <c r="F807" s="1">
        <v>4.0881193150000001</v>
      </c>
      <c r="G807" s="2">
        <v>72</v>
      </c>
      <c r="H807" s="2">
        <v>31</v>
      </c>
      <c r="I807" s="2">
        <v>58</v>
      </c>
      <c r="J807" s="2">
        <v>3</v>
      </c>
      <c r="K807" s="2">
        <v>0</v>
      </c>
      <c r="L80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07" t="str">
        <f>IF(Table1[[#This Row],[Experience Years]]&lt;=2,"Entry Level",IF(Table1[[#This Row],[Experience Years]]&lt;=7,"Mid Level",IF(Table1[[#This Row],[Experience Years]]&lt;=15,"Senior Level")))</f>
        <v>Senior Level</v>
      </c>
      <c r="N807" s="1">
        <f>AVERAGE(Table1[[#This Row],[Interview Score]:[Personality Score]])</f>
        <v>53.666666666666664</v>
      </c>
      <c r="O8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07" s="2" t="str">
        <f t="shared" si="12"/>
        <v>0-10</v>
      </c>
    </row>
    <row r="808" spans="1:16" x14ac:dyDescent="0.25">
      <c r="A808">
        <v>26</v>
      </c>
      <c r="B808" s="2">
        <v>0</v>
      </c>
      <c r="C808" s="2">
        <v>3</v>
      </c>
      <c r="D808" s="2">
        <v>2</v>
      </c>
      <c r="E808" s="2">
        <v>2</v>
      </c>
      <c r="F808" s="1">
        <v>37.717501769999998</v>
      </c>
      <c r="G808" s="2">
        <v>97</v>
      </c>
      <c r="H808" s="2">
        <v>19</v>
      </c>
      <c r="I808" s="2">
        <v>74</v>
      </c>
      <c r="J808" s="2">
        <v>1</v>
      </c>
      <c r="K808" s="2">
        <v>1</v>
      </c>
      <c r="L80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08" s="2" t="str">
        <f>IF(Table1[[#This Row],[Experience Years]]&lt;=2,"Entry Level",IF(Table1[[#This Row],[Experience Years]]&lt;=7,"Mid Level",IF(Table1[[#This Row],[Experience Years]]&lt;=15,"Senior Level")))</f>
        <v>Entry Level</v>
      </c>
      <c r="N808" s="1">
        <f>AVERAGE(Table1[[#This Row],[Interview Score]:[Personality Score]])</f>
        <v>63.333333333333336</v>
      </c>
      <c r="O8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08" s="2" t="str">
        <f t="shared" si="12"/>
        <v>30-40</v>
      </c>
    </row>
    <row r="809" spans="1:16" x14ac:dyDescent="0.25">
      <c r="A809">
        <v>32</v>
      </c>
      <c r="B809" s="2">
        <v>1</v>
      </c>
      <c r="C809" s="2">
        <v>2</v>
      </c>
      <c r="D809" s="2">
        <v>8</v>
      </c>
      <c r="E809" s="2">
        <v>2</v>
      </c>
      <c r="F809" s="1">
        <v>27.086670940000001</v>
      </c>
      <c r="G809" s="2">
        <v>56</v>
      </c>
      <c r="H809" s="2">
        <v>50</v>
      </c>
      <c r="I809" s="2">
        <v>58</v>
      </c>
      <c r="J809" s="2">
        <v>3</v>
      </c>
      <c r="K809" s="2">
        <v>0</v>
      </c>
      <c r="L80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09" t="str">
        <f>IF(Table1[[#This Row],[Experience Years]]&lt;=2,"Entry Level",IF(Table1[[#This Row],[Experience Years]]&lt;=7,"Mid Level",IF(Table1[[#This Row],[Experience Years]]&lt;=15,"Senior Level")))</f>
        <v>Senior Level</v>
      </c>
      <c r="N809" s="1">
        <f>AVERAGE(Table1[[#This Row],[Interview Score]:[Personality Score]])</f>
        <v>54.666666666666664</v>
      </c>
      <c r="O8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09" s="2" t="str">
        <f t="shared" si="12"/>
        <v>20-30</v>
      </c>
    </row>
    <row r="810" spans="1:16" x14ac:dyDescent="0.25">
      <c r="A810">
        <v>40</v>
      </c>
      <c r="B810" s="2">
        <v>1</v>
      </c>
      <c r="C810" s="2">
        <v>2</v>
      </c>
      <c r="D810" s="2">
        <v>3</v>
      </c>
      <c r="E810" s="2">
        <v>2</v>
      </c>
      <c r="F810" s="1">
        <v>11.66019657</v>
      </c>
      <c r="G810" s="2">
        <v>86</v>
      </c>
      <c r="H810" s="2">
        <v>80</v>
      </c>
      <c r="I810" s="2">
        <v>46</v>
      </c>
      <c r="J810" s="2">
        <v>1</v>
      </c>
      <c r="K810" s="2">
        <v>1</v>
      </c>
      <c r="L81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10" t="str">
        <f>IF(Table1[[#This Row],[Experience Years]]&lt;=2,"Entry Level",IF(Table1[[#This Row],[Experience Years]]&lt;=7,"Mid Level",IF(Table1[[#This Row],[Experience Years]]&lt;=15,"Senior Level")))</f>
        <v>Mid Level</v>
      </c>
      <c r="N810" s="1">
        <f>AVERAGE(Table1[[#This Row],[Interview Score]:[Personality Score]])</f>
        <v>70.666666666666671</v>
      </c>
      <c r="O8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10" s="2" t="str">
        <f t="shared" si="12"/>
        <v>10-20</v>
      </c>
    </row>
    <row r="811" spans="1:16" x14ac:dyDescent="0.25">
      <c r="A811">
        <v>29</v>
      </c>
      <c r="B811" s="2">
        <v>0</v>
      </c>
      <c r="C811" s="2">
        <v>3</v>
      </c>
      <c r="D811" s="2">
        <v>12</v>
      </c>
      <c r="E811" s="2">
        <v>5</v>
      </c>
      <c r="F811" s="1">
        <v>40.086449450000003</v>
      </c>
      <c r="G811" s="2">
        <v>4</v>
      </c>
      <c r="H811" s="2">
        <v>35</v>
      </c>
      <c r="I811" s="2">
        <v>94</v>
      </c>
      <c r="J811" s="2">
        <v>2</v>
      </c>
      <c r="K811" s="2">
        <v>0</v>
      </c>
      <c r="L81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11" s="2" t="str">
        <f>IF(Table1[[#This Row],[Experience Years]]&lt;=2,"Entry Level",IF(Table1[[#This Row],[Experience Years]]&lt;=7,"Mid Level",IF(Table1[[#This Row],[Experience Years]]&lt;=15,"Senior Level")))</f>
        <v>Senior Level</v>
      </c>
      <c r="N811" s="1">
        <f>AVERAGE(Table1[[#This Row],[Interview Score]:[Personality Score]])</f>
        <v>44.333333333333336</v>
      </c>
      <c r="O8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11" s="2" t="str">
        <f t="shared" si="12"/>
        <v>40-50</v>
      </c>
    </row>
    <row r="812" spans="1:16" x14ac:dyDescent="0.25">
      <c r="A812">
        <v>45</v>
      </c>
      <c r="B812" s="2">
        <v>1</v>
      </c>
      <c r="C812" s="2">
        <v>2</v>
      </c>
      <c r="D812" s="2">
        <v>12</v>
      </c>
      <c r="E812" s="2">
        <v>2</v>
      </c>
      <c r="F812" s="1">
        <v>11.18777429</v>
      </c>
      <c r="G812" s="2">
        <v>54</v>
      </c>
      <c r="H812" s="2">
        <v>66</v>
      </c>
      <c r="I812" s="2">
        <v>94</v>
      </c>
      <c r="J812" s="2">
        <v>2</v>
      </c>
      <c r="K812" s="2">
        <v>0</v>
      </c>
      <c r="L81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12" t="str">
        <f>IF(Table1[[#This Row],[Experience Years]]&lt;=2,"Entry Level",IF(Table1[[#This Row],[Experience Years]]&lt;=7,"Mid Level",IF(Table1[[#This Row],[Experience Years]]&lt;=15,"Senior Level")))</f>
        <v>Senior Level</v>
      </c>
      <c r="N812" s="1">
        <f>AVERAGE(Table1[[#This Row],[Interview Score]:[Personality Score]])</f>
        <v>71.333333333333329</v>
      </c>
      <c r="O8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12" s="2" t="str">
        <f t="shared" si="12"/>
        <v>10-20</v>
      </c>
    </row>
    <row r="813" spans="1:16" x14ac:dyDescent="0.25">
      <c r="A813">
        <v>26</v>
      </c>
      <c r="B813" s="2">
        <v>1</v>
      </c>
      <c r="C813" s="2">
        <v>1</v>
      </c>
      <c r="D813" s="2">
        <v>14</v>
      </c>
      <c r="E813" s="2">
        <v>4</v>
      </c>
      <c r="F813" s="1">
        <v>14.033082739999999</v>
      </c>
      <c r="G813" s="2">
        <v>60</v>
      </c>
      <c r="H813" s="2">
        <v>0</v>
      </c>
      <c r="I813" s="2">
        <v>12</v>
      </c>
      <c r="J813" s="2">
        <v>1</v>
      </c>
      <c r="K813" s="2">
        <v>0</v>
      </c>
      <c r="L81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13" t="str">
        <f>IF(Table1[[#This Row],[Experience Years]]&lt;=2,"Entry Level",IF(Table1[[#This Row],[Experience Years]]&lt;=7,"Mid Level",IF(Table1[[#This Row],[Experience Years]]&lt;=15,"Senior Level")))</f>
        <v>Senior Level</v>
      </c>
      <c r="N813" s="1">
        <f>AVERAGE(Table1[[#This Row],[Interview Score]:[Personality Score]])</f>
        <v>24</v>
      </c>
      <c r="O8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13" s="2" t="str">
        <f t="shared" si="12"/>
        <v>10-20</v>
      </c>
    </row>
    <row r="814" spans="1:16" x14ac:dyDescent="0.25">
      <c r="A814">
        <v>33</v>
      </c>
      <c r="B814" s="2">
        <v>0</v>
      </c>
      <c r="C814" s="2">
        <v>2</v>
      </c>
      <c r="D814" s="2">
        <v>2</v>
      </c>
      <c r="E814" s="2">
        <v>5</v>
      </c>
      <c r="F814" s="1">
        <v>5.6264277180000004</v>
      </c>
      <c r="G814" s="2">
        <v>88</v>
      </c>
      <c r="H814" s="2">
        <v>26</v>
      </c>
      <c r="I814" s="2">
        <v>77</v>
      </c>
      <c r="J814" s="2">
        <v>1</v>
      </c>
      <c r="K814" s="2">
        <v>1</v>
      </c>
      <c r="L81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14" s="2" t="str">
        <f>IF(Table1[[#This Row],[Experience Years]]&lt;=2,"Entry Level",IF(Table1[[#This Row],[Experience Years]]&lt;=7,"Mid Level",IF(Table1[[#This Row],[Experience Years]]&lt;=15,"Senior Level")))</f>
        <v>Entry Level</v>
      </c>
      <c r="N814" s="1">
        <f>AVERAGE(Table1[[#This Row],[Interview Score]:[Personality Score]])</f>
        <v>63.666666666666664</v>
      </c>
      <c r="O8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14" s="2" t="str">
        <f t="shared" si="12"/>
        <v>0-10</v>
      </c>
    </row>
    <row r="815" spans="1:16" x14ac:dyDescent="0.25">
      <c r="A815">
        <v>50</v>
      </c>
      <c r="B815" s="2">
        <v>1</v>
      </c>
      <c r="C815" s="2">
        <v>2</v>
      </c>
      <c r="D815" s="2">
        <v>10</v>
      </c>
      <c r="E815" s="2">
        <v>2</v>
      </c>
      <c r="F815" s="1">
        <v>20.971613949999998</v>
      </c>
      <c r="G815" s="2">
        <v>7</v>
      </c>
      <c r="H815" s="2">
        <v>39</v>
      </c>
      <c r="I815" s="2">
        <v>88</v>
      </c>
      <c r="J815" s="2">
        <v>2</v>
      </c>
      <c r="K815" s="2">
        <v>0</v>
      </c>
      <c r="L81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15" t="str">
        <f>IF(Table1[[#This Row],[Experience Years]]&lt;=2,"Entry Level",IF(Table1[[#This Row],[Experience Years]]&lt;=7,"Mid Level",IF(Table1[[#This Row],[Experience Years]]&lt;=15,"Senior Level")))</f>
        <v>Senior Level</v>
      </c>
      <c r="N815" s="1">
        <f>AVERAGE(Table1[[#This Row],[Interview Score]:[Personality Score]])</f>
        <v>44.666666666666664</v>
      </c>
      <c r="O8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15" s="2" t="str">
        <f t="shared" si="12"/>
        <v>20-30</v>
      </c>
    </row>
    <row r="816" spans="1:16" x14ac:dyDescent="0.25">
      <c r="A816">
        <v>45</v>
      </c>
      <c r="B816" s="2">
        <v>0</v>
      </c>
      <c r="C816" s="2">
        <v>4</v>
      </c>
      <c r="D816" s="2">
        <v>1</v>
      </c>
      <c r="E816" s="2">
        <v>1</v>
      </c>
      <c r="F816" s="1">
        <v>21.946461200000002</v>
      </c>
      <c r="G816" s="2">
        <v>15</v>
      </c>
      <c r="H816" s="2">
        <v>96</v>
      </c>
      <c r="I816" s="2">
        <v>32</v>
      </c>
      <c r="J816" s="2">
        <v>1</v>
      </c>
      <c r="K816" s="2">
        <v>1</v>
      </c>
      <c r="L81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16" s="2" t="str">
        <f>IF(Table1[[#This Row],[Experience Years]]&lt;=2,"Entry Level",IF(Table1[[#This Row],[Experience Years]]&lt;=7,"Mid Level",IF(Table1[[#This Row],[Experience Years]]&lt;=15,"Senior Level")))</f>
        <v>Entry Level</v>
      </c>
      <c r="N816" s="1">
        <f>AVERAGE(Table1[[#This Row],[Interview Score]:[Personality Score]])</f>
        <v>47.666666666666664</v>
      </c>
      <c r="O8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16" s="2" t="str">
        <f t="shared" si="12"/>
        <v>20-30</v>
      </c>
    </row>
    <row r="817" spans="1:16" x14ac:dyDescent="0.25">
      <c r="A817">
        <v>24</v>
      </c>
      <c r="B817" s="2">
        <v>0</v>
      </c>
      <c r="C817" s="2">
        <v>2</v>
      </c>
      <c r="D817" s="2">
        <v>9</v>
      </c>
      <c r="E817" s="2">
        <v>3</v>
      </c>
      <c r="F817" s="1">
        <v>26.728089520000001</v>
      </c>
      <c r="G817" s="2">
        <v>47</v>
      </c>
      <c r="H817" s="2">
        <v>83</v>
      </c>
      <c r="I817" s="2">
        <v>96</v>
      </c>
      <c r="J817" s="2">
        <v>2</v>
      </c>
      <c r="K817" s="2">
        <v>0</v>
      </c>
      <c r="L81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17" s="2" t="str">
        <f>IF(Table1[[#This Row],[Experience Years]]&lt;=2,"Entry Level",IF(Table1[[#This Row],[Experience Years]]&lt;=7,"Mid Level",IF(Table1[[#This Row],[Experience Years]]&lt;=15,"Senior Level")))</f>
        <v>Senior Level</v>
      </c>
      <c r="N817" s="1">
        <f>AVERAGE(Table1[[#This Row],[Interview Score]:[Personality Score]])</f>
        <v>75.333333333333329</v>
      </c>
      <c r="O8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17" s="2" t="str">
        <f t="shared" si="12"/>
        <v>20-30</v>
      </c>
    </row>
    <row r="818" spans="1:16" x14ac:dyDescent="0.25">
      <c r="A818">
        <v>22</v>
      </c>
      <c r="B818" s="2">
        <v>1</v>
      </c>
      <c r="C818" s="2">
        <v>2</v>
      </c>
      <c r="D818" s="2">
        <v>12</v>
      </c>
      <c r="E818" s="2">
        <v>3</v>
      </c>
      <c r="F818" s="1">
        <v>36.448213359999997</v>
      </c>
      <c r="G818" s="2">
        <v>60</v>
      </c>
      <c r="H818" s="2">
        <v>13</v>
      </c>
      <c r="I818" s="2">
        <v>61</v>
      </c>
      <c r="J818" s="2">
        <v>2</v>
      </c>
      <c r="K818" s="2">
        <v>0</v>
      </c>
      <c r="L81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18" t="str">
        <f>IF(Table1[[#This Row],[Experience Years]]&lt;=2,"Entry Level",IF(Table1[[#This Row],[Experience Years]]&lt;=7,"Mid Level",IF(Table1[[#This Row],[Experience Years]]&lt;=15,"Senior Level")))</f>
        <v>Senior Level</v>
      </c>
      <c r="N818" s="1">
        <f>AVERAGE(Table1[[#This Row],[Interview Score]:[Personality Score]])</f>
        <v>44.666666666666664</v>
      </c>
      <c r="O8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18" s="2" t="str">
        <f t="shared" si="12"/>
        <v>30-40</v>
      </c>
    </row>
    <row r="819" spans="1:16" x14ac:dyDescent="0.25">
      <c r="A819">
        <v>42</v>
      </c>
      <c r="B819" s="2">
        <v>1</v>
      </c>
      <c r="C819" s="2">
        <v>3</v>
      </c>
      <c r="D819" s="2">
        <v>10</v>
      </c>
      <c r="E819" s="2">
        <v>3</v>
      </c>
      <c r="F819" s="1">
        <v>46.305046429999997</v>
      </c>
      <c r="G819" s="2">
        <v>14</v>
      </c>
      <c r="H819" s="2">
        <v>99</v>
      </c>
      <c r="I819" s="2">
        <v>78</v>
      </c>
      <c r="J819" s="2">
        <v>3</v>
      </c>
      <c r="K819" s="2">
        <v>1</v>
      </c>
      <c r="L81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19" t="str">
        <f>IF(Table1[[#This Row],[Experience Years]]&lt;=2,"Entry Level",IF(Table1[[#This Row],[Experience Years]]&lt;=7,"Mid Level",IF(Table1[[#This Row],[Experience Years]]&lt;=15,"Senior Level")))</f>
        <v>Senior Level</v>
      </c>
      <c r="N819" s="1">
        <f>AVERAGE(Table1[[#This Row],[Interview Score]:[Personality Score]])</f>
        <v>63.666666666666664</v>
      </c>
      <c r="O8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19" s="2" t="str">
        <f t="shared" si="12"/>
        <v>40-50</v>
      </c>
    </row>
    <row r="820" spans="1:16" x14ac:dyDescent="0.25">
      <c r="A820">
        <v>48</v>
      </c>
      <c r="B820" s="2">
        <v>1</v>
      </c>
      <c r="C820" s="2">
        <v>2</v>
      </c>
      <c r="D820" s="2">
        <v>8</v>
      </c>
      <c r="E820" s="2">
        <v>5</v>
      </c>
      <c r="F820" s="1">
        <v>7.8867049439999999</v>
      </c>
      <c r="G820" s="2">
        <v>64</v>
      </c>
      <c r="H820" s="2">
        <v>68</v>
      </c>
      <c r="I820" s="2">
        <v>15</v>
      </c>
      <c r="J820" s="2">
        <v>2</v>
      </c>
      <c r="K820" s="2">
        <v>0</v>
      </c>
      <c r="L82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20" t="str">
        <f>IF(Table1[[#This Row],[Experience Years]]&lt;=2,"Entry Level",IF(Table1[[#This Row],[Experience Years]]&lt;=7,"Mid Level",IF(Table1[[#This Row],[Experience Years]]&lt;=15,"Senior Level")))</f>
        <v>Senior Level</v>
      </c>
      <c r="N820" s="1">
        <f>AVERAGE(Table1[[#This Row],[Interview Score]:[Personality Score]])</f>
        <v>49</v>
      </c>
      <c r="O8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20" s="2" t="str">
        <f t="shared" si="12"/>
        <v>0-10</v>
      </c>
    </row>
    <row r="821" spans="1:16" x14ac:dyDescent="0.25">
      <c r="A821">
        <v>30</v>
      </c>
      <c r="B821" s="2">
        <v>1</v>
      </c>
      <c r="C821" s="2">
        <v>2</v>
      </c>
      <c r="D821" s="2">
        <v>3</v>
      </c>
      <c r="E821" s="2">
        <v>2</v>
      </c>
      <c r="F821" s="1">
        <v>3.7174049170000001</v>
      </c>
      <c r="G821" s="2">
        <v>21</v>
      </c>
      <c r="H821" s="2">
        <v>86</v>
      </c>
      <c r="I821" s="2">
        <v>43</v>
      </c>
      <c r="J821" s="2">
        <v>1</v>
      </c>
      <c r="K821" s="2">
        <v>0</v>
      </c>
      <c r="L82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21" t="str">
        <f>IF(Table1[[#This Row],[Experience Years]]&lt;=2,"Entry Level",IF(Table1[[#This Row],[Experience Years]]&lt;=7,"Mid Level",IF(Table1[[#This Row],[Experience Years]]&lt;=15,"Senior Level")))</f>
        <v>Mid Level</v>
      </c>
      <c r="N821" s="1">
        <f>AVERAGE(Table1[[#This Row],[Interview Score]:[Personality Score]])</f>
        <v>50</v>
      </c>
      <c r="O8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21" s="2" t="str">
        <f t="shared" si="12"/>
        <v>0-10</v>
      </c>
    </row>
    <row r="822" spans="1:16" x14ac:dyDescent="0.25">
      <c r="A822">
        <v>30</v>
      </c>
      <c r="B822" s="2">
        <v>1</v>
      </c>
      <c r="C822" s="2">
        <v>2</v>
      </c>
      <c r="D822" s="2">
        <v>15</v>
      </c>
      <c r="E822" s="2">
        <v>5</v>
      </c>
      <c r="F822" s="1">
        <v>1.9265616800000001</v>
      </c>
      <c r="G822" s="2">
        <v>2</v>
      </c>
      <c r="H822" s="2">
        <v>78</v>
      </c>
      <c r="I822" s="2">
        <v>57</v>
      </c>
      <c r="J822" s="2">
        <v>2</v>
      </c>
      <c r="K822" s="2">
        <v>0</v>
      </c>
      <c r="L82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22" t="str">
        <f>IF(Table1[[#This Row],[Experience Years]]&lt;=2,"Entry Level",IF(Table1[[#This Row],[Experience Years]]&lt;=7,"Mid Level",IF(Table1[[#This Row],[Experience Years]]&lt;=15,"Senior Level")))</f>
        <v>Senior Level</v>
      </c>
      <c r="N822" s="1">
        <f>AVERAGE(Table1[[#This Row],[Interview Score]:[Personality Score]])</f>
        <v>45.666666666666664</v>
      </c>
      <c r="O8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22" s="2" t="str">
        <f t="shared" si="12"/>
        <v>0-10</v>
      </c>
    </row>
    <row r="823" spans="1:16" x14ac:dyDescent="0.25">
      <c r="A823">
        <v>37</v>
      </c>
      <c r="B823" s="2">
        <v>1</v>
      </c>
      <c r="C823" s="2">
        <v>3</v>
      </c>
      <c r="D823" s="2">
        <v>2</v>
      </c>
      <c r="E823" s="2">
        <v>4</v>
      </c>
      <c r="F823" s="1">
        <v>8.1810689029999999</v>
      </c>
      <c r="G823" s="2">
        <v>53</v>
      </c>
      <c r="H823" s="2">
        <v>5</v>
      </c>
      <c r="I823" s="2">
        <v>5</v>
      </c>
      <c r="J823" s="2">
        <v>1</v>
      </c>
      <c r="K823" s="2">
        <v>0</v>
      </c>
      <c r="L82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23" t="str">
        <f>IF(Table1[[#This Row],[Experience Years]]&lt;=2,"Entry Level",IF(Table1[[#This Row],[Experience Years]]&lt;=7,"Mid Level",IF(Table1[[#This Row],[Experience Years]]&lt;=15,"Senior Level")))</f>
        <v>Entry Level</v>
      </c>
      <c r="N823" s="1">
        <f>AVERAGE(Table1[[#This Row],[Interview Score]:[Personality Score]])</f>
        <v>21</v>
      </c>
      <c r="O8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23" s="2" t="str">
        <f t="shared" si="12"/>
        <v>0-10</v>
      </c>
    </row>
    <row r="824" spans="1:16" x14ac:dyDescent="0.25">
      <c r="A824">
        <v>34</v>
      </c>
      <c r="B824" s="2">
        <v>1</v>
      </c>
      <c r="C824" s="2">
        <v>2</v>
      </c>
      <c r="D824" s="2">
        <v>6</v>
      </c>
      <c r="E824" s="2">
        <v>1</v>
      </c>
      <c r="F824" s="1">
        <v>33.897474289999998</v>
      </c>
      <c r="G824" s="2">
        <v>13</v>
      </c>
      <c r="H824" s="2">
        <v>32</v>
      </c>
      <c r="I824" s="2">
        <v>88</v>
      </c>
      <c r="J824" s="2">
        <v>3</v>
      </c>
      <c r="K824" s="2">
        <v>0</v>
      </c>
      <c r="L82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24" t="str">
        <f>IF(Table1[[#This Row],[Experience Years]]&lt;=2,"Entry Level",IF(Table1[[#This Row],[Experience Years]]&lt;=7,"Mid Level",IF(Table1[[#This Row],[Experience Years]]&lt;=15,"Senior Level")))</f>
        <v>Mid Level</v>
      </c>
      <c r="N824" s="1">
        <f>AVERAGE(Table1[[#This Row],[Interview Score]:[Personality Score]])</f>
        <v>44.333333333333336</v>
      </c>
      <c r="O8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24" s="2" t="str">
        <f t="shared" si="12"/>
        <v>30-40</v>
      </c>
    </row>
    <row r="825" spans="1:16" x14ac:dyDescent="0.25">
      <c r="A825">
        <v>31</v>
      </c>
      <c r="B825" s="2">
        <v>0</v>
      </c>
      <c r="C825" s="2">
        <v>2</v>
      </c>
      <c r="D825" s="2">
        <v>7</v>
      </c>
      <c r="E825" s="2">
        <v>1</v>
      </c>
      <c r="F825" s="1">
        <v>37.3738539</v>
      </c>
      <c r="G825" s="2">
        <v>35</v>
      </c>
      <c r="H825" s="2">
        <v>54</v>
      </c>
      <c r="I825" s="2">
        <v>14</v>
      </c>
      <c r="J825" s="2">
        <v>3</v>
      </c>
      <c r="K825" s="2">
        <v>0</v>
      </c>
      <c r="L82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25" s="2" t="str">
        <f>IF(Table1[[#This Row],[Experience Years]]&lt;=2,"Entry Level",IF(Table1[[#This Row],[Experience Years]]&lt;=7,"Mid Level",IF(Table1[[#This Row],[Experience Years]]&lt;=15,"Senior Level")))</f>
        <v>Mid Level</v>
      </c>
      <c r="N825" s="1">
        <f>AVERAGE(Table1[[#This Row],[Interview Score]:[Personality Score]])</f>
        <v>34.333333333333336</v>
      </c>
      <c r="O8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25" s="2" t="str">
        <f t="shared" si="12"/>
        <v>30-40</v>
      </c>
    </row>
    <row r="826" spans="1:16" x14ac:dyDescent="0.25">
      <c r="A826">
        <v>28</v>
      </c>
      <c r="B826" s="2">
        <v>1</v>
      </c>
      <c r="C826" s="2">
        <v>1</v>
      </c>
      <c r="D826" s="2">
        <v>10</v>
      </c>
      <c r="E826" s="2">
        <v>3</v>
      </c>
      <c r="F826" s="1">
        <v>40.32528568</v>
      </c>
      <c r="G826" s="2">
        <v>81</v>
      </c>
      <c r="H826" s="2">
        <v>18</v>
      </c>
      <c r="I826" s="2">
        <v>3</v>
      </c>
      <c r="J826" s="2">
        <v>2</v>
      </c>
      <c r="K826" s="2">
        <v>0</v>
      </c>
      <c r="L82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26" t="str">
        <f>IF(Table1[[#This Row],[Experience Years]]&lt;=2,"Entry Level",IF(Table1[[#This Row],[Experience Years]]&lt;=7,"Mid Level",IF(Table1[[#This Row],[Experience Years]]&lt;=15,"Senior Level")))</f>
        <v>Senior Level</v>
      </c>
      <c r="N826" s="1">
        <f>AVERAGE(Table1[[#This Row],[Interview Score]:[Personality Score]])</f>
        <v>34</v>
      </c>
      <c r="O8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26" s="2" t="str">
        <f t="shared" si="12"/>
        <v>40-50</v>
      </c>
    </row>
    <row r="827" spans="1:16" x14ac:dyDescent="0.25">
      <c r="A827">
        <v>29</v>
      </c>
      <c r="B827" s="2">
        <v>0</v>
      </c>
      <c r="C827" s="2">
        <v>1</v>
      </c>
      <c r="D827" s="2">
        <v>13</v>
      </c>
      <c r="E827" s="2">
        <v>3</v>
      </c>
      <c r="F827" s="1">
        <v>13.185410600000001</v>
      </c>
      <c r="G827" s="2">
        <v>81</v>
      </c>
      <c r="H827" s="2">
        <v>76</v>
      </c>
      <c r="I827" s="2">
        <v>55</v>
      </c>
      <c r="J827" s="2">
        <v>1</v>
      </c>
      <c r="K827" s="2">
        <v>1</v>
      </c>
      <c r="L82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27" s="2" t="str">
        <f>IF(Table1[[#This Row],[Experience Years]]&lt;=2,"Entry Level",IF(Table1[[#This Row],[Experience Years]]&lt;=7,"Mid Level",IF(Table1[[#This Row],[Experience Years]]&lt;=15,"Senior Level")))</f>
        <v>Senior Level</v>
      </c>
      <c r="N827" s="1">
        <f>AVERAGE(Table1[[#This Row],[Interview Score]:[Personality Score]])</f>
        <v>70.666666666666671</v>
      </c>
      <c r="O8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27" s="2" t="str">
        <f t="shared" si="12"/>
        <v>10-20</v>
      </c>
    </row>
    <row r="828" spans="1:16" x14ac:dyDescent="0.25">
      <c r="A828">
        <v>45</v>
      </c>
      <c r="B828" s="2">
        <v>1</v>
      </c>
      <c r="C828" s="2">
        <v>1</v>
      </c>
      <c r="D828" s="2">
        <v>1</v>
      </c>
      <c r="E828" s="2">
        <v>3</v>
      </c>
      <c r="F828" s="1">
        <v>16.294740659999999</v>
      </c>
      <c r="G828" s="2">
        <v>66</v>
      </c>
      <c r="H828" s="2">
        <v>28</v>
      </c>
      <c r="I828" s="2">
        <v>63</v>
      </c>
      <c r="J828" s="2">
        <v>3</v>
      </c>
      <c r="K828" s="2">
        <v>0</v>
      </c>
      <c r="L82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28" t="str">
        <f>IF(Table1[[#This Row],[Experience Years]]&lt;=2,"Entry Level",IF(Table1[[#This Row],[Experience Years]]&lt;=7,"Mid Level",IF(Table1[[#This Row],[Experience Years]]&lt;=15,"Senior Level")))</f>
        <v>Entry Level</v>
      </c>
      <c r="N828" s="1">
        <f>AVERAGE(Table1[[#This Row],[Interview Score]:[Personality Score]])</f>
        <v>52.333333333333336</v>
      </c>
      <c r="O8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28" s="2" t="str">
        <f t="shared" si="12"/>
        <v>10-20</v>
      </c>
    </row>
    <row r="829" spans="1:16" x14ac:dyDescent="0.25">
      <c r="A829">
        <v>31</v>
      </c>
      <c r="B829" s="2">
        <v>1</v>
      </c>
      <c r="C829" s="2">
        <v>1</v>
      </c>
      <c r="D829" s="2">
        <v>6</v>
      </c>
      <c r="E829" s="2">
        <v>2</v>
      </c>
      <c r="F829" s="1">
        <v>25.15673228</v>
      </c>
      <c r="G829" s="2">
        <v>9</v>
      </c>
      <c r="H829" s="2">
        <v>60</v>
      </c>
      <c r="I829" s="2">
        <v>67</v>
      </c>
      <c r="J829" s="2">
        <v>3</v>
      </c>
      <c r="K829" s="2">
        <v>0</v>
      </c>
      <c r="L82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29" t="str">
        <f>IF(Table1[[#This Row],[Experience Years]]&lt;=2,"Entry Level",IF(Table1[[#This Row],[Experience Years]]&lt;=7,"Mid Level",IF(Table1[[#This Row],[Experience Years]]&lt;=15,"Senior Level")))</f>
        <v>Mid Level</v>
      </c>
      <c r="N829" s="1">
        <f>AVERAGE(Table1[[#This Row],[Interview Score]:[Personality Score]])</f>
        <v>45.333333333333336</v>
      </c>
      <c r="O8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29" s="2" t="str">
        <f t="shared" si="12"/>
        <v>20-30</v>
      </c>
    </row>
    <row r="830" spans="1:16" x14ac:dyDescent="0.25">
      <c r="A830">
        <v>36</v>
      </c>
      <c r="B830" s="2">
        <v>0</v>
      </c>
      <c r="C830" s="2">
        <v>2</v>
      </c>
      <c r="D830" s="2">
        <v>11</v>
      </c>
      <c r="E830" s="2">
        <v>4</v>
      </c>
      <c r="F830" s="1">
        <v>4.1591548429999996</v>
      </c>
      <c r="G830" s="2">
        <v>48</v>
      </c>
      <c r="H830" s="2">
        <v>69</v>
      </c>
      <c r="I830" s="2">
        <v>93</v>
      </c>
      <c r="J830" s="2">
        <v>3</v>
      </c>
      <c r="K830" s="2">
        <v>0</v>
      </c>
      <c r="L83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30" s="2" t="str">
        <f>IF(Table1[[#This Row],[Experience Years]]&lt;=2,"Entry Level",IF(Table1[[#This Row],[Experience Years]]&lt;=7,"Mid Level",IF(Table1[[#This Row],[Experience Years]]&lt;=15,"Senior Level")))</f>
        <v>Senior Level</v>
      </c>
      <c r="N830" s="1">
        <f>AVERAGE(Table1[[#This Row],[Interview Score]:[Personality Score]])</f>
        <v>70</v>
      </c>
      <c r="O8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30" s="2" t="str">
        <f t="shared" si="12"/>
        <v>0-10</v>
      </c>
    </row>
    <row r="831" spans="1:16" x14ac:dyDescent="0.25">
      <c r="A831">
        <v>48</v>
      </c>
      <c r="B831" s="2">
        <v>1</v>
      </c>
      <c r="C831" s="2">
        <v>3</v>
      </c>
      <c r="D831" s="2">
        <v>4</v>
      </c>
      <c r="E831" s="2">
        <v>4</v>
      </c>
      <c r="F831" s="1">
        <v>31.557076160000001</v>
      </c>
      <c r="G831" s="2">
        <v>64</v>
      </c>
      <c r="H831" s="2">
        <v>78</v>
      </c>
      <c r="I831" s="2">
        <v>33</v>
      </c>
      <c r="J831" s="2">
        <v>3</v>
      </c>
      <c r="K831" s="2">
        <v>0</v>
      </c>
      <c r="L83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31" t="str">
        <f>IF(Table1[[#This Row],[Experience Years]]&lt;=2,"Entry Level",IF(Table1[[#This Row],[Experience Years]]&lt;=7,"Mid Level",IF(Table1[[#This Row],[Experience Years]]&lt;=15,"Senior Level")))</f>
        <v>Mid Level</v>
      </c>
      <c r="N831" s="1">
        <f>AVERAGE(Table1[[#This Row],[Interview Score]:[Personality Score]])</f>
        <v>58.333333333333336</v>
      </c>
      <c r="O8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31" s="2" t="str">
        <f t="shared" si="12"/>
        <v>30-40</v>
      </c>
    </row>
    <row r="832" spans="1:16" x14ac:dyDescent="0.25">
      <c r="A832">
        <v>25</v>
      </c>
      <c r="B832" s="2">
        <v>1</v>
      </c>
      <c r="C832" s="2">
        <v>2</v>
      </c>
      <c r="D832" s="2">
        <v>14</v>
      </c>
      <c r="E832" s="2">
        <v>4</v>
      </c>
      <c r="F832" s="1">
        <v>50.18675168</v>
      </c>
      <c r="G832" s="2">
        <v>90</v>
      </c>
      <c r="H832" s="2">
        <v>79</v>
      </c>
      <c r="I832" s="2">
        <v>90</v>
      </c>
      <c r="J832" s="2">
        <v>2</v>
      </c>
      <c r="K832" s="2">
        <v>1</v>
      </c>
      <c r="L83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32" t="str">
        <f>IF(Table1[[#This Row],[Experience Years]]&lt;=2,"Entry Level",IF(Table1[[#This Row],[Experience Years]]&lt;=7,"Mid Level",IF(Table1[[#This Row],[Experience Years]]&lt;=15,"Senior Level")))</f>
        <v>Senior Level</v>
      </c>
      <c r="N832" s="1">
        <f>AVERAGE(Table1[[#This Row],[Interview Score]:[Personality Score]])</f>
        <v>86.333333333333329</v>
      </c>
      <c r="O8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832" s="2" t="str">
        <f t="shared" si="12"/>
        <v>50+</v>
      </c>
    </row>
    <row r="833" spans="1:16" x14ac:dyDescent="0.25">
      <c r="A833">
        <v>26</v>
      </c>
      <c r="B833" s="2">
        <v>0</v>
      </c>
      <c r="C833" s="2">
        <v>3</v>
      </c>
      <c r="D833" s="2">
        <v>10</v>
      </c>
      <c r="E833" s="2">
        <v>4</v>
      </c>
      <c r="F833" s="1">
        <v>19.040315570000001</v>
      </c>
      <c r="G833" s="2">
        <v>56</v>
      </c>
      <c r="H833" s="2">
        <v>23</v>
      </c>
      <c r="I833" s="2">
        <v>94</v>
      </c>
      <c r="J833" s="2">
        <v>1</v>
      </c>
      <c r="K833" s="2">
        <v>1</v>
      </c>
      <c r="L83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33" s="2" t="str">
        <f>IF(Table1[[#This Row],[Experience Years]]&lt;=2,"Entry Level",IF(Table1[[#This Row],[Experience Years]]&lt;=7,"Mid Level",IF(Table1[[#This Row],[Experience Years]]&lt;=15,"Senior Level")))</f>
        <v>Senior Level</v>
      </c>
      <c r="N833" s="1">
        <f>AVERAGE(Table1[[#This Row],[Interview Score]:[Personality Score]])</f>
        <v>57.666666666666664</v>
      </c>
      <c r="O8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33" s="2" t="str">
        <f t="shared" si="12"/>
        <v>10-20</v>
      </c>
    </row>
    <row r="834" spans="1:16" x14ac:dyDescent="0.25">
      <c r="A834">
        <v>33</v>
      </c>
      <c r="B834" s="2">
        <v>1</v>
      </c>
      <c r="C834" s="2">
        <v>4</v>
      </c>
      <c r="D834" s="2">
        <v>4</v>
      </c>
      <c r="E834" s="2">
        <v>3</v>
      </c>
      <c r="F834" s="1">
        <v>38.642373749999997</v>
      </c>
      <c r="G834" s="2">
        <v>26</v>
      </c>
      <c r="H834" s="2">
        <v>22</v>
      </c>
      <c r="I834" s="2">
        <v>55</v>
      </c>
      <c r="J834" s="2">
        <v>2</v>
      </c>
      <c r="K834" s="2">
        <v>0</v>
      </c>
      <c r="L83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34" t="str">
        <f>IF(Table1[[#This Row],[Experience Years]]&lt;=2,"Entry Level",IF(Table1[[#This Row],[Experience Years]]&lt;=7,"Mid Level",IF(Table1[[#This Row],[Experience Years]]&lt;=15,"Senior Level")))</f>
        <v>Mid Level</v>
      </c>
      <c r="N834" s="1">
        <f>AVERAGE(Table1[[#This Row],[Interview Score]:[Personality Score]])</f>
        <v>34.333333333333336</v>
      </c>
      <c r="O8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34" s="2" t="str">
        <f t="shared" ref="P834:P897" si="13">IF(F834&lt;10,"0-10",IF(F834&lt;20,"10-20",IF(F834&lt;30,"20-30",IF(F834&lt;40,"30-40",IF(F834&lt;50,"40-50","50+")))))</f>
        <v>30-40</v>
      </c>
    </row>
    <row r="835" spans="1:16" x14ac:dyDescent="0.25">
      <c r="A835">
        <v>32</v>
      </c>
      <c r="B835" s="2">
        <v>1</v>
      </c>
      <c r="C835" s="2">
        <v>3</v>
      </c>
      <c r="D835" s="2">
        <v>2</v>
      </c>
      <c r="E835" s="2">
        <v>1</v>
      </c>
      <c r="F835" s="1">
        <v>26.001695779999999</v>
      </c>
      <c r="G835" s="2">
        <v>74</v>
      </c>
      <c r="H835" s="2">
        <v>9</v>
      </c>
      <c r="I835" s="2">
        <v>31</v>
      </c>
      <c r="J835" s="2">
        <v>2</v>
      </c>
      <c r="K835" s="2">
        <v>0</v>
      </c>
      <c r="L83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35" t="str">
        <f>IF(Table1[[#This Row],[Experience Years]]&lt;=2,"Entry Level",IF(Table1[[#This Row],[Experience Years]]&lt;=7,"Mid Level",IF(Table1[[#This Row],[Experience Years]]&lt;=15,"Senior Level")))</f>
        <v>Entry Level</v>
      </c>
      <c r="N835" s="1">
        <f>AVERAGE(Table1[[#This Row],[Interview Score]:[Personality Score]])</f>
        <v>38</v>
      </c>
      <c r="O8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35" s="2" t="str">
        <f t="shared" si="13"/>
        <v>20-30</v>
      </c>
    </row>
    <row r="836" spans="1:16" x14ac:dyDescent="0.25">
      <c r="A836">
        <v>27</v>
      </c>
      <c r="B836" s="2">
        <v>1</v>
      </c>
      <c r="C836" s="2">
        <v>2</v>
      </c>
      <c r="D836" s="2">
        <v>4</v>
      </c>
      <c r="E836" s="2">
        <v>3</v>
      </c>
      <c r="F836" s="1">
        <v>7.3905922180000001</v>
      </c>
      <c r="G836" s="2">
        <v>4</v>
      </c>
      <c r="H836" s="2">
        <v>53</v>
      </c>
      <c r="I836" s="2">
        <v>8</v>
      </c>
      <c r="J836" s="2">
        <v>2</v>
      </c>
      <c r="K836" s="2">
        <v>0</v>
      </c>
      <c r="L83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36" t="str">
        <f>IF(Table1[[#This Row],[Experience Years]]&lt;=2,"Entry Level",IF(Table1[[#This Row],[Experience Years]]&lt;=7,"Mid Level",IF(Table1[[#This Row],[Experience Years]]&lt;=15,"Senior Level")))</f>
        <v>Mid Level</v>
      </c>
      <c r="N836" s="1">
        <f>AVERAGE(Table1[[#This Row],[Interview Score]:[Personality Score]])</f>
        <v>21.666666666666668</v>
      </c>
      <c r="O8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36" s="2" t="str">
        <f t="shared" si="13"/>
        <v>0-10</v>
      </c>
    </row>
    <row r="837" spans="1:16" x14ac:dyDescent="0.25">
      <c r="A837">
        <v>29</v>
      </c>
      <c r="B837" s="2">
        <v>0</v>
      </c>
      <c r="C837" s="2">
        <v>2</v>
      </c>
      <c r="D837" s="2">
        <v>11</v>
      </c>
      <c r="E837" s="2">
        <v>4</v>
      </c>
      <c r="F837" s="1">
        <v>30.111872439999999</v>
      </c>
      <c r="G837" s="2">
        <v>70</v>
      </c>
      <c r="H837" s="2">
        <v>40</v>
      </c>
      <c r="I837" s="2">
        <v>62</v>
      </c>
      <c r="J837" s="2">
        <v>2</v>
      </c>
      <c r="K837" s="2">
        <v>0</v>
      </c>
      <c r="L83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37" s="2" t="str">
        <f>IF(Table1[[#This Row],[Experience Years]]&lt;=2,"Entry Level",IF(Table1[[#This Row],[Experience Years]]&lt;=7,"Mid Level",IF(Table1[[#This Row],[Experience Years]]&lt;=15,"Senior Level")))</f>
        <v>Senior Level</v>
      </c>
      <c r="N837" s="1">
        <f>AVERAGE(Table1[[#This Row],[Interview Score]:[Personality Score]])</f>
        <v>57.333333333333336</v>
      </c>
      <c r="O8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37" s="2" t="str">
        <f t="shared" si="13"/>
        <v>30-40</v>
      </c>
    </row>
    <row r="838" spans="1:16" x14ac:dyDescent="0.25">
      <c r="A838">
        <v>28</v>
      </c>
      <c r="B838" s="2">
        <v>1</v>
      </c>
      <c r="C838" s="2">
        <v>2</v>
      </c>
      <c r="D838" s="2">
        <v>1</v>
      </c>
      <c r="E838" s="2">
        <v>3</v>
      </c>
      <c r="F838" s="1">
        <v>15.993713420000001</v>
      </c>
      <c r="G838" s="2">
        <v>82</v>
      </c>
      <c r="H838" s="2">
        <v>48</v>
      </c>
      <c r="I838" s="2">
        <v>71</v>
      </c>
      <c r="J838" s="2">
        <v>1</v>
      </c>
      <c r="K838" s="2">
        <v>1</v>
      </c>
      <c r="L83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38" t="str">
        <f>IF(Table1[[#This Row],[Experience Years]]&lt;=2,"Entry Level",IF(Table1[[#This Row],[Experience Years]]&lt;=7,"Mid Level",IF(Table1[[#This Row],[Experience Years]]&lt;=15,"Senior Level")))</f>
        <v>Entry Level</v>
      </c>
      <c r="N838" s="1">
        <f>AVERAGE(Table1[[#This Row],[Interview Score]:[Personality Score]])</f>
        <v>67</v>
      </c>
      <c r="O8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38" s="2" t="str">
        <f t="shared" si="13"/>
        <v>10-20</v>
      </c>
    </row>
    <row r="839" spans="1:16" x14ac:dyDescent="0.25">
      <c r="A839">
        <v>37</v>
      </c>
      <c r="B839" s="2">
        <v>1</v>
      </c>
      <c r="C839" s="2">
        <v>1</v>
      </c>
      <c r="D839" s="2">
        <v>3</v>
      </c>
      <c r="E839" s="2">
        <v>4</v>
      </c>
      <c r="F839" s="1">
        <v>2.7201604229999998</v>
      </c>
      <c r="G839" s="2">
        <v>56</v>
      </c>
      <c r="H839" s="2">
        <v>16</v>
      </c>
      <c r="I839" s="2">
        <v>77</v>
      </c>
      <c r="J839" s="2">
        <v>2</v>
      </c>
      <c r="K839" s="2">
        <v>0</v>
      </c>
      <c r="L83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39" t="str">
        <f>IF(Table1[[#This Row],[Experience Years]]&lt;=2,"Entry Level",IF(Table1[[#This Row],[Experience Years]]&lt;=7,"Mid Level",IF(Table1[[#This Row],[Experience Years]]&lt;=15,"Senior Level")))</f>
        <v>Mid Level</v>
      </c>
      <c r="N839" s="1">
        <f>AVERAGE(Table1[[#This Row],[Interview Score]:[Personality Score]])</f>
        <v>49.666666666666664</v>
      </c>
      <c r="O8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39" s="2" t="str">
        <f t="shared" si="13"/>
        <v>0-10</v>
      </c>
    </row>
    <row r="840" spans="1:16" x14ac:dyDescent="0.25">
      <c r="A840">
        <v>46</v>
      </c>
      <c r="B840" s="2">
        <v>1</v>
      </c>
      <c r="C840" s="2">
        <v>2</v>
      </c>
      <c r="D840" s="2">
        <v>5</v>
      </c>
      <c r="E840" s="2">
        <v>5</v>
      </c>
      <c r="F840" s="1">
        <v>32.746486509999997</v>
      </c>
      <c r="G840" s="2">
        <v>92</v>
      </c>
      <c r="H840" s="2">
        <v>55</v>
      </c>
      <c r="I840" s="2">
        <v>32</v>
      </c>
      <c r="J840" s="2">
        <v>2</v>
      </c>
      <c r="K840" s="2">
        <v>0</v>
      </c>
      <c r="L84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40" t="str">
        <f>IF(Table1[[#This Row],[Experience Years]]&lt;=2,"Entry Level",IF(Table1[[#This Row],[Experience Years]]&lt;=7,"Mid Level",IF(Table1[[#This Row],[Experience Years]]&lt;=15,"Senior Level")))</f>
        <v>Mid Level</v>
      </c>
      <c r="N840" s="1">
        <f>AVERAGE(Table1[[#This Row],[Interview Score]:[Personality Score]])</f>
        <v>59.666666666666664</v>
      </c>
      <c r="O8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40" s="2" t="str">
        <f t="shared" si="13"/>
        <v>30-40</v>
      </c>
    </row>
    <row r="841" spans="1:16" x14ac:dyDescent="0.25">
      <c r="A841">
        <v>45</v>
      </c>
      <c r="B841" s="2">
        <v>1</v>
      </c>
      <c r="C841" s="2">
        <v>4</v>
      </c>
      <c r="D841" s="2">
        <v>0</v>
      </c>
      <c r="E841" s="2">
        <v>1</v>
      </c>
      <c r="F841" s="1">
        <v>43.94661747</v>
      </c>
      <c r="G841" s="2">
        <v>14</v>
      </c>
      <c r="H841" s="2">
        <v>44</v>
      </c>
      <c r="I841" s="2">
        <v>86</v>
      </c>
      <c r="J841" s="2">
        <v>1</v>
      </c>
      <c r="K841" s="2">
        <v>1</v>
      </c>
      <c r="L84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41" t="str">
        <f>IF(Table1[[#This Row],[Experience Years]]&lt;=2,"Entry Level",IF(Table1[[#This Row],[Experience Years]]&lt;=7,"Mid Level",IF(Table1[[#This Row],[Experience Years]]&lt;=15,"Senior Level")))</f>
        <v>Entry Level</v>
      </c>
      <c r="N841" s="1">
        <f>AVERAGE(Table1[[#This Row],[Interview Score]:[Personality Score]])</f>
        <v>48</v>
      </c>
      <c r="O8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41" s="2" t="str">
        <f t="shared" si="13"/>
        <v>40-50</v>
      </c>
    </row>
    <row r="842" spans="1:16" x14ac:dyDescent="0.25">
      <c r="A842">
        <v>21</v>
      </c>
      <c r="B842" s="2">
        <v>0</v>
      </c>
      <c r="C842" s="2">
        <v>3</v>
      </c>
      <c r="D842" s="2">
        <v>9</v>
      </c>
      <c r="E842" s="2">
        <v>5</v>
      </c>
      <c r="F842" s="1">
        <v>18.23848834</v>
      </c>
      <c r="G842" s="2">
        <v>98</v>
      </c>
      <c r="H842" s="2">
        <v>29</v>
      </c>
      <c r="I842" s="2">
        <v>20</v>
      </c>
      <c r="J842" s="2">
        <v>2</v>
      </c>
      <c r="K842" s="2">
        <v>0</v>
      </c>
      <c r="L84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42" s="2" t="str">
        <f>IF(Table1[[#This Row],[Experience Years]]&lt;=2,"Entry Level",IF(Table1[[#This Row],[Experience Years]]&lt;=7,"Mid Level",IF(Table1[[#This Row],[Experience Years]]&lt;=15,"Senior Level")))</f>
        <v>Senior Level</v>
      </c>
      <c r="N842" s="1">
        <f>AVERAGE(Table1[[#This Row],[Interview Score]:[Personality Score]])</f>
        <v>49</v>
      </c>
      <c r="O8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42" s="2" t="str">
        <f t="shared" si="13"/>
        <v>10-20</v>
      </c>
    </row>
    <row r="843" spans="1:16" x14ac:dyDescent="0.25">
      <c r="A843">
        <v>24</v>
      </c>
      <c r="B843" s="2">
        <v>0</v>
      </c>
      <c r="C843" s="2">
        <v>2</v>
      </c>
      <c r="D843" s="2">
        <v>3</v>
      </c>
      <c r="E843" s="2">
        <v>2</v>
      </c>
      <c r="F843" s="1">
        <v>20.51477736</v>
      </c>
      <c r="G843" s="2">
        <v>100</v>
      </c>
      <c r="H843" s="2">
        <v>43</v>
      </c>
      <c r="I843" s="2">
        <v>54</v>
      </c>
      <c r="J843" s="2">
        <v>3</v>
      </c>
      <c r="K843" s="2">
        <v>0</v>
      </c>
      <c r="L84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43" s="2" t="str">
        <f>IF(Table1[[#This Row],[Experience Years]]&lt;=2,"Entry Level",IF(Table1[[#This Row],[Experience Years]]&lt;=7,"Mid Level",IF(Table1[[#This Row],[Experience Years]]&lt;=15,"Senior Level")))</f>
        <v>Mid Level</v>
      </c>
      <c r="N843" s="1">
        <f>AVERAGE(Table1[[#This Row],[Interview Score]:[Personality Score]])</f>
        <v>65.666666666666671</v>
      </c>
      <c r="O8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43" s="2" t="str">
        <f t="shared" si="13"/>
        <v>20-30</v>
      </c>
    </row>
    <row r="844" spans="1:16" x14ac:dyDescent="0.25">
      <c r="A844">
        <v>48</v>
      </c>
      <c r="B844" s="2">
        <v>1</v>
      </c>
      <c r="C844" s="2">
        <v>2</v>
      </c>
      <c r="D844" s="2">
        <v>5</v>
      </c>
      <c r="E844" s="2">
        <v>3</v>
      </c>
      <c r="F844" s="1">
        <v>45.551084150000001</v>
      </c>
      <c r="G844" s="2">
        <v>75</v>
      </c>
      <c r="H844" s="2">
        <v>73</v>
      </c>
      <c r="I844" s="2">
        <v>75</v>
      </c>
      <c r="J844" s="2">
        <v>3</v>
      </c>
      <c r="K844" s="2">
        <v>0</v>
      </c>
      <c r="L84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44" t="str">
        <f>IF(Table1[[#This Row],[Experience Years]]&lt;=2,"Entry Level",IF(Table1[[#This Row],[Experience Years]]&lt;=7,"Mid Level",IF(Table1[[#This Row],[Experience Years]]&lt;=15,"Senior Level")))</f>
        <v>Mid Level</v>
      </c>
      <c r="N844" s="1">
        <f>AVERAGE(Table1[[#This Row],[Interview Score]:[Personality Score]])</f>
        <v>74.333333333333329</v>
      </c>
      <c r="O8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44" s="2" t="str">
        <f t="shared" si="13"/>
        <v>40-50</v>
      </c>
    </row>
    <row r="845" spans="1:16" x14ac:dyDescent="0.25">
      <c r="A845">
        <v>24</v>
      </c>
      <c r="B845" s="2">
        <v>1</v>
      </c>
      <c r="C845" s="2">
        <v>3</v>
      </c>
      <c r="D845" s="2">
        <v>8</v>
      </c>
      <c r="E845" s="2">
        <v>2</v>
      </c>
      <c r="F845" s="1">
        <v>41.680440670000003</v>
      </c>
      <c r="G845" s="2">
        <v>29</v>
      </c>
      <c r="H845" s="2">
        <v>54</v>
      </c>
      <c r="I845" s="2">
        <v>56</v>
      </c>
      <c r="J845" s="2">
        <v>2</v>
      </c>
      <c r="K845" s="2">
        <v>0</v>
      </c>
      <c r="L84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45" t="str">
        <f>IF(Table1[[#This Row],[Experience Years]]&lt;=2,"Entry Level",IF(Table1[[#This Row],[Experience Years]]&lt;=7,"Mid Level",IF(Table1[[#This Row],[Experience Years]]&lt;=15,"Senior Level")))</f>
        <v>Senior Level</v>
      </c>
      <c r="N845" s="1">
        <f>AVERAGE(Table1[[#This Row],[Interview Score]:[Personality Score]])</f>
        <v>46.333333333333336</v>
      </c>
      <c r="O8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45" s="2" t="str">
        <f t="shared" si="13"/>
        <v>40-50</v>
      </c>
    </row>
    <row r="846" spans="1:16" x14ac:dyDescent="0.25">
      <c r="A846">
        <v>25</v>
      </c>
      <c r="B846" s="2">
        <v>0</v>
      </c>
      <c r="C846" s="2">
        <v>1</v>
      </c>
      <c r="D846" s="2">
        <v>13</v>
      </c>
      <c r="E846" s="2">
        <v>3</v>
      </c>
      <c r="F846" s="1">
        <v>36.747641180000002</v>
      </c>
      <c r="G846" s="2">
        <v>19</v>
      </c>
      <c r="H846" s="2">
        <v>18</v>
      </c>
      <c r="I846" s="2">
        <v>1</v>
      </c>
      <c r="J846" s="2">
        <v>2</v>
      </c>
      <c r="K846" s="2">
        <v>0</v>
      </c>
      <c r="L84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46" s="2" t="str">
        <f>IF(Table1[[#This Row],[Experience Years]]&lt;=2,"Entry Level",IF(Table1[[#This Row],[Experience Years]]&lt;=7,"Mid Level",IF(Table1[[#This Row],[Experience Years]]&lt;=15,"Senior Level")))</f>
        <v>Senior Level</v>
      </c>
      <c r="N846" s="1">
        <f>AVERAGE(Table1[[#This Row],[Interview Score]:[Personality Score]])</f>
        <v>12.666666666666666</v>
      </c>
      <c r="O8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46" s="2" t="str">
        <f t="shared" si="13"/>
        <v>30-40</v>
      </c>
    </row>
    <row r="847" spans="1:16" x14ac:dyDescent="0.25">
      <c r="A847">
        <v>38</v>
      </c>
      <c r="B847" s="2">
        <v>0</v>
      </c>
      <c r="C847" s="2">
        <v>2</v>
      </c>
      <c r="D847" s="2">
        <v>10</v>
      </c>
      <c r="E847" s="2">
        <v>5</v>
      </c>
      <c r="F847" s="1">
        <v>13.439853189999999</v>
      </c>
      <c r="G847" s="2">
        <v>36</v>
      </c>
      <c r="H847" s="2">
        <v>28</v>
      </c>
      <c r="I847" s="2">
        <v>12</v>
      </c>
      <c r="J847" s="2">
        <v>1</v>
      </c>
      <c r="K847" s="2">
        <v>0</v>
      </c>
      <c r="L84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47" s="2" t="str">
        <f>IF(Table1[[#This Row],[Experience Years]]&lt;=2,"Entry Level",IF(Table1[[#This Row],[Experience Years]]&lt;=7,"Mid Level",IF(Table1[[#This Row],[Experience Years]]&lt;=15,"Senior Level")))</f>
        <v>Senior Level</v>
      </c>
      <c r="N847" s="1">
        <f>AVERAGE(Table1[[#This Row],[Interview Score]:[Personality Score]])</f>
        <v>25.333333333333332</v>
      </c>
      <c r="O8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47" s="2" t="str">
        <f t="shared" si="13"/>
        <v>10-20</v>
      </c>
    </row>
    <row r="848" spans="1:16" x14ac:dyDescent="0.25">
      <c r="A848">
        <v>27</v>
      </c>
      <c r="B848" s="2">
        <v>1</v>
      </c>
      <c r="C848" s="2">
        <v>3</v>
      </c>
      <c r="D848" s="2">
        <v>15</v>
      </c>
      <c r="E848" s="2">
        <v>4</v>
      </c>
      <c r="F848" s="1">
        <v>46.510832749999999</v>
      </c>
      <c r="G848" s="2">
        <v>2</v>
      </c>
      <c r="H848" s="2">
        <v>1</v>
      </c>
      <c r="I848" s="2">
        <v>3</v>
      </c>
      <c r="J848" s="2">
        <v>2</v>
      </c>
      <c r="K848" s="2">
        <v>0</v>
      </c>
      <c r="L84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48" t="str">
        <f>IF(Table1[[#This Row],[Experience Years]]&lt;=2,"Entry Level",IF(Table1[[#This Row],[Experience Years]]&lt;=7,"Mid Level",IF(Table1[[#This Row],[Experience Years]]&lt;=15,"Senior Level")))</f>
        <v>Senior Level</v>
      </c>
      <c r="N848" s="1">
        <f>AVERAGE(Table1[[#This Row],[Interview Score]:[Personality Score]])</f>
        <v>2</v>
      </c>
      <c r="O8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48" s="2" t="str">
        <f t="shared" si="13"/>
        <v>40-50</v>
      </c>
    </row>
    <row r="849" spans="1:16" x14ac:dyDescent="0.25">
      <c r="A849">
        <v>35</v>
      </c>
      <c r="B849" s="2">
        <v>0</v>
      </c>
      <c r="C849" s="2">
        <v>2</v>
      </c>
      <c r="D849" s="2">
        <v>10</v>
      </c>
      <c r="E849" s="2">
        <v>4</v>
      </c>
      <c r="F849" s="1">
        <v>8.7207878769999994</v>
      </c>
      <c r="G849" s="2">
        <v>72</v>
      </c>
      <c r="H849" s="2">
        <v>35</v>
      </c>
      <c r="I849" s="2">
        <v>83</v>
      </c>
      <c r="J849" s="2">
        <v>2</v>
      </c>
      <c r="K849" s="2">
        <v>0</v>
      </c>
      <c r="L84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49" s="2" t="str">
        <f>IF(Table1[[#This Row],[Experience Years]]&lt;=2,"Entry Level",IF(Table1[[#This Row],[Experience Years]]&lt;=7,"Mid Level",IF(Table1[[#This Row],[Experience Years]]&lt;=15,"Senior Level")))</f>
        <v>Senior Level</v>
      </c>
      <c r="N849" s="1">
        <f>AVERAGE(Table1[[#This Row],[Interview Score]:[Personality Score]])</f>
        <v>63.333333333333336</v>
      </c>
      <c r="O8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49" s="2" t="str">
        <f t="shared" si="13"/>
        <v>0-10</v>
      </c>
    </row>
    <row r="850" spans="1:16" x14ac:dyDescent="0.25">
      <c r="A850">
        <v>32</v>
      </c>
      <c r="B850" s="2">
        <v>1</v>
      </c>
      <c r="C850" s="2">
        <v>1</v>
      </c>
      <c r="D850" s="2">
        <v>12</v>
      </c>
      <c r="E850" s="2">
        <v>3</v>
      </c>
      <c r="F850" s="1">
        <v>32.338525969999999</v>
      </c>
      <c r="G850" s="2">
        <v>40</v>
      </c>
      <c r="H850" s="2">
        <v>18</v>
      </c>
      <c r="I850" s="2">
        <v>49</v>
      </c>
      <c r="J850" s="2">
        <v>2</v>
      </c>
      <c r="K850" s="2">
        <v>0</v>
      </c>
      <c r="L85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50" t="str">
        <f>IF(Table1[[#This Row],[Experience Years]]&lt;=2,"Entry Level",IF(Table1[[#This Row],[Experience Years]]&lt;=7,"Mid Level",IF(Table1[[#This Row],[Experience Years]]&lt;=15,"Senior Level")))</f>
        <v>Senior Level</v>
      </c>
      <c r="N850" s="1">
        <f>AVERAGE(Table1[[#This Row],[Interview Score]:[Personality Score]])</f>
        <v>35.666666666666664</v>
      </c>
      <c r="O8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50" s="2" t="str">
        <f t="shared" si="13"/>
        <v>30-40</v>
      </c>
    </row>
    <row r="851" spans="1:16" x14ac:dyDescent="0.25">
      <c r="A851">
        <v>20</v>
      </c>
      <c r="B851" s="2">
        <v>0</v>
      </c>
      <c r="C851" s="2">
        <v>2</v>
      </c>
      <c r="D851" s="2">
        <v>1</v>
      </c>
      <c r="E851" s="2">
        <v>4</v>
      </c>
      <c r="F851" s="1">
        <v>2.4400590270000002</v>
      </c>
      <c r="G851" s="2">
        <v>38</v>
      </c>
      <c r="H851" s="2">
        <v>6</v>
      </c>
      <c r="I851" s="2">
        <v>47</v>
      </c>
      <c r="J851" s="2">
        <v>3</v>
      </c>
      <c r="K851" s="2">
        <v>0</v>
      </c>
      <c r="L85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51" s="2" t="str">
        <f>IF(Table1[[#This Row],[Experience Years]]&lt;=2,"Entry Level",IF(Table1[[#This Row],[Experience Years]]&lt;=7,"Mid Level",IF(Table1[[#This Row],[Experience Years]]&lt;=15,"Senior Level")))</f>
        <v>Entry Level</v>
      </c>
      <c r="N851" s="1">
        <f>AVERAGE(Table1[[#This Row],[Interview Score]:[Personality Score]])</f>
        <v>30.333333333333332</v>
      </c>
      <c r="O8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51" s="2" t="str">
        <f t="shared" si="13"/>
        <v>0-10</v>
      </c>
    </row>
    <row r="852" spans="1:16" x14ac:dyDescent="0.25">
      <c r="A852">
        <v>41</v>
      </c>
      <c r="B852" s="2">
        <v>0</v>
      </c>
      <c r="C852" s="2">
        <v>3</v>
      </c>
      <c r="D852" s="2">
        <v>10</v>
      </c>
      <c r="E852" s="2">
        <v>5</v>
      </c>
      <c r="F852" s="1">
        <v>33.185990320000002</v>
      </c>
      <c r="G852" s="2">
        <v>25</v>
      </c>
      <c r="H852" s="2">
        <v>25</v>
      </c>
      <c r="I852" s="2">
        <v>77</v>
      </c>
      <c r="J852" s="2">
        <v>2</v>
      </c>
      <c r="K852" s="2">
        <v>0</v>
      </c>
      <c r="L85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52" s="2" t="str">
        <f>IF(Table1[[#This Row],[Experience Years]]&lt;=2,"Entry Level",IF(Table1[[#This Row],[Experience Years]]&lt;=7,"Mid Level",IF(Table1[[#This Row],[Experience Years]]&lt;=15,"Senior Level")))</f>
        <v>Senior Level</v>
      </c>
      <c r="N852" s="1">
        <f>AVERAGE(Table1[[#This Row],[Interview Score]:[Personality Score]])</f>
        <v>42.333333333333336</v>
      </c>
      <c r="O8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52" s="2" t="str">
        <f t="shared" si="13"/>
        <v>30-40</v>
      </c>
    </row>
    <row r="853" spans="1:16" x14ac:dyDescent="0.25">
      <c r="A853">
        <v>39</v>
      </c>
      <c r="B853" s="2">
        <v>0</v>
      </c>
      <c r="C853" s="2">
        <v>2</v>
      </c>
      <c r="D853" s="2">
        <v>6</v>
      </c>
      <c r="E853" s="2">
        <v>4</v>
      </c>
      <c r="F853" s="1">
        <v>14.857217589999999</v>
      </c>
      <c r="G853" s="2">
        <v>1</v>
      </c>
      <c r="H853" s="2">
        <v>78</v>
      </c>
      <c r="I853" s="2">
        <v>29</v>
      </c>
      <c r="J853" s="2">
        <v>1</v>
      </c>
      <c r="K853" s="2">
        <v>1</v>
      </c>
      <c r="L85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53" s="2" t="str">
        <f>IF(Table1[[#This Row],[Experience Years]]&lt;=2,"Entry Level",IF(Table1[[#This Row],[Experience Years]]&lt;=7,"Mid Level",IF(Table1[[#This Row],[Experience Years]]&lt;=15,"Senior Level")))</f>
        <v>Mid Level</v>
      </c>
      <c r="N853" s="1">
        <f>AVERAGE(Table1[[#This Row],[Interview Score]:[Personality Score]])</f>
        <v>36</v>
      </c>
      <c r="O8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53" s="2" t="str">
        <f t="shared" si="13"/>
        <v>10-20</v>
      </c>
    </row>
    <row r="854" spans="1:16" x14ac:dyDescent="0.25">
      <c r="A854">
        <v>36</v>
      </c>
      <c r="B854" s="2">
        <v>0</v>
      </c>
      <c r="C854" s="2">
        <v>2</v>
      </c>
      <c r="D854" s="2">
        <v>5</v>
      </c>
      <c r="E854" s="2">
        <v>5</v>
      </c>
      <c r="F854" s="1">
        <v>23.483848859999998</v>
      </c>
      <c r="G854" s="2">
        <v>22</v>
      </c>
      <c r="H854" s="2">
        <v>37</v>
      </c>
      <c r="I854" s="2">
        <v>28</v>
      </c>
      <c r="J854" s="2">
        <v>1</v>
      </c>
      <c r="K854" s="2">
        <v>0</v>
      </c>
      <c r="L85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54" s="2" t="str">
        <f>IF(Table1[[#This Row],[Experience Years]]&lt;=2,"Entry Level",IF(Table1[[#This Row],[Experience Years]]&lt;=7,"Mid Level",IF(Table1[[#This Row],[Experience Years]]&lt;=15,"Senior Level")))</f>
        <v>Mid Level</v>
      </c>
      <c r="N854" s="1">
        <f>AVERAGE(Table1[[#This Row],[Interview Score]:[Personality Score]])</f>
        <v>29</v>
      </c>
      <c r="O8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54" s="2" t="str">
        <f t="shared" si="13"/>
        <v>20-30</v>
      </c>
    </row>
    <row r="855" spans="1:16" x14ac:dyDescent="0.25">
      <c r="A855">
        <v>50</v>
      </c>
      <c r="B855" s="2">
        <v>1</v>
      </c>
      <c r="C855" s="2">
        <v>2</v>
      </c>
      <c r="D855" s="2">
        <v>1</v>
      </c>
      <c r="E855" s="2">
        <v>2</v>
      </c>
      <c r="F855" s="1">
        <v>18.2632276</v>
      </c>
      <c r="G855" s="2">
        <v>22</v>
      </c>
      <c r="H855" s="2">
        <v>2</v>
      </c>
      <c r="I855" s="2">
        <v>7</v>
      </c>
      <c r="J855" s="2">
        <v>2</v>
      </c>
      <c r="K855" s="2">
        <v>0</v>
      </c>
      <c r="L85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55" t="str">
        <f>IF(Table1[[#This Row],[Experience Years]]&lt;=2,"Entry Level",IF(Table1[[#This Row],[Experience Years]]&lt;=7,"Mid Level",IF(Table1[[#This Row],[Experience Years]]&lt;=15,"Senior Level")))</f>
        <v>Entry Level</v>
      </c>
      <c r="N855" s="1">
        <f>AVERAGE(Table1[[#This Row],[Interview Score]:[Personality Score]])</f>
        <v>10.333333333333334</v>
      </c>
      <c r="O8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55" s="2" t="str">
        <f t="shared" si="13"/>
        <v>10-20</v>
      </c>
    </row>
    <row r="856" spans="1:16" x14ac:dyDescent="0.25">
      <c r="A856">
        <v>26</v>
      </c>
      <c r="B856" s="2">
        <v>0</v>
      </c>
      <c r="C856" s="2">
        <v>2</v>
      </c>
      <c r="D856" s="2">
        <v>7</v>
      </c>
      <c r="E856" s="2">
        <v>5</v>
      </c>
      <c r="F856" s="1">
        <v>9.6378378120000008</v>
      </c>
      <c r="G856" s="2">
        <v>84</v>
      </c>
      <c r="H856" s="2">
        <v>79</v>
      </c>
      <c r="I856" s="2">
        <v>11</v>
      </c>
      <c r="J856" s="2">
        <v>2</v>
      </c>
      <c r="K856" s="2">
        <v>0</v>
      </c>
      <c r="L85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56" s="2" t="str">
        <f>IF(Table1[[#This Row],[Experience Years]]&lt;=2,"Entry Level",IF(Table1[[#This Row],[Experience Years]]&lt;=7,"Mid Level",IF(Table1[[#This Row],[Experience Years]]&lt;=15,"Senior Level")))</f>
        <v>Mid Level</v>
      </c>
      <c r="N856" s="1">
        <f>AVERAGE(Table1[[#This Row],[Interview Score]:[Personality Score]])</f>
        <v>58</v>
      </c>
      <c r="O8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56" s="2" t="str">
        <f t="shared" si="13"/>
        <v>0-10</v>
      </c>
    </row>
    <row r="857" spans="1:16" x14ac:dyDescent="0.25">
      <c r="A857">
        <v>44</v>
      </c>
      <c r="B857" s="2">
        <v>0</v>
      </c>
      <c r="C857" s="2">
        <v>2</v>
      </c>
      <c r="D857" s="2">
        <v>6</v>
      </c>
      <c r="E857" s="2">
        <v>1</v>
      </c>
      <c r="F857" s="1">
        <v>32.099039500000003</v>
      </c>
      <c r="G857" s="2">
        <v>15</v>
      </c>
      <c r="H857" s="2">
        <v>65</v>
      </c>
      <c r="I857" s="2">
        <v>40</v>
      </c>
      <c r="J857" s="2">
        <v>3</v>
      </c>
      <c r="K857" s="2">
        <v>0</v>
      </c>
      <c r="L85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57" s="2" t="str">
        <f>IF(Table1[[#This Row],[Experience Years]]&lt;=2,"Entry Level",IF(Table1[[#This Row],[Experience Years]]&lt;=7,"Mid Level",IF(Table1[[#This Row],[Experience Years]]&lt;=15,"Senior Level")))</f>
        <v>Mid Level</v>
      </c>
      <c r="N857" s="1">
        <f>AVERAGE(Table1[[#This Row],[Interview Score]:[Personality Score]])</f>
        <v>40</v>
      </c>
      <c r="O8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57" s="2" t="str">
        <f t="shared" si="13"/>
        <v>30-40</v>
      </c>
    </row>
    <row r="858" spans="1:16" x14ac:dyDescent="0.25">
      <c r="A858">
        <v>32</v>
      </c>
      <c r="B858" s="2">
        <v>1</v>
      </c>
      <c r="C858" s="2">
        <v>3</v>
      </c>
      <c r="D858" s="2">
        <v>10</v>
      </c>
      <c r="E858" s="2">
        <v>1</v>
      </c>
      <c r="F858" s="1">
        <v>45.098777759999997</v>
      </c>
      <c r="G858" s="2">
        <v>8</v>
      </c>
      <c r="H858" s="2">
        <v>94</v>
      </c>
      <c r="I858" s="2">
        <v>25</v>
      </c>
      <c r="J858" s="2">
        <v>2</v>
      </c>
      <c r="K858" s="2">
        <v>0</v>
      </c>
      <c r="L85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58" t="str">
        <f>IF(Table1[[#This Row],[Experience Years]]&lt;=2,"Entry Level",IF(Table1[[#This Row],[Experience Years]]&lt;=7,"Mid Level",IF(Table1[[#This Row],[Experience Years]]&lt;=15,"Senior Level")))</f>
        <v>Senior Level</v>
      </c>
      <c r="N858" s="1">
        <f>AVERAGE(Table1[[#This Row],[Interview Score]:[Personality Score]])</f>
        <v>42.333333333333336</v>
      </c>
      <c r="O8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58" s="2" t="str">
        <f t="shared" si="13"/>
        <v>40-50</v>
      </c>
    </row>
    <row r="859" spans="1:16" x14ac:dyDescent="0.25">
      <c r="A859">
        <v>23</v>
      </c>
      <c r="B859" s="2">
        <v>0</v>
      </c>
      <c r="C859" s="2">
        <v>1</v>
      </c>
      <c r="D859" s="2">
        <v>4</v>
      </c>
      <c r="E859" s="2">
        <v>1</v>
      </c>
      <c r="F859" s="1">
        <v>48.95421211</v>
      </c>
      <c r="G859" s="2">
        <v>12</v>
      </c>
      <c r="H859" s="2">
        <v>91</v>
      </c>
      <c r="I859" s="2">
        <v>49</v>
      </c>
      <c r="J859" s="2">
        <v>2</v>
      </c>
      <c r="K859" s="2">
        <v>0</v>
      </c>
      <c r="L85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59" s="2" t="str">
        <f>IF(Table1[[#This Row],[Experience Years]]&lt;=2,"Entry Level",IF(Table1[[#This Row],[Experience Years]]&lt;=7,"Mid Level",IF(Table1[[#This Row],[Experience Years]]&lt;=15,"Senior Level")))</f>
        <v>Mid Level</v>
      </c>
      <c r="N859" s="1">
        <f>AVERAGE(Table1[[#This Row],[Interview Score]:[Personality Score]])</f>
        <v>50.666666666666664</v>
      </c>
      <c r="O8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59" s="2" t="str">
        <f t="shared" si="13"/>
        <v>40-50</v>
      </c>
    </row>
    <row r="860" spans="1:16" x14ac:dyDescent="0.25">
      <c r="A860">
        <v>23</v>
      </c>
      <c r="B860" s="2">
        <v>0</v>
      </c>
      <c r="C860" s="2">
        <v>3</v>
      </c>
      <c r="D860" s="2">
        <v>11</v>
      </c>
      <c r="E860" s="2">
        <v>3</v>
      </c>
      <c r="F860" s="1">
        <v>10.61731816</v>
      </c>
      <c r="G860" s="2">
        <v>27</v>
      </c>
      <c r="H860" s="2">
        <v>70</v>
      </c>
      <c r="I860" s="2">
        <v>1</v>
      </c>
      <c r="J860" s="2">
        <v>2</v>
      </c>
      <c r="K860" s="2">
        <v>0</v>
      </c>
      <c r="L86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60" s="2" t="str">
        <f>IF(Table1[[#This Row],[Experience Years]]&lt;=2,"Entry Level",IF(Table1[[#This Row],[Experience Years]]&lt;=7,"Mid Level",IF(Table1[[#This Row],[Experience Years]]&lt;=15,"Senior Level")))</f>
        <v>Senior Level</v>
      </c>
      <c r="N860" s="1">
        <f>AVERAGE(Table1[[#This Row],[Interview Score]:[Personality Score]])</f>
        <v>32.666666666666664</v>
      </c>
      <c r="O8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60" s="2" t="str">
        <f t="shared" si="13"/>
        <v>10-20</v>
      </c>
    </row>
    <row r="861" spans="1:16" x14ac:dyDescent="0.25">
      <c r="A861">
        <v>25</v>
      </c>
      <c r="B861" s="2">
        <v>1</v>
      </c>
      <c r="C861" s="2">
        <v>1</v>
      </c>
      <c r="D861" s="2">
        <v>4</v>
      </c>
      <c r="E861" s="2">
        <v>3</v>
      </c>
      <c r="F861" s="1">
        <v>36.868638699999998</v>
      </c>
      <c r="G861" s="2">
        <v>26</v>
      </c>
      <c r="H861" s="2">
        <v>93</v>
      </c>
      <c r="I861" s="2">
        <v>54</v>
      </c>
      <c r="J861" s="2">
        <v>2</v>
      </c>
      <c r="K861" s="2">
        <v>0</v>
      </c>
      <c r="L86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61" t="str">
        <f>IF(Table1[[#This Row],[Experience Years]]&lt;=2,"Entry Level",IF(Table1[[#This Row],[Experience Years]]&lt;=7,"Mid Level",IF(Table1[[#This Row],[Experience Years]]&lt;=15,"Senior Level")))</f>
        <v>Mid Level</v>
      </c>
      <c r="N861" s="1">
        <f>AVERAGE(Table1[[#This Row],[Interview Score]:[Personality Score]])</f>
        <v>57.666666666666664</v>
      </c>
      <c r="O8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61" s="2" t="str">
        <f t="shared" si="13"/>
        <v>30-40</v>
      </c>
    </row>
    <row r="862" spans="1:16" x14ac:dyDescent="0.25">
      <c r="A862">
        <v>47</v>
      </c>
      <c r="B862" s="2">
        <v>0</v>
      </c>
      <c r="C862" s="2">
        <v>2</v>
      </c>
      <c r="D862" s="2">
        <v>6</v>
      </c>
      <c r="E862" s="2">
        <v>3</v>
      </c>
      <c r="F862" s="1">
        <v>34.21696833</v>
      </c>
      <c r="G862" s="2">
        <v>50</v>
      </c>
      <c r="H862" s="2">
        <v>42</v>
      </c>
      <c r="I862" s="2">
        <v>55</v>
      </c>
      <c r="J862" s="2">
        <v>2</v>
      </c>
      <c r="K862" s="2">
        <v>0</v>
      </c>
      <c r="L86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62" s="2" t="str">
        <f>IF(Table1[[#This Row],[Experience Years]]&lt;=2,"Entry Level",IF(Table1[[#This Row],[Experience Years]]&lt;=7,"Mid Level",IF(Table1[[#This Row],[Experience Years]]&lt;=15,"Senior Level")))</f>
        <v>Mid Level</v>
      </c>
      <c r="N862" s="1">
        <f>AVERAGE(Table1[[#This Row],[Interview Score]:[Personality Score]])</f>
        <v>49</v>
      </c>
      <c r="O8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62" s="2" t="str">
        <f t="shared" si="13"/>
        <v>30-40</v>
      </c>
    </row>
    <row r="863" spans="1:16" x14ac:dyDescent="0.25">
      <c r="A863">
        <v>50</v>
      </c>
      <c r="B863" s="2">
        <v>1</v>
      </c>
      <c r="C863" s="2">
        <v>1</v>
      </c>
      <c r="D863" s="2">
        <v>8</v>
      </c>
      <c r="E863" s="2">
        <v>5</v>
      </c>
      <c r="F863" s="1">
        <v>18.168889480000001</v>
      </c>
      <c r="G863" s="2">
        <v>63</v>
      </c>
      <c r="H863" s="2">
        <v>61</v>
      </c>
      <c r="I863" s="2">
        <v>13</v>
      </c>
      <c r="J863" s="2">
        <v>2</v>
      </c>
      <c r="K863" s="2">
        <v>0</v>
      </c>
      <c r="L86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63" t="str">
        <f>IF(Table1[[#This Row],[Experience Years]]&lt;=2,"Entry Level",IF(Table1[[#This Row],[Experience Years]]&lt;=7,"Mid Level",IF(Table1[[#This Row],[Experience Years]]&lt;=15,"Senior Level")))</f>
        <v>Senior Level</v>
      </c>
      <c r="N863" s="1">
        <f>AVERAGE(Table1[[#This Row],[Interview Score]:[Personality Score]])</f>
        <v>45.666666666666664</v>
      </c>
      <c r="O8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63" s="2" t="str">
        <f t="shared" si="13"/>
        <v>10-20</v>
      </c>
    </row>
    <row r="864" spans="1:16" x14ac:dyDescent="0.25">
      <c r="A864">
        <v>38</v>
      </c>
      <c r="B864" s="2">
        <v>1</v>
      </c>
      <c r="C864" s="2">
        <v>2</v>
      </c>
      <c r="D864" s="2">
        <v>10</v>
      </c>
      <c r="E864" s="2">
        <v>3</v>
      </c>
      <c r="F864" s="1">
        <v>1.954959968</v>
      </c>
      <c r="G864" s="2">
        <v>51</v>
      </c>
      <c r="H864" s="2">
        <v>70</v>
      </c>
      <c r="I864" s="2">
        <v>5</v>
      </c>
      <c r="J864" s="2">
        <v>2</v>
      </c>
      <c r="K864" s="2">
        <v>0</v>
      </c>
      <c r="L86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64" t="str">
        <f>IF(Table1[[#This Row],[Experience Years]]&lt;=2,"Entry Level",IF(Table1[[#This Row],[Experience Years]]&lt;=7,"Mid Level",IF(Table1[[#This Row],[Experience Years]]&lt;=15,"Senior Level")))</f>
        <v>Senior Level</v>
      </c>
      <c r="N864" s="1">
        <f>AVERAGE(Table1[[#This Row],[Interview Score]:[Personality Score]])</f>
        <v>42</v>
      </c>
      <c r="O8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64" s="2" t="str">
        <f t="shared" si="13"/>
        <v>0-10</v>
      </c>
    </row>
    <row r="865" spans="1:16" x14ac:dyDescent="0.25">
      <c r="A865">
        <v>48</v>
      </c>
      <c r="B865" s="2">
        <v>1</v>
      </c>
      <c r="C865" s="2">
        <v>2</v>
      </c>
      <c r="D865" s="2">
        <v>14</v>
      </c>
      <c r="E865" s="2">
        <v>2</v>
      </c>
      <c r="F865" s="1">
        <v>35.489562370000002</v>
      </c>
      <c r="G865" s="2">
        <v>80</v>
      </c>
      <c r="H865" s="2">
        <v>99</v>
      </c>
      <c r="I865" s="2">
        <v>94</v>
      </c>
      <c r="J865" s="2">
        <v>1</v>
      </c>
      <c r="K865" s="2">
        <v>1</v>
      </c>
      <c r="L86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65" t="str">
        <f>IF(Table1[[#This Row],[Experience Years]]&lt;=2,"Entry Level",IF(Table1[[#This Row],[Experience Years]]&lt;=7,"Mid Level",IF(Table1[[#This Row],[Experience Years]]&lt;=15,"Senior Level")))</f>
        <v>Senior Level</v>
      </c>
      <c r="N865" s="1">
        <f>AVERAGE(Table1[[#This Row],[Interview Score]:[Personality Score]])</f>
        <v>91</v>
      </c>
      <c r="O8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90-100</v>
      </c>
      <c r="P865" s="2" t="str">
        <f t="shared" si="13"/>
        <v>30-40</v>
      </c>
    </row>
    <row r="866" spans="1:16" x14ac:dyDescent="0.25">
      <c r="A866">
        <v>31</v>
      </c>
      <c r="B866" s="2">
        <v>1</v>
      </c>
      <c r="C866" s="2">
        <v>2</v>
      </c>
      <c r="D866" s="2">
        <v>8</v>
      </c>
      <c r="E866" s="2">
        <v>1</v>
      </c>
      <c r="F866" s="1">
        <v>48.274743030000003</v>
      </c>
      <c r="G866" s="2">
        <v>37</v>
      </c>
      <c r="H866" s="2">
        <v>92</v>
      </c>
      <c r="I866" s="2">
        <v>80</v>
      </c>
      <c r="J866" s="2">
        <v>3</v>
      </c>
      <c r="K866" s="2">
        <v>0</v>
      </c>
      <c r="L86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66" t="str">
        <f>IF(Table1[[#This Row],[Experience Years]]&lt;=2,"Entry Level",IF(Table1[[#This Row],[Experience Years]]&lt;=7,"Mid Level",IF(Table1[[#This Row],[Experience Years]]&lt;=15,"Senior Level")))</f>
        <v>Senior Level</v>
      </c>
      <c r="N866" s="1">
        <f>AVERAGE(Table1[[#This Row],[Interview Score]:[Personality Score]])</f>
        <v>69.666666666666671</v>
      </c>
      <c r="O8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66" s="2" t="str">
        <f t="shared" si="13"/>
        <v>40-50</v>
      </c>
    </row>
    <row r="867" spans="1:16" x14ac:dyDescent="0.25">
      <c r="A867">
        <v>41</v>
      </c>
      <c r="B867" s="2">
        <v>0</v>
      </c>
      <c r="C867" s="2">
        <v>1</v>
      </c>
      <c r="D867" s="2">
        <v>8</v>
      </c>
      <c r="E867" s="2">
        <v>5</v>
      </c>
      <c r="F867" s="1">
        <v>32.606006100000002</v>
      </c>
      <c r="G867" s="2">
        <v>99</v>
      </c>
      <c r="H867" s="2">
        <v>23</v>
      </c>
      <c r="I867" s="2">
        <v>88</v>
      </c>
      <c r="J867" s="2">
        <v>2</v>
      </c>
      <c r="K867" s="2">
        <v>0</v>
      </c>
      <c r="L86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67" s="2" t="str">
        <f>IF(Table1[[#This Row],[Experience Years]]&lt;=2,"Entry Level",IF(Table1[[#This Row],[Experience Years]]&lt;=7,"Mid Level",IF(Table1[[#This Row],[Experience Years]]&lt;=15,"Senior Level")))</f>
        <v>Senior Level</v>
      </c>
      <c r="N867" s="1">
        <f>AVERAGE(Table1[[#This Row],[Interview Score]:[Personality Score]])</f>
        <v>70</v>
      </c>
      <c r="O8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67" s="2" t="str">
        <f t="shared" si="13"/>
        <v>30-40</v>
      </c>
    </row>
    <row r="868" spans="1:16" x14ac:dyDescent="0.25">
      <c r="A868">
        <v>26</v>
      </c>
      <c r="B868" s="2">
        <v>1</v>
      </c>
      <c r="C868" s="2">
        <v>2</v>
      </c>
      <c r="D868" s="2">
        <v>5</v>
      </c>
      <c r="E868" s="2">
        <v>1</v>
      </c>
      <c r="F868" s="1">
        <v>22.764636209999999</v>
      </c>
      <c r="G868" s="2">
        <v>64</v>
      </c>
      <c r="H868" s="2">
        <v>38</v>
      </c>
      <c r="I868" s="2">
        <v>60</v>
      </c>
      <c r="J868" s="2">
        <v>1</v>
      </c>
      <c r="K868" s="2">
        <v>0</v>
      </c>
      <c r="L86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68" t="str">
        <f>IF(Table1[[#This Row],[Experience Years]]&lt;=2,"Entry Level",IF(Table1[[#This Row],[Experience Years]]&lt;=7,"Mid Level",IF(Table1[[#This Row],[Experience Years]]&lt;=15,"Senior Level")))</f>
        <v>Mid Level</v>
      </c>
      <c r="N868" s="1">
        <f>AVERAGE(Table1[[#This Row],[Interview Score]:[Personality Score]])</f>
        <v>54</v>
      </c>
      <c r="O8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68" s="2" t="str">
        <f t="shared" si="13"/>
        <v>20-30</v>
      </c>
    </row>
    <row r="869" spans="1:16" x14ac:dyDescent="0.25">
      <c r="A869">
        <v>46</v>
      </c>
      <c r="B869" s="2">
        <v>0</v>
      </c>
      <c r="C869" s="2">
        <v>1</v>
      </c>
      <c r="D869" s="2">
        <v>9</v>
      </c>
      <c r="E869" s="2">
        <v>3</v>
      </c>
      <c r="F869" s="1">
        <v>27.257694709999999</v>
      </c>
      <c r="G869" s="2">
        <v>17</v>
      </c>
      <c r="H869" s="2">
        <v>67</v>
      </c>
      <c r="I869" s="2">
        <v>95</v>
      </c>
      <c r="J869" s="2">
        <v>1</v>
      </c>
      <c r="K869" s="2">
        <v>1</v>
      </c>
      <c r="L86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69" s="2" t="str">
        <f>IF(Table1[[#This Row],[Experience Years]]&lt;=2,"Entry Level",IF(Table1[[#This Row],[Experience Years]]&lt;=7,"Mid Level",IF(Table1[[#This Row],[Experience Years]]&lt;=15,"Senior Level")))</f>
        <v>Senior Level</v>
      </c>
      <c r="N869" s="1">
        <f>AVERAGE(Table1[[#This Row],[Interview Score]:[Personality Score]])</f>
        <v>59.666666666666664</v>
      </c>
      <c r="O8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69" s="2" t="str">
        <f t="shared" si="13"/>
        <v>20-30</v>
      </c>
    </row>
    <row r="870" spans="1:16" x14ac:dyDescent="0.25">
      <c r="A870">
        <v>29</v>
      </c>
      <c r="B870" s="2">
        <v>0</v>
      </c>
      <c r="C870" s="2">
        <v>3</v>
      </c>
      <c r="D870" s="2">
        <v>5</v>
      </c>
      <c r="E870" s="2">
        <v>5</v>
      </c>
      <c r="F870" s="1">
        <v>10.98144038</v>
      </c>
      <c r="G870" s="2">
        <v>62</v>
      </c>
      <c r="H870" s="2">
        <v>92</v>
      </c>
      <c r="I870" s="2">
        <v>11</v>
      </c>
      <c r="J870" s="2">
        <v>1</v>
      </c>
      <c r="K870" s="2">
        <v>1</v>
      </c>
      <c r="L87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70" s="2" t="str">
        <f>IF(Table1[[#This Row],[Experience Years]]&lt;=2,"Entry Level",IF(Table1[[#This Row],[Experience Years]]&lt;=7,"Mid Level",IF(Table1[[#This Row],[Experience Years]]&lt;=15,"Senior Level")))</f>
        <v>Mid Level</v>
      </c>
      <c r="N870" s="1">
        <f>AVERAGE(Table1[[#This Row],[Interview Score]:[Personality Score]])</f>
        <v>55</v>
      </c>
      <c r="O8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70" s="2" t="str">
        <f t="shared" si="13"/>
        <v>10-20</v>
      </c>
    </row>
    <row r="871" spans="1:16" x14ac:dyDescent="0.25">
      <c r="A871">
        <v>45</v>
      </c>
      <c r="B871" s="2">
        <v>0</v>
      </c>
      <c r="C871" s="2">
        <v>4</v>
      </c>
      <c r="D871" s="2">
        <v>2</v>
      </c>
      <c r="E871" s="2">
        <v>4</v>
      </c>
      <c r="F871" s="1">
        <v>38.527208190000003</v>
      </c>
      <c r="G871" s="2">
        <v>50</v>
      </c>
      <c r="H871" s="2">
        <v>43</v>
      </c>
      <c r="I871" s="2">
        <v>12</v>
      </c>
      <c r="J871" s="2">
        <v>2</v>
      </c>
      <c r="K871" s="2">
        <v>0</v>
      </c>
      <c r="L87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71" s="2" t="str">
        <f>IF(Table1[[#This Row],[Experience Years]]&lt;=2,"Entry Level",IF(Table1[[#This Row],[Experience Years]]&lt;=7,"Mid Level",IF(Table1[[#This Row],[Experience Years]]&lt;=15,"Senior Level")))</f>
        <v>Entry Level</v>
      </c>
      <c r="N871" s="1">
        <f>AVERAGE(Table1[[#This Row],[Interview Score]:[Personality Score]])</f>
        <v>35</v>
      </c>
      <c r="O8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71" s="2" t="str">
        <f t="shared" si="13"/>
        <v>30-40</v>
      </c>
    </row>
    <row r="872" spans="1:16" x14ac:dyDescent="0.25">
      <c r="A872">
        <v>38</v>
      </c>
      <c r="B872" s="2">
        <v>0</v>
      </c>
      <c r="C872" s="2">
        <v>2</v>
      </c>
      <c r="D872" s="2">
        <v>0</v>
      </c>
      <c r="E872" s="2">
        <v>2</v>
      </c>
      <c r="F872" s="1">
        <v>38.320991499999998</v>
      </c>
      <c r="G872" s="2">
        <v>8</v>
      </c>
      <c r="H872" s="2">
        <v>4</v>
      </c>
      <c r="I872" s="2">
        <v>18</v>
      </c>
      <c r="J872" s="2">
        <v>1</v>
      </c>
      <c r="K872" s="2">
        <v>0</v>
      </c>
      <c r="L87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72" s="2" t="str">
        <f>IF(Table1[[#This Row],[Experience Years]]&lt;=2,"Entry Level",IF(Table1[[#This Row],[Experience Years]]&lt;=7,"Mid Level",IF(Table1[[#This Row],[Experience Years]]&lt;=15,"Senior Level")))</f>
        <v>Entry Level</v>
      </c>
      <c r="N872" s="1">
        <f>AVERAGE(Table1[[#This Row],[Interview Score]:[Personality Score]])</f>
        <v>10</v>
      </c>
      <c r="O8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72" s="2" t="str">
        <f t="shared" si="13"/>
        <v>30-40</v>
      </c>
    </row>
    <row r="873" spans="1:16" x14ac:dyDescent="0.25">
      <c r="A873">
        <v>26</v>
      </c>
      <c r="B873" s="2">
        <v>0</v>
      </c>
      <c r="C873" s="2">
        <v>2</v>
      </c>
      <c r="D873" s="2">
        <v>15</v>
      </c>
      <c r="E873" s="2">
        <v>3</v>
      </c>
      <c r="F873" s="1">
        <v>8.2758650189999994</v>
      </c>
      <c r="G873" s="2">
        <v>12</v>
      </c>
      <c r="H873" s="2">
        <v>54</v>
      </c>
      <c r="I873" s="2">
        <v>43</v>
      </c>
      <c r="J873" s="2">
        <v>1</v>
      </c>
      <c r="K873" s="2">
        <v>1</v>
      </c>
      <c r="L87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73" s="2" t="str">
        <f>IF(Table1[[#This Row],[Experience Years]]&lt;=2,"Entry Level",IF(Table1[[#This Row],[Experience Years]]&lt;=7,"Mid Level",IF(Table1[[#This Row],[Experience Years]]&lt;=15,"Senior Level")))</f>
        <v>Senior Level</v>
      </c>
      <c r="N873" s="1">
        <f>AVERAGE(Table1[[#This Row],[Interview Score]:[Personality Score]])</f>
        <v>36.333333333333336</v>
      </c>
      <c r="O8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73" s="2" t="str">
        <f t="shared" si="13"/>
        <v>0-10</v>
      </c>
    </row>
    <row r="874" spans="1:16" x14ac:dyDescent="0.25">
      <c r="A874">
        <v>49</v>
      </c>
      <c r="B874" s="2">
        <v>0</v>
      </c>
      <c r="C874" s="2">
        <v>2</v>
      </c>
      <c r="D874" s="2">
        <v>6</v>
      </c>
      <c r="E874" s="2">
        <v>3</v>
      </c>
      <c r="F874" s="1">
        <v>44.898919120000002</v>
      </c>
      <c r="G874" s="2">
        <v>39</v>
      </c>
      <c r="H874" s="2">
        <v>92</v>
      </c>
      <c r="I874" s="2">
        <v>88</v>
      </c>
      <c r="J874" s="2">
        <v>2</v>
      </c>
      <c r="K874" s="2">
        <v>0</v>
      </c>
      <c r="L87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74" s="2" t="str">
        <f>IF(Table1[[#This Row],[Experience Years]]&lt;=2,"Entry Level",IF(Table1[[#This Row],[Experience Years]]&lt;=7,"Mid Level",IF(Table1[[#This Row],[Experience Years]]&lt;=15,"Senior Level")))</f>
        <v>Mid Level</v>
      </c>
      <c r="N874" s="1">
        <f>AVERAGE(Table1[[#This Row],[Interview Score]:[Personality Score]])</f>
        <v>73</v>
      </c>
      <c r="O8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74" s="2" t="str">
        <f t="shared" si="13"/>
        <v>40-50</v>
      </c>
    </row>
    <row r="875" spans="1:16" x14ac:dyDescent="0.25">
      <c r="A875">
        <v>22</v>
      </c>
      <c r="B875" s="2">
        <v>0</v>
      </c>
      <c r="C875" s="2">
        <v>1</v>
      </c>
      <c r="D875" s="2">
        <v>3</v>
      </c>
      <c r="E875" s="2">
        <v>2</v>
      </c>
      <c r="F875" s="1">
        <v>14.45948697</v>
      </c>
      <c r="G875" s="2">
        <v>54</v>
      </c>
      <c r="H875" s="2">
        <v>29</v>
      </c>
      <c r="I875" s="2">
        <v>94</v>
      </c>
      <c r="J875" s="2">
        <v>2</v>
      </c>
      <c r="K875" s="2">
        <v>0</v>
      </c>
      <c r="L87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75" s="2" t="str">
        <f>IF(Table1[[#This Row],[Experience Years]]&lt;=2,"Entry Level",IF(Table1[[#This Row],[Experience Years]]&lt;=7,"Mid Level",IF(Table1[[#This Row],[Experience Years]]&lt;=15,"Senior Level")))</f>
        <v>Mid Level</v>
      </c>
      <c r="N875" s="1">
        <f>AVERAGE(Table1[[#This Row],[Interview Score]:[Personality Score]])</f>
        <v>59</v>
      </c>
      <c r="O8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75" s="2" t="str">
        <f t="shared" si="13"/>
        <v>10-20</v>
      </c>
    </row>
    <row r="876" spans="1:16" x14ac:dyDescent="0.25">
      <c r="A876">
        <v>32</v>
      </c>
      <c r="B876" s="2">
        <v>0</v>
      </c>
      <c r="C876" s="2">
        <v>2</v>
      </c>
      <c r="D876" s="2">
        <v>0</v>
      </c>
      <c r="E876" s="2">
        <v>2</v>
      </c>
      <c r="F876" s="1">
        <v>50.112803049999997</v>
      </c>
      <c r="G876" s="2">
        <v>78</v>
      </c>
      <c r="H876" s="2">
        <v>28</v>
      </c>
      <c r="I876" s="2">
        <v>58</v>
      </c>
      <c r="J876" s="2">
        <v>1</v>
      </c>
      <c r="K876" s="2">
        <v>0</v>
      </c>
      <c r="L87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76" s="2" t="str">
        <f>IF(Table1[[#This Row],[Experience Years]]&lt;=2,"Entry Level",IF(Table1[[#This Row],[Experience Years]]&lt;=7,"Mid Level",IF(Table1[[#This Row],[Experience Years]]&lt;=15,"Senior Level")))</f>
        <v>Entry Level</v>
      </c>
      <c r="N876" s="1">
        <f>AVERAGE(Table1[[#This Row],[Interview Score]:[Personality Score]])</f>
        <v>54.666666666666664</v>
      </c>
      <c r="O8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76" s="2" t="str">
        <f t="shared" si="13"/>
        <v>50+</v>
      </c>
    </row>
    <row r="877" spans="1:16" x14ac:dyDescent="0.25">
      <c r="A877">
        <v>32</v>
      </c>
      <c r="B877" s="2">
        <v>0</v>
      </c>
      <c r="C877" s="2">
        <v>3</v>
      </c>
      <c r="D877" s="2">
        <v>14</v>
      </c>
      <c r="E877" s="2">
        <v>4</v>
      </c>
      <c r="F877" s="1">
        <v>20.145150699999999</v>
      </c>
      <c r="G877" s="2">
        <v>42</v>
      </c>
      <c r="H877" s="2">
        <v>25</v>
      </c>
      <c r="I877" s="2">
        <v>36</v>
      </c>
      <c r="J877" s="2">
        <v>2</v>
      </c>
      <c r="K877" s="2">
        <v>0</v>
      </c>
      <c r="L87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77" s="2" t="str">
        <f>IF(Table1[[#This Row],[Experience Years]]&lt;=2,"Entry Level",IF(Table1[[#This Row],[Experience Years]]&lt;=7,"Mid Level",IF(Table1[[#This Row],[Experience Years]]&lt;=15,"Senior Level")))</f>
        <v>Senior Level</v>
      </c>
      <c r="N877" s="1">
        <f>AVERAGE(Table1[[#This Row],[Interview Score]:[Personality Score]])</f>
        <v>34.333333333333336</v>
      </c>
      <c r="O8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77" s="2" t="str">
        <f t="shared" si="13"/>
        <v>20-30</v>
      </c>
    </row>
    <row r="878" spans="1:16" x14ac:dyDescent="0.25">
      <c r="A878">
        <v>37</v>
      </c>
      <c r="B878" s="2">
        <v>0</v>
      </c>
      <c r="C878" s="2">
        <v>2</v>
      </c>
      <c r="D878" s="2">
        <v>7</v>
      </c>
      <c r="E878" s="2">
        <v>3</v>
      </c>
      <c r="F878" s="1">
        <v>9.8942029369999993</v>
      </c>
      <c r="G878" s="2">
        <v>43</v>
      </c>
      <c r="H878" s="2">
        <v>82</v>
      </c>
      <c r="I878" s="2">
        <v>24</v>
      </c>
      <c r="J878" s="2">
        <v>2</v>
      </c>
      <c r="K878" s="2">
        <v>0</v>
      </c>
      <c r="L87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78" s="2" t="str">
        <f>IF(Table1[[#This Row],[Experience Years]]&lt;=2,"Entry Level",IF(Table1[[#This Row],[Experience Years]]&lt;=7,"Mid Level",IF(Table1[[#This Row],[Experience Years]]&lt;=15,"Senior Level")))</f>
        <v>Mid Level</v>
      </c>
      <c r="N878" s="1">
        <f>AVERAGE(Table1[[#This Row],[Interview Score]:[Personality Score]])</f>
        <v>49.666666666666664</v>
      </c>
      <c r="O8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78" s="2" t="str">
        <f t="shared" si="13"/>
        <v>0-10</v>
      </c>
    </row>
    <row r="879" spans="1:16" x14ac:dyDescent="0.25">
      <c r="A879">
        <v>47</v>
      </c>
      <c r="B879" s="2">
        <v>1</v>
      </c>
      <c r="C879" s="2">
        <v>1</v>
      </c>
      <c r="D879" s="2">
        <v>11</v>
      </c>
      <c r="E879" s="2">
        <v>3</v>
      </c>
      <c r="F879" s="1">
        <v>18.586005570000001</v>
      </c>
      <c r="G879" s="2">
        <v>67</v>
      </c>
      <c r="H879" s="2">
        <v>25</v>
      </c>
      <c r="I879" s="2">
        <v>15</v>
      </c>
      <c r="J879" s="2">
        <v>3</v>
      </c>
      <c r="K879" s="2">
        <v>0</v>
      </c>
      <c r="L87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79" t="str">
        <f>IF(Table1[[#This Row],[Experience Years]]&lt;=2,"Entry Level",IF(Table1[[#This Row],[Experience Years]]&lt;=7,"Mid Level",IF(Table1[[#This Row],[Experience Years]]&lt;=15,"Senior Level")))</f>
        <v>Senior Level</v>
      </c>
      <c r="N879" s="1">
        <f>AVERAGE(Table1[[#This Row],[Interview Score]:[Personality Score]])</f>
        <v>35.666666666666664</v>
      </c>
      <c r="O8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79" s="2" t="str">
        <f t="shared" si="13"/>
        <v>10-20</v>
      </c>
    </row>
    <row r="880" spans="1:16" x14ac:dyDescent="0.25">
      <c r="A880">
        <v>49</v>
      </c>
      <c r="B880" s="2">
        <v>1</v>
      </c>
      <c r="C880" s="2">
        <v>3</v>
      </c>
      <c r="D880" s="2">
        <v>5</v>
      </c>
      <c r="E880" s="2">
        <v>1</v>
      </c>
      <c r="F880" s="1">
        <v>23.009016429999999</v>
      </c>
      <c r="G880" s="2">
        <v>32</v>
      </c>
      <c r="H880" s="2">
        <v>36</v>
      </c>
      <c r="I880" s="2">
        <v>37</v>
      </c>
      <c r="J880" s="2">
        <v>2</v>
      </c>
      <c r="K880" s="2">
        <v>0</v>
      </c>
      <c r="L88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80" t="str">
        <f>IF(Table1[[#This Row],[Experience Years]]&lt;=2,"Entry Level",IF(Table1[[#This Row],[Experience Years]]&lt;=7,"Mid Level",IF(Table1[[#This Row],[Experience Years]]&lt;=15,"Senior Level")))</f>
        <v>Mid Level</v>
      </c>
      <c r="N880" s="1">
        <f>AVERAGE(Table1[[#This Row],[Interview Score]:[Personality Score]])</f>
        <v>35</v>
      </c>
      <c r="O8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80" s="2" t="str">
        <f t="shared" si="13"/>
        <v>20-30</v>
      </c>
    </row>
    <row r="881" spans="1:16" x14ac:dyDescent="0.25">
      <c r="A881">
        <v>45</v>
      </c>
      <c r="B881" s="2">
        <v>1</v>
      </c>
      <c r="C881" s="2">
        <v>2</v>
      </c>
      <c r="D881" s="2">
        <v>5</v>
      </c>
      <c r="E881" s="2">
        <v>5</v>
      </c>
      <c r="F881" s="1">
        <v>4.4653886519999997</v>
      </c>
      <c r="G881" s="2">
        <v>23</v>
      </c>
      <c r="H881" s="2">
        <v>90</v>
      </c>
      <c r="I881" s="2">
        <v>42</v>
      </c>
      <c r="J881" s="2">
        <v>1</v>
      </c>
      <c r="K881" s="2">
        <v>0</v>
      </c>
      <c r="L88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81" t="str">
        <f>IF(Table1[[#This Row],[Experience Years]]&lt;=2,"Entry Level",IF(Table1[[#This Row],[Experience Years]]&lt;=7,"Mid Level",IF(Table1[[#This Row],[Experience Years]]&lt;=15,"Senior Level")))</f>
        <v>Mid Level</v>
      </c>
      <c r="N881" s="1">
        <f>AVERAGE(Table1[[#This Row],[Interview Score]:[Personality Score]])</f>
        <v>51.666666666666664</v>
      </c>
      <c r="O8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81" s="2" t="str">
        <f t="shared" si="13"/>
        <v>0-10</v>
      </c>
    </row>
    <row r="882" spans="1:16" x14ac:dyDescent="0.25">
      <c r="A882">
        <v>39</v>
      </c>
      <c r="B882" s="2">
        <v>0</v>
      </c>
      <c r="C882" s="2">
        <v>3</v>
      </c>
      <c r="D882" s="2">
        <v>1</v>
      </c>
      <c r="E882" s="2">
        <v>5</v>
      </c>
      <c r="F882" s="1">
        <v>29.910919060000001</v>
      </c>
      <c r="G882" s="2">
        <v>35</v>
      </c>
      <c r="H882" s="2">
        <v>93</v>
      </c>
      <c r="I882" s="2">
        <v>86</v>
      </c>
      <c r="J882" s="2">
        <v>2</v>
      </c>
      <c r="K882" s="2">
        <v>0</v>
      </c>
      <c r="L88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82" s="2" t="str">
        <f>IF(Table1[[#This Row],[Experience Years]]&lt;=2,"Entry Level",IF(Table1[[#This Row],[Experience Years]]&lt;=7,"Mid Level",IF(Table1[[#This Row],[Experience Years]]&lt;=15,"Senior Level")))</f>
        <v>Entry Level</v>
      </c>
      <c r="N882" s="1">
        <f>AVERAGE(Table1[[#This Row],[Interview Score]:[Personality Score]])</f>
        <v>71.333333333333329</v>
      </c>
      <c r="O8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82" s="2" t="str">
        <f t="shared" si="13"/>
        <v>20-30</v>
      </c>
    </row>
    <row r="883" spans="1:16" x14ac:dyDescent="0.25">
      <c r="A883">
        <v>47</v>
      </c>
      <c r="B883" s="2">
        <v>1</v>
      </c>
      <c r="C883" s="2">
        <v>2</v>
      </c>
      <c r="D883" s="2">
        <v>14</v>
      </c>
      <c r="E883" s="2">
        <v>1</v>
      </c>
      <c r="F883" s="1">
        <v>30.881621989999999</v>
      </c>
      <c r="G883" s="2">
        <v>9</v>
      </c>
      <c r="H883" s="2">
        <v>52</v>
      </c>
      <c r="I883" s="2">
        <v>13</v>
      </c>
      <c r="J883" s="2">
        <v>2</v>
      </c>
      <c r="K883" s="2">
        <v>0</v>
      </c>
      <c r="L88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83" t="str">
        <f>IF(Table1[[#This Row],[Experience Years]]&lt;=2,"Entry Level",IF(Table1[[#This Row],[Experience Years]]&lt;=7,"Mid Level",IF(Table1[[#This Row],[Experience Years]]&lt;=15,"Senior Level")))</f>
        <v>Senior Level</v>
      </c>
      <c r="N883" s="1">
        <f>AVERAGE(Table1[[#This Row],[Interview Score]:[Personality Score]])</f>
        <v>24.666666666666668</v>
      </c>
      <c r="O8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83" s="2" t="str">
        <f t="shared" si="13"/>
        <v>30-40</v>
      </c>
    </row>
    <row r="884" spans="1:16" x14ac:dyDescent="0.25">
      <c r="A884">
        <v>27</v>
      </c>
      <c r="B884" s="2">
        <v>1</v>
      </c>
      <c r="C884" s="2">
        <v>2</v>
      </c>
      <c r="D884" s="2">
        <v>0</v>
      </c>
      <c r="E884" s="2">
        <v>5</v>
      </c>
      <c r="F884" s="1">
        <v>37.946522770000001</v>
      </c>
      <c r="G884" s="2">
        <v>99</v>
      </c>
      <c r="H884" s="2">
        <v>29</v>
      </c>
      <c r="I884" s="2">
        <v>5</v>
      </c>
      <c r="J884" s="2">
        <v>1</v>
      </c>
      <c r="K884" s="2">
        <v>0</v>
      </c>
      <c r="L88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84" t="str">
        <f>IF(Table1[[#This Row],[Experience Years]]&lt;=2,"Entry Level",IF(Table1[[#This Row],[Experience Years]]&lt;=7,"Mid Level",IF(Table1[[#This Row],[Experience Years]]&lt;=15,"Senior Level")))</f>
        <v>Entry Level</v>
      </c>
      <c r="N884" s="1">
        <f>AVERAGE(Table1[[#This Row],[Interview Score]:[Personality Score]])</f>
        <v>44.333333333333336</v>
      </c>
      <c r="O8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84" s="2" t="str">
        <f t="shared" si="13"/>
        <v>30-40</v>
      </c>
    </row>
    <row r="885" spans="1:16" x14ac:dyDescent="0.25">
      <c r="A885">
        <v>48</v>
      </c>
      <c r="B885" s="2">
        <v>1</v>
      </c>
      <c r="C885" s="2">
        <v>1</v>
      </c>
      <c r="D885" s="2">
        <v>12</v>
      </c>
      <c r="E885" s="2">
        <v>2</v>
      </c>
      <c r="F885" s="1">
        <v>2.4584946150000002</v>
      </c>
      <c r="G885" s="2">
        <v>19</v>
      </c>
      <c r="H885" s="2">
        <v>2</v>
      </c>
      <c r="I885" s="2">
        <v>88</v>
      </c>
      <c r="J885" s="2">
        <v>3</v>
      </c>
      <c r="K885" s="2">
        <v>0</v>
      </c>
      <c r="L88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85" t="str">
        <f>IF(Table1[[#This Row],[Experience Years]]&lt;=2,"Entry Level",IF(Table1[[#This Row],[Experience Years]]&lt;=7,"Mid Level",IF(Table1[[#This Row],[Experience Years]]&lt;=15,"Senior Level")))</f>
        <v>Senior Level</v>
      </c>
      <c r="N885" s="1">
        <f>AVERAGE(Table1[[#This Row],[Interview Score]:[Personality Score]])</f>
        <v>36.333333333333336</v>
      </c>
      <c r="O8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85" s="2" t="str">
        <f t="shared" si="13"/>
        <v>0-10</v>
      </c>
    </row>
    <row r="886" spans="1:16" x14ac:dyDescent="0.25">
      <c r="A886">
        <v>50</v>
      </c>
      <c r="B886" s="2">
        <v>0</v>
      </c>
      <c r="C886" s="2">
        <v>1</v>
      </c>
      <c r="D886" s="2">
        <v>13</v>
      </c>
      <c r="E886" s="2">
        <v>5</v>
      </c>
      <c r="F886" s="1">
        <v>28.06191072</v>
      </c>
      <c r="G886" s="2">
        <v>74</v>
      </c>
      <c r="H886" s="2">
        <v>42</v>
      </c>
      <c r="I886" s="2">
        <v>22</v>
      </c>
      <c r="J886" s="2">
        <v>2</v>
      </c>
      <c r="K886" s="2">
        <v>0</v>
      </c>
      <c r="L88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86" s="2" t="str">
        <f>IF(Table1[[#This Row],[Experience Years]]&lt;=2,"Entry Level",IF(Table1[[#This Row],[Experience Years]]&lt;=7,"Mid Level",IF(Table1[[#This Row],[Experience Years]]&lt;=15,"Senior Level")))</f>
        <v>Senior Level</v>
      </c>
      <c r="N886" s="1">
        <f>AVERAGE(Table1[[#This Row],[Interview Score]:[Personality Score]])</f>
        <v>46</v>
      </c>
      <c r="O8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86" s="2" t="str">
        <f t="shared" si="13"/>
        <v>20-30</v>
      </c>
    </row>
    <row r="887" spans="1:16" x14ac:dyDescent="0.25">
      <c r="A887">
        <v>28</v>
      </c>
      <c r="B887" s="2">
        <v>0</v>
      </c>
      <c r="C887" s="2">
        <v>4</v>
      </c>
      <c r="D887" s="2">
        <v>13</v>
      </c>
      <c r="E887" s="2">
        <v>5</v>
      </c>
      <c r="F887" s="1">
        <v>3.6453716639999998</v>
      </c>
      <c r="G887" s="2">
        <v>11</v>
      </c>
      <c r="H887" s="2">
        <v>6</v>
      </c>
      <c r="I887" s="2">
        <v>59</v>
      </c>
      <c r="J887" s="2">
        <v>3</v>
      </c>
      <c r="K887" s="2">
        <v>0</v>
      </c>
      <c r="L88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87" s="2" t="str">
        <f>IF(Table1[[#This Row],[Experience Years]]&lt;=2,"Entry Level",IF(Table1[[#This Row],[Experience Years]]&lt;=7,"Mid Level",IF(Table1[[#This Row],[Experience Years]]&lt;=15,"Senior Level")))</f>
        <v>Senior Level</v>
      </c>
      <c r="N887" s="1">
        <f>AVERAGE(Table1[[#This Row],[Interview Score]:[Personality Score]])</f>
        <v>25.333333333333332</v>
      </c>
      <c r="O8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87" s="2" t="str">
        <f t="shared" si="13"/>
        <v>0-10</v>
      </c>
    </row>
    <row r="888" spans="1:16" x14ac:dyDescent="0.25">
      <c r="A888">
        <v>26</v>
      </c>
      <c r="B888" s="2">
        <v>0</v>
      </c>
      <c r="C888" s="2">
        <v>2</v>
      </c>
      <c r="D888" s="2">
        <v>1</v>
      </c>
      <c r="E888" s="2">
        <v>1</v>
      </c>
      <c r="F888" s="1">
        <v>36.057211000000002</v>
      </c>
      <c r="G888" s="2">
        <v>61</v>
      </c>
      <c r="H888" s="2">
        <v>48</v>
      </c>
      <c r="I888" s="2">
        <v>11</v>
      </c>
      <c r="J888" s="2">
        <v>2</v>
      </c>
      <c r="K888" s="2">
        <v>0</v>
      </c>
      <c r="L88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888" s="2" t="str">
        <f>IF(Table1[[#This Row],[Experience Years]]&lt;=2,"Entry Level",IF(Table1[[#This Row],[Experience Years]]&lt;=7,"Mid Level",IF(Table1[[#This Row],[Experience Years]]&lt;=15,"Senior Level")))</f>
        <v>Entry Level</v>
      </c>
      <c r="N888" s="1">
        <f>AVERAGE(Table1[[#This Row],[Interview Score]:[Personality Score]])</f>
        <v>40</v>
      </c>
      <c r="O8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88" s="2" t="str">
        <f t="shared" si="13"/>
        <v>30-40</v>
      </c>
    </row>
    <row r="889" spans="1:16" x14ac:dyDescent="0.25">
      <c r="A889">
        <v>20</v>
      </c>
      <c r="B889" s="2">
        <v>0</v>
      </c>
      <c r="C889" s="2">
        <v>4</v>
      </c>
      <c r="D889" s="2">
        <v>3</v>
      </c>
      <c r="E889" s="2">
        <v>4</v>
      </c>
      <c r="F889" s="1">
        <v>3.7863992849999999</v>
      </c>
      <c r="G889" s="2">
        <v>17</v>
      </c>
      <c r="H889" s="2">
        <v>72</v>
      </c>
      <c r="I889" s="2">
        <v>12</v>
      </c>
      <c r="J889" s="2">
        <v>2</v>
      </c>
      <c r="K889" s="2">
        <v>0</v>
      </c>
      <c r="L88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89" s="2" t="str">
        <f>IF(Table1[[#This Row],[Experience Years]]&lt;=2,"Entry Level",IF(Table1[[#This Row],[Experience Years]]&lt;=7,"Mid Level",IF(Table1[[#This Row],[Experience Years]]&lt;=15,"Senior Level")))</f>
        <v>Mid Level</v>
      </c>
      <c r="N889" s="1">
        <f>AVERAGE(Table1[[#This Row],[Interview Score]:[Personality Score]])</f>
        <v>33.666666666666664</v>
      </c>
      <c r="O8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89" s="2" t="str">
        <f t="shared" si="13"/>
        <v>0-10</v>
      </c>
    </row>
    <row r="890" spans="1:16" x14ac:dyDescent="0.25">
      <c r="A890">
        <v>22</v>
      </c>
      <c r="B890" s="2">
        <v>1</v>
      </c>
      <c r="C890" s="2">
        <v>2</v>
      </c>
      <c r="D890" s="2">
        <v>1</v>
      </c>
      <c r="E890" s="2">
        <v>5</v>
      </c>
      <c r="F890" s="1">
        <v>46.586392420000003</v>
      </c>
      <c r="G890" s="2">
        <v>93</v>
      </c>
      <c r="H890" s="2">
        <v>40</v>
      </c>
      <c r="I890" s="2">
        <v>99</v>
      </c>
      <c r="J890" s="2">
        <v>2</v>
      </c>
      <c r="K890" s="2">
        <v>0</v>
      </c>
      <c r="L89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890" t="str">
        <f>IF(Table1[[#This Row],[Experience Years]]&lt;=2,"Entry Level",IF(Table1[[#This Row],[Experience Years]]&lt;=7,"Mid Level",IF(Table1[[#This Row],[Experience Years]]&lt;=15,"Senior Level")))</f>
        <v>Entry Level</v>
      </c>
      <c r="N890" s="1">
        <f>AVERAGE(Table1[[#This Row],[Interview Score]:[Personality Score]])</f>
        <v>77.333333333333329</v>
      </c>
      <c r="O8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890" s="2" t="str">
        <f t="shared" si="13"/>
        <v>40-50</v>
      </c>
    </row>
    <row r="891" spans="1:16" x14ac:dyDescent="0.25">
      <c r="A891">
        <v>32</v>
      </c>
      <c r="B891" s="2">
        <v>1</v>
      </c>
      <c r="C891" s="2">
        <v>1</v>
      </c>
      <c r="D891" s="2">
        <v>15</v>
      </c>
      <c r="E891" s="2">
        <v>5</v>
      </c>
      <c r="F891" s="1">
        <v>36.104128340000003</v>
      </c>
      <c r="G891" s="2">
        <v>100</v>
      </c>
      <c r="H891" s="2">
        <v>76</v>
      </c>
      <c r="I891" s="2">
        <v>97</v>
      </c>
      <c r="J891" s="2">
        <v>2</v>
      </c>
      <c r="K891" s="2">
        <v>1</v>
      </c>
      <c r="L89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891" t="str">
        <f>IF(Table1[[#This Row],[Experience Years]]&lt;=2,"Entry Level",IF(Table1[[#This Row],[Experience Years]]&lt;=7,"Mid Level",IF(Table1[[#This Row],[Experience Years]]&lt;=15,"Senior Level")))</f>
        <v>Senior Level</v>
      </c>
      <c r="N891" s="1">
        <f>AVERAGE(Table1[[#This Row],[Interview Score]:[Personality Score]])</f>
        <v>91</v>
      </c>
      <c r="O8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90-100</v>
      </c>
      <c r="P891" s="2" t="str">
        <f t="shared" si="13"/>
        <v>30-40</v>
      </c>
    </row>
    <row r="892" spans="1:16" x14ac:dyDescent="0.25">
      <c r="A892">
        <v>47</v>
      </c>
      <c r="B892" s="2">
        <v>1</v>
      </c>
      <c r="C892" s="2">
        <v>1</v>
      </c>
      <c r="D892" s="2">
        <v>0</v>
      </c>
      <c r="E892" s="2">
        <v>4</v>
      </c>
      <c r="F892" s="1">
        <v>26.36948825</v>
      </c>
      <c r="G892" s="2">
        <v>62</v>
      </c>
      <c r="H892" s="2">
        <v>78</v>
      </c>
      <c r="I892" s="2">
        <v>5</v>
      </c>
      <c r="J892" s="2">
        <v>2</v>
      </c>
      <c r="K892" s="2">
        <v>0</v>
      </c>
      <c r="L89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92" t="str">
        <f>IF(Table1[[#This Row],[Experience Years]]&lt;=2,"Entry Level",IF(Table1[[#This Row],[Experience Years]]&lt;=7,"Mid Level",IF(Table1[[#This Row],[Experience Years]]&lt;=15,"Senior Level")))</f>
        <v>Entry Level</v>
      </c>
      <c r="N892" s="1">
        <f>AVERAGE(Table1[[#This Row],[Interview Score]:[Personality Score]])</f>
        <v>48.333333333333336</v>
      </c>
      <c r="O8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92" s="2" t="str">
        <f t="shared" si="13"/>
        <v>20-30</v>
      </c>
    </row>
    <row r="893" spans="1:16" x14ac:dyDescent="0.25">
      <c r="A893">
        <v>49</v>
      </c>
      <c r="B893" s="2">
        <v>1</v>
      </c>
      <c r="C893" s="2">
        <v>2</v>
      </c>
      <c r="D893" s="2">
        <v>6</v>
      </c>
      <c r="E893" s="2">
        <v>1</v>
      </c>
      <c r="F893" s="1">
        <v>23.075196160000001</v>
      </c>
      <c r="G893" s="2">
        <v>83</v>
      </c>
      <c r="H893" s="2">
        <v>53</v>
      </c>
      <c r="I893" s="2">
        <v>62</v>
      </c>
      <c r="J893" s="2">
        <v>3</v>
      </c>
      <c r="K893" s="2">
        <v>1</v>
      </c>
      <c r="L89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93" t="str">
        <f>IF(Table1[[#This Row],[Experience Years]]&lt;=2,"Entry Level",IF(Table1[[#This Row],[Experience Years]]&lt;=7,"Mid Level",IF(Table1[[#This Row],[Experience Years]]&lt;=15,"Senior Level")))</f>
        <v>Mid Level</v>
      </c>
      <c r="N893" s="1">
        <f>AVERAGE(Table1[[#This Row],[Interview Score]:[Personality Score]])</f>
        <v>66</v>
      </c>
      <c r="O8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893" s="2" t="str">
        <f t="shared" si="13"/>
        <v>20-30</v>
      </c>
    </row>
    <row r="894" spans="1:16" x14ac:dyDescent="0.25">
      <c r="A894">
        <v>44</v>
      </c>
      <c r="B894" s="2">
        <v>0</v>
      </c>
      <c r="C894" s="2">
        <v>4</v>
      </c>
      <c r="D894" s="2">
        <v>10</v>
      </c>
      <c r="E894" s="2">
        <v>4</v>
      </c>
      <c r="F894" s="1">
        <v>7.5336315210000002</v>
      </c>
      <c r="G894" s="2">
        <v>24</v>
      </c>
      <c r="H894" s="2">
        <v>68</v>
      </c>
      <c r="I894" s="2">
        <v>37</v>
      </c>
      <c r="J894" s="2">
        <v>2</v>
      </c>
      <c r="K894" s="2">
        <v>0</v>
      </c>
      <c r="L89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94" s="2" t="str">
        <f>IF(Table1[[#This Row],[Experience Years]]&lt;=2,"Entry Level",IF(Table1[[#This Row],[Experience Years]]&lt;=7,"Mid Level",IF(Table1[[#This Row],[Experience Years]]&lt;=15,"Senior Level")))</f>
        <v>Senior Level</v>
      </c>
      <c r="N894" s="1">
        <f>AVERAGE(Table1[[#This Row],[Interview Score]:[Personality Score]])</f>
        <v>43</v>
      </c>
      <c r="O8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94" s="2" t="str">
        <f t="shared" si="13"/>
        <v>0-10</v>
      </c>
    </row>
    <row r="895" spans="1:16" x14ac:dyDescent="0.25">
      <c r="A895">
        <v>50</v>
      </c>
      <c r="B895" s="2">
        <v>0</v>
      </c>
      <c r="C895" s="2">
        <v>2</v>
      </c>
      <c r="D895" s="2">
        <v>10</v>
      </c>
      <c r="E895" s="2">
        <v>1</v>
      </c>
      <c r="F895" s="1">
        <v>15.54996948</v>
      </c>
      <c r="G895" s="2">
        <v>11</v>
      </c>
      <c r="H895" s="2">
        <v>92</v>
      </c>
      <c r="I895" s="2">
        <v>49</v>
      </c>
      <c r="J895" s="2">
        <v>3</v>
      </c>
      <c r="K895" s="2">
        <v>0</v>
      </c>
      <c r="L89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95" s="2" t="str">
        <f>IF(Table1[[#This Row],[Experience Years]]&lt;=2,"Entry Level",IF(Table1[[#This Row],[Experience Years]]&lt;=7,"Mid Level",IF(Table1[[#This Row],[Experience Years]]&lt;=15,"Senior Level")))</f>
        <v>Senior Level</v>
      </c>
      <c r="N895" s="1">
        <f>AVERAGE(Table1[[#This Row],[Interview Score]:[Personality Score]])</f>
        <v>50.666666666666664</v>
      </c>
      <c r="O8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95" s="2" t="str">
        <f t="shared" si="13"/>
        <v>10-20</v>
      </c>
    </row>
    <row r="896" spans="1:16" x14ac:dyDescent="0.25">
      <c r="A896">
        <v>47</v>
      </c>
      <c r="B896" s="2">
        <v>0</v>
      </c>
      <c r="C896" s="2">
        <v>2</v>
      </c>
      <c r="D896" s="2">
        <v>14</v>
      </c>
      <c r="E896" s="2">
        <v>2</v>
      </c>
      <c r="F896" s="1">
        <v>44.44795525</v>
      </c>
      <c r="G896" s="2">
        <v>20</v>
      </c>
      <c r="H896" s="2">
        <v>98</v>
      </c>
      <c r="I896" s="2">
        <v>51</v>
      </c>
      <c r="J896" s="2">
        <v>3</v>
      </c>
      <c r="K896" s="2">
        <v>0</v>
      </c>
      <c r="L89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896" s="2" t="str">
        <f>IF(Table1[[#This Row],[Experience Years]]&lt;=2,"Entry Level",IF(Table1[[#This Row],[Experience Years]]&lt;=7,"Mid Level",IF(Table1[[#This Row],[Experience Years]]&lt;=15,"Senior Level")))</f>
        <v>Senior Level</v>
      </c>
      <c r="N896" s="1">
        <f>AVERAGE(Table1[[#This Row],[Interview Score]:[Personality Score]])</f>
        <v>56.333333333333336</v>
      </c>
      <c r="O8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96" s="2" t="str">
        <f t="shared" si="13"/>
        <v>40-50</v>
      </c>
    </row>
    <row r="897" spans="1:16" x14ac:dyDescent="0.25">
      <c r="A897">
        <v>36</v>
      </c>
      <c r="B897" s="2">
        <v>1</v>
      </c>
      <c r="C897" s="2">
        <v>2</v>
      </c>
      <c r="D897" s="2">
        <v>11</v>
      </c>
      <c r="E897" s="2">
        <v>1</v>
      </c>
      <c r="F897" s="1">
        <v>46.222640579999997</v>
      </c>
      <c r="G897" s="2">
        <v>24</v>
      </c>
      <c r="H897" s="2">
        <v>90</v>
      </c>
      <c r="I897" s="2">
        <v>39</v>
      </c>
      <c r="J897" s="2">
        <v>3</v>
      </c>
      <c r="K897" s="2">
        <v>0</v>
      </c>
      <c r="L89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897" t="str">
        <f>IF(Table1[[#This Row],[Experience Years]]&lt;=2,"Entry Level",IF(Table1[[#This Row],[Experience Years]]&lt;=7,"Mid Level",IF(Table1[[#This Row],[Experience Years]]&lt;=15,"Senior Level")))</f>
        <v>Senior Level</v>
      </c>
      <c r="N897" s="1">
        <f>AVERAGE(Table1[[#This Row],[Interview Score]:[Personality Score]])</f>
        <v>51</v>
      </c>
      <c r="O8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897" s="2" t="str">
        <f t="shared" si="13"/>
        <v>40-50</v>
      </c>
    </row>
    <row r="898" spans="1:16" x14ac:dyDescent="0.25">
      <c r="A898">
        <v>44</v>
      </c>
      <c r="B898" s="2">
        <v>0</v>
      </c>
      <c r="C898" s="2">
        <v>1</v>
      </c>
      <c r="D898" s="2">
        <v>7</v>
      </c>
      <c r="E898" s="2">
        <v>2</v>
      </c>
      <c r="F898" s="1">
        <v>1.037385419</v>
      </c>
      <c r="G898" s="2">
        <v>10</v>
      </c>
      <c r="H898" s="2">
        <v>26</v>
      </c>
      <c r="I898" s="2">
        <v>7</v>
      </c>
      <c r="J898" s="2">
        <v>2</v>
      </c>
      <c r="K898" s="2">
        <v>0</v>
      </c>
      <c r="L89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98" s="2" t="str">
        <f>IF(Table1[[#This Row],[Experience Years]]&lt;=2,"Entry Level",IF(Table1[[#This Row],[Experience Years]]&lt;=7,"Mid Level",IF(Table1[[#This Row],[Experience Years]]&lt;=15,"Senior Level")))</f>
        <v>Mid Level</v>
      </c>
      <c r="N898" s="1">
        <f>AVERAGE(Table1[[#This Row],[Interview Score]:[Personality Score]])</f>
        <v>14.333333333333334</v>
      </c>
      <c r="O8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98" s="2" t="str">
        <f t="shared" ref="P898:P961" si="14">IF(F898&lt;10,"0-10",IF(F898&lt;20,"10-20",IF(F898&lt;30,"20-30",IF(F898&lt;40,"30-40",IF(F898&lt;50,"40-50","50+")))))</f>
        <v>0-10</v>
      </c>
    </row>
    <row r="899" spans="1:16" x14ac:dyDescent="0.25">
      <c r="A899">
        <v>43</v>
      </c>
      <c r="B899" s="2">
        <v>0</v>
      </c>
      <c r="C899" s="2">
        <v>2</v>
      </c>
      <c r="D899" s="2">
        <v>5</v>
      </c>
      <c r="E899" s="2">
        <v>2</v>
      </c>
      <c r="F899" s="1">
        <v>30.70681957</v>
      </c>
      <c r="G899" s="2">
        <v>63</v>
      </c>
      <c r="H899" s="2">
        <v>7</v>
      </c>
      <c r="I899" s="2">
        <v>60</v>
      </c>
      <c r="J899" s="2">
        <v>2</v>
      </c>
      <c r="K899" s="2">
        <v>0</v>
      </c>
      <c r="L89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899" s="2" t="str">
        <f>IF(Table1[[#This Row],[Experience Years]]&lt;=2,"Entry Level",IF(Table1[[#This Row],[Experience Years]]&lt;=7,"Mid Level",IF(Table1[[#This Row],[Experience Years]]&lt;=15,"Senior Level")))</f>
        <v>Mid Level</v>
      </c>
      <c r="N899" s="1">
        <f>AVERAGE(Table1[[#This Row],[Interview Score]:[Personality Score]])</f>
        <v>43.333333333333336</v>
      </c>
      <c r="O8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899" s="2" t="str">
        <f t="shared" si="14"/>
        <v>30-40</v>
      </c>
    </row>
    <row r="900" spans="1:16" x14ac:dyDescent="0.25">
      <c r="A900">
        <v>20</v>
      </c>
      <c r="B900" s="2">
        <v>1</v>
      </c>
      <c r="C900" s="2">
        <v>1</v>
      </c>
      <c r="D900" s="2">
        <v>3</v>
      </c>
      <c r="E900" s="2">
        <v>1</v>
      </c>
      <c r="F900" s="1">
        <v>36.96503045</v>
      </c>
      <c r="G900" s="2">
        <v>72</v>
      </c>
      <c r="H900" s="2">
        <v>31</v>
      </c>
      <c r="I900" s="2">
        <v>7</v>
      </c>
      <c r="J900" s="2">
        <v>1</v>
      </c>
      <c r="K900" s="2">
        <v>0</v>
      </c>
      <c r="L90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00" t="str">
        <f>IF(Table1[[#This Row],[Experience Years]]&lt;=2,"Entry Level",IF(Table1[[#This Row],[Experience Years]]&lt;=7,"Mid Level",IF(Table1[[#This Row],[Experience Years]]&lt;=15,"Senior Level")))</f>
        <v>Mid Level</v>
      </c>
      <c r="N900" s="1">
        <f>AVERAGE(Table1[[#This Row],[Interview Score]:[Personality Score]])</f>
        <v>36.666666666666664</v>
      </c>
      <c r="O9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00" s="2" t="str">
        <f t="shared" si="14"/>
        <v>30-40</v>
      </c>
    </row>
    <row r="901" spans="1:16" x14ac:dyDescent="0.25">
      <c r="A901">
        <v>25</v>
      </c>
      <c r="B901" s="2">
        <v>1</v>
      </c>
      <c r="C901" s="2">
        <v>3</v>
      </c>
      <c r="D901" s="2">
        <v>13</v>
      </c>
      <c r="E901" s="2">
        <v>3</v>
      </c>
      <c r="F901" s="1">
        <v>31.93734912</v>
      </c>
      <c r="G901" s="2">
        <v>49</v>
      </c>
      <c r="H901" s="2">
        <v>83</v>
      </c>
      <c r="I901" s="2">
        <v>96</v>
      </c>
      <c r="J901" s="2">
        <v>2</v>
      </c>
      <c r="K901" s="2">
        <v>1</v>
      </c>
      <c r="L90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01" t="str">
        <f>IF(Table1[[#This Row],[Experience Years]]&lt;=2,"Entry Level",IF(Table1[[#This Row],[Experience Years]]&lt;=7,"Mid Level",IF(Table1[[#This Row],[Experience Years]]&lt;=15,"Senior Level")))</f>
        <v>Senior Level</v>
      </c>
      <c r="N901" s="1">
        <f>AVERAGE(Table1[[#This Row],[Interview Score]:[Personality Score]])</f>
        <v>76</v>
      </c>
      <c r="O9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01" s="2" t="str">
        <f t="shared" si="14"/>
        <v>30-40</v>
      </c>
    </row>
    <row r="902" spans="1:16" x14ac:dyDescent="0.25">
      <c r="A902">
        <v>40</v>
      </c>
      <c r="B902" s="2">
        <v>0</v>
      </c>
      <c r="C902" s="2">
        <v>2</v>
      </c>
      <c r="D902" s="2">
        <v>5</v>
      </c>
      <c r="E902" s="2">
        <v>1</v>
      </c>
      <c r="F902" s="1">
        <v>5.0839882430000003</v>
      </c>
      <c r="G902" s="2">
        <v>61</v>
      </c>
      <c r="H902" s="2">
        <v>63</v>
      </c>
      <c r="I902" s="2">
        <v>33</v>
      </c>
      <c r="J902" s="2">
        <v>1</v>
      </c>
      <c r="K902" s="2">
        <v>0</v>
      </c>
      <c r="L90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02" s="2" t="str">
        <f>IF(Table1[[#This Row],[Experience Years]]&lt;=2,"Entry Level",IF(Table1[[#This Row],[Experience Years]]&lt;=7,"Mid Level",IF(Table1[[#This Row],[Experience Years]]&lt;=15,"Senior Level")))</f>
        <v>Mid Level</v>
      </c>
      <c r="N902" s="1">
        <f>AVERAGE(Table1[[#This Row],[Interview Score]:[Personality Score]])</f>
        <v>52.333333333333336</v>
      </c>
      <c r="O9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02" s="2" t="str">
        <f t="shared" si="14"/>
        <v>0-10</v>
      </c>
    </row>
    <row r="903" spans="1:16" x14ac:dyDescent="0.25">
      <c r="A903">
        <v>25</v>
      </c>
      <c r="B903" s="2">
        <v>0</v>
      </c>
      <c r="C903" s="2">
        <v>2</v>
      </c>
      <c r="D903" s="2">
        <v>2</v>
      </c>
      <c r="E903" s="2">
        <v>5</v>
      </c>
      <c r="F903" s="1">
        <v>11.886244939999999</v>
      </c>
      <c r="G903" s="2">
        <v>88</v>
      </c>
      <c r="H903" s="2">
        <v>9</v>
      </c>
      <c r="I903" s="2">
        <v>78</v>
      </c>
      <c r="J903" s="2">
        <v>1</v>
      </c>
      <c r="K903" s="2">
        <v>1</v>
      </c>
      <c r="L90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03" s="2" t="str">
        <f>IF(Table1[[#This Row],[Experience Years]]&lt;=2,"Entry Level",IF(Table1[[#This Row],[Experience Years]]&lt;=7,"Mid Level",IF(Table1[[#This Row],[Experience Years]]&lt;=15,"Senior Level")))</f>
        <v>Entry Level</v>
      </c>
      <c r="N903" s="1">
        <f>AVERAGE(Table1[[#This Row],[Interview Score]:[Personality Score]])</f>
        <v>58.333333333333336</v>
      </c>
      <c r="O9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03" s="2" t="str">
        <f t="shared" si="14"/>
        <v>10-20</v>
      </c>
    </row>
    <row r="904" spans="1:16" x14ac:dyDescent="0.25">
      <c r="A904">
        <v>45</v>
      </c>
      <c r="B904" s="2">
        <v>0</v>
      </c>
      <c r="C904" s="2">
        <v>2</v>
      </c>
      <c r="D904" s="2">
        <v>11</v>
      </c>
      <c r="E904" s="2">
        <v>5</v>
      </c>
      <c r="F904" s="1">
        <v>13.517013370000001</v>
      </c>
      <c r="G904" s="2">
        <v>98</v>
      </c>
      <c r="H904" s="2">
        <v>12</v>
      </c>
      <c r="I904" s="2">
        <v>99</v>
      </c>
      <c r="J904" s="2">
        <v>1</v>
      </c>
      <c r="K904" s="2">
        <v>1</v>
      </c>
      <c r="L90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04" s="2" t="str">
        <f>IF(Table1[[#This Row],[Experience Years]]&lt;=2,"Entry Level",IF(Table1[[#This Row],[Experience Years]]&lt;=7,"Mid Level",IF(Table1[[#This Row],[Experience Years]]&lt;=15,"Senior Level")))</f>
        <v>Senior Level</v>
      </c>
      <c r="N904" s="1">
        <f>AVERAGE(Table1[[#This Row],[Interview Score]:[Personality Score]])</f>
        <v>69.666666666666671</v>
      </c>
      <c r="O9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04" s="2" t="str">
        <f t="shared" si="14"/>
        <v>10-20</v>
      </c>
    </row>
    <row r="905" spans="1:16" x14ac:dyDescent="0.25">
      <c r="A905">
        <v>31</v>
      </c>
      <c r="B905" s="2">
        <v>0</v>
      </c>
      <c r="C905" s="2">
        <v>2</v>
      </c>
      <c r="D905" s="2">
        <v>7</v>
      </c>
      <c r="E905" s="2">
        <v>3</v>
      </c>
      <c r="F905" s="1">
        <v>42.586231570000002</v>
      </c>
      <c r="G905" s="2">
        <v>95</v>
      </c>
      <c r="H905" s="2">
        <v>62</v>
      </c>
      <c r="I905" s="2">
        <v>59</v>
      </c>
      <c r="J905" s="2">
        <v>3</v>
      </c>
      <c r="K905" s="2">
        <v>0</v>
      </c>
      <c r="L90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05" s="2" t="str">
        <f>IF(Table1[[#This Row],[Experience Years]]&lt;=2,"Entry Level",IF(Table1[[#This Row],[Experience Years]]&lt;=7,"Mid Level",IF(Table1[[#This Row],[Experience Years]]&lt;=15,"Senior Level")))</f>
        <v>Mid Level</v>
      </c>
      <c r="N905" s="1">
        <f>AVERAGE(Table1[[#This Row],[Interview Score]:[Personality Score]])</f>
        <v>72</v>
      </c>
      <c r="O9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05" s="2" t="str">
        <f t="shared" si="14"/>
        <v>40-50</v>
      </c>
    </row>
    <row r="906" spans="1:16" x14ac:dyDescent="0.25">
      <c r="A906">
        <v>32</v>
      </c>
      <c r="B906" s="2">
        <v>0</v>
      </c>
      <c r="C906" s="2">
        <v>4</v>
      </c>
      <c r="D906" s="2">
        <v>9</v>
      </c>
      <c r="E906" s="2">
        <v>2</v>
      </c>
      <c r="F906" s="1">
        <v>24.159971819999999</v>
      </c>
      <c r="G906" s="2">
        <v>48</v>
      </c>
      <c r="H906" s="2">
        <v>92</v>
      </c>
      <c r="I906" s="2">
        <v>56</v>
      </c>
      <c r="J906" s="2">
        <v>3</v>
      </c>
      <c r="K906" s="2">
        <v>0</v>
      </c>
      <c r="L90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06" s="2" t="str">
        <f>IF(Table1[[#This Row],[Experience Years]]&lt;=2,"Entry Level",IF(Table1[[#This Row],[Experience Years]]&lt;=7,"Mid Level",IF(Table1[[#This Row],[Experience Years]]&lt;=15,"Senior Level")))</f>
        <v>Senior Level</v>
      </c>
      <c r="N906" s="1">
        <f>AVERAGE(Table1[[#This Row],[Interview Score]:[Personality Score]])</f>
        <v>65.333333333333329</v>
      </c>
      <c r="O9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06" s="2" t="str">
        <f t="shared" si="14"/>
        <v>20-30</v>
      </c>
    </row>
    <row r="907" spans="1:16" x14ac:dyDescent="0.25">
      <c r="A907">
        <v>32</v>
      </c>
      <c r="B907" s="2">
        <v>0</v>
      </c>
      <c r="C907" s="2">
        <v>2</v>
      </c>
      <c r="D907" s="2">
        <v>13</v>
      </c>
      <c r="E907" s="2">
        <v>3</v>
      </c>
      <c r="F907" s="1">
        <v>25.3414106</v>
      </c>
      <c r="G907" s="2">
        <v>13</v>
      </c>
      <c r="H907" s="2">
        <v>34</v>
      </c>
      <c r="I907" s="2">
        <v>98</v>
      </c>
      <c r="J907" s="2">
        <v>2</v>
      </c>
      <c r="K907" s="2">
        <v>0</v>
      </c>
      <c r="L90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07" s="2" t="str">
        <f>IF(Table1[[#This Row],[Experience Years]]&lt;=2,"Entry Level",IF(Table1[[#This Row],[Experience Years]]&lt;=7,"Mid Level",IF(Table1[[#This Row],[Experience Years]]&lt;=15,"Senior Level")))</f>
        <v>Senior Level</v>
      </c>
      <c r="N907" s="1">
        <f>AVERAGE(Table1[[#This Row],[Interview Score]:[Personality Score]])</f>
        <v>48.333333333333336</v>
      </c>
      <c r="O9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07" s="2" t="str">
        <f t="shared" si="14"/>
        <v>20-30</v>
      </c>
    </row>
    <row r="908" spans="1:16" x14ac:dyDescent="0.25">
      <c r="A908">
        <v>48</v>
      </c>
      <c r="B908" s="2">
        <v>1</v>
      </c>
      <c r="C908" s="2">
        <v>1</v>
      </c>
      <c r="D908" s="2">
        <v>12</v>
      </c>
      <c r="E908" s="2">
        <v>5</v>
      </c>
      <c r="F908" s="1">
        <v>47.744652330000001</v>
      </c>
      <c r="G908" s="2">
        <v>0</v>
      </c>
      <c r="H908" s="2">
        <v>60</v>
      </c>
      <c r="I908" s="2">
        <v>45</v>
      </c>
      <c r="J908" s="2">
        <v>2</v>
      </c>
      <c r="K908" s="2">
        <v>0</v>
      </c>
      <c r="L90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08" t="str">
        <f>IF(Table1[[#This Row],[Experience Years]]&lt;=2,"Entry Level",IF(Table1[[#This Row],[Experience Years]]&lt;=7,"Mid Level",IF(Table1[[#This Row],[Experience Years]]&lt;=15,"Senior Level")))</f>
        <v>Senior Level</v>
      </c>
      <c r="N908" s="1">
        <f>AVERAGE(Table1[[#This Row],[Interview Score]:[Personality Score]])</f>
        <v>35</v>
      </c>
      <c r="O9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08" s="2" t="str">
        <f t="shared" si="14"/>
        <v>40-50</v>
      </c>
    </row>
    <row r="909" spans="1:16" x14ac:dyDescent="0.25">
      <c r="A909">
        <v>34</v>
      </c>
      <c r="B909" s="2">
        <v>1</v>
      </c>
      <c r="C909" s="2">
        <v>2</v>
      </c>
      <c r="D909" s="2">
        <v>12</v>
      </c>
      <c r="E909" s="2">
        <v>3</v>
      </c>
      <c r="F909" s="1">
        <v>32.854294439999997</v>
      </c>
      <c r="G909" s="2">
        <v>80</v>
      </c>
      <c r="H909" s="2">
        <v>53</v>
      </c>
      <c r="I909" s="2">
        <v>21</v>
      </c>
      <c r="J909" s="2">
        <v>2</v>
      </c>
      <c r="K909" s="2">
        <v>0</v>
      </c>
      <c r="L90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09" t="str">
        <f>IF(Table1[[#This Row],[Experience Years]]&lt;=2,"Entry Level",IF(Table1[[#This Row],[Experience Years]]&lt;=7,"Mid Level",IF(Table1[[#This Row],[Experience Years]]&lt;=15,"Senior Level")))</f>
        <v>Senior Level</v>
      </c>
      <c r="N909" s="1">
        <f>AVERAGE(Table1[[#This Row],[Interview Score]:[Personality Score]])</f>
        <v>51.333333333333336</v>
      </c>
      <c r="O9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09" s="2" t="str">
        <f t="shared" si="14"/>
        <v>30-40</v>
      </c>
    </row>
    <row r="910" spans="1:16" x14ac:dyDescent="0.25">
      <c r="A910">
        <v>40</v>
      </c>
      <c r="B910" s="2">
        <v>1</v>
      </c>
      <c r="C910" s="2">
        <v>1</v>
      </c>
      <c r="D910" s="2">
        <v>1</v>
      </c>
      <c r="E910" s="2">
        <v>1</v>
      </c>
      <c r="F910" s="1">
        <v>45.933385080000001</v>
      </c>
      <c r="G910" s="2">
        <v>24</v>
      </c>
      <c r="H910" s="2">
        <v>7</v>
      </c>
      <c r="I910" s="2">
        <v>86</v>
      </c>
      <c r="J910" s="2">
        <v>2</v>
      </c>
      <c r="K910" s="2">
        <v>0</v>
      </c>
      <c r="L91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10" t="str">
        <f>IF(Table1[[#This Row],[Experience Years]]&lt;=2,"Entry Level",IF(Table1[[#This Row],[Experience Years]]&lt;=7,"Mid Level",IF(Table1[[#This Row],[Experience Years]]&lt;=15,"Senior Level")))</f>
        <v>Entry Level</v>
      </c>
      <c r="N910" s="1">
        <f>AVERAGE(Table1[[#This Row],[Interview Score]:[Personality Score]])</f>
        <v>39</v>
      </c>
      <c r="O9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10" s="2" t="str">
        <f t="shared" si="14"/>
        <v>40-50</v>
      </c>
    </row>
    <row r="911" spans="1:16" x14ac:dyDescent="0.25">
      <c r="A911">
        <v>35</v>
      </c>
      <c r="B911" s="2">
        <v>0</v>
      </c>
      <c r="C911" s="2">
        <v>1</v>
      </c>
      <c r="D911" s="2">
        <v>4</v>
      </c>
      <c r="E911" s="2">
        <v>3</v>
      </c>
      <c r="F911" s="1">
        <v>23.825442769999999</v>
      </c>
      <c r="G911" s="2">
        <v>58</v>
      </c>
      <c r="H911" s="2">
        <v>28</v>
      </c>
      <c r="I911" s="2">
        <v>39</v>
      </c>
      <c r="J911" s="2">
        <v>2</v>
      </c>
      <c r="K911" s="2">
        <v>0</v>
      </c>
      <c r="L91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11" s="2" t="str">
        <f>IF(Table1[[#This Row],[Experience Years]]&lt;=2,"Entry Level",IF(Table1[[#This Row],[Experience Years]]&lt;=7,"Mid Level",IF(Table1[[#This Row],[Experience Years]]&lt;=15,"Senior Level")))</f>
        <v>Mid Level</v>
      </c>
      <c r="N911" s="1">
        <f>AVERAGE(Table1[[#This Row],[Interview Score]:[Personality Score]])</f>
        <v>41.666666666666664</v>
      </c>
      <c r="O9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11" s="2" t="str">
        <f t="shared" si="14"/>
        <v>20-30</v>
      </c>
    </row>
    <row r="912" spans="1:16" x14ac:dyDescent="0.25">
      <c r="A912">
        <v>41</v>
      </c>
      <c r="B912" s="2">
        <v>1</v>
      </c>
      <c r="C912" s="2">
        <v>4</v>
      </c>
      <c r="D912" s="2">
        <v>0</v>
      </c>
      <c r="E912" s="2">
        <v>2</v>
      </c>
      <c r="F912" s="1">
        <v>8.4718129260000001</v>
      </c>
      <c r="G912" s="2">
        <v>71</v>
      </c>
      <c r="H912" s="2">
        <v>94</v>
      </c>
      <c r="I912" s="2">
        <v>44</v>
      </c>
      <c r="J912" s="2">
        <v>2</v>
      </c>
      <c r="K912" s="2">
        <v>0</v>
      </c>
      <c r="L91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12" t="str">
        <f>IF(Table1[[#This Row],[Experience Years]]&lt;=2,"Entry Level",IF(Table1[[#This Row],[Experience Years]]&lt;=7,"Mid Level",IF(Table1[[#This Row],[Experience Years]]&lt;=15,"Senior Level")))</f>
        <v>Entry Level</v>
      </c>
      <c r="N912" s="1">
        <f>AVERAGE(Table1[[#This Row],[Interview Score]:[Personality Score]])</f>
        <v>69.666666666666671</v>
      </c>
      <c r="O9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12" s="2" t="str">
        <f t="shared" si="14"/>
        <v>0-10</v>
      </c>
    </row>
    <row r="913" spans="1:16" x14ac:dyDescent="0.25">
      <c r="A913">
        <v>40</v>
      </c>
      <c r="B913" s="2">
        <v>0</v>
      </c>
      <c r="C913" s="2">
        <v>3</v>
      </c>
      <c r="D913" s="2">
        <v>5</v>
      </c>
      <c r="E913" s="2">
        <v>1</v>
      </c>
      <c r="F913" s="1">
        <v>47.496779699999998</v>
      </c>
      <c r="G913" s="2">
        <v>68</v>
      </c>
      <c r="H913" s="2">
        <v>40</v>
      </c>
      <c r="I913" s="2">
        <v>54</v>
      </c>
      <c r="J913" s="2">
        <v>2</v>
      </c>
      <c r="K913" s="2">
        <v>0</v>
      </c>
      <c r="L91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13" s="2" t="str">
        <f>IF(Table1[[#This Row],[Experience Years]]&lt;=2,"Entry Level",IF(Table1[[#This Row],[Experience Years]]&lt;=7,"Mid Level",IF(Table1[[#This Row],[Experience Years]]&lt;=15,"Senior Level")))</f>
        <v>Mid Level</v>
      </c>
      <c r="N913" s="1">
        <f>AVERAGE(Table1[[#This Row],[Interview Score]:[Personality Score]])</f>
        <v>54</v>
      </c>
      <c r="O9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13" s="2" t="str">
        <f t="shared" si="14"/>
        <v>40-50</v>
      </c>
    </row>
    <row r="914" spans="1:16" x14ac:dyDescent="0.25">
      <c r="A914">
        <v>30</v>
      </c>
      <c r="B914" s="2">
        <v>0</v>
      </c>
      <c r="C914" s="2">
        <v>4</v>
      </c>
      <c r="D914" s="2">
        <v>1</v>
      </c>
      <c r="E914" s="2">
        <v>4</v>
      </c>
      <c r="F914" s="1">
        <v>23.935255779999999</v>
      </c>
      <c r="G914" s="2">
        <v>4</v>
      </c>
      <c r="H914" s="2">
        <v>29</v>
      </c>
      <c r="I914" s="2">
        <v>50</v>
      </c>
      <c r="J914" s="2">
        <v>2</v>
      </c>
      <c r="K914" s="2">
        <v>0</v>
      </c>
      <c r="L91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14" s="2" t="str">
        <f>IF(Table1[[#This Row],[Experience Years]]&lt;=2,"Entry Level",IF(Table1[[#This Row],[Experience Years]]&lt;=7,"Mid Level",IF(Table1[[#This Row],[Experience Years]]&lt;=15,"Senior Level")))</f>
        <v>Entry Level</v>
      </c>
      <c r="N914" s="1">
        <f>AVERAGE(Table1[[#This Row],[Interview Score]:[Personality Score]])</f>
        <v>27.666666666666668</v>
      </c>
      <c r="O9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14" s="2" t="str">
        <f t="shared" si="14"/>
        <v>20-30</v>
      </c>
    </row>
    <row r="915" spans="1:16" x14ac:dyDescent="0.25">
      <c r="A915">
        <v>47</v>
      </c>
      <c r="B915" s="2">
        <v>1</v>
      </c>
      <c r="C915" s="2">
        <v>2</v>
      </c>
      <c r="D915" s="2">
        <v>3</v>
      </c>
      <c r="E915" s="2">
        <v>5</v>
      </c>
      <c r="F915" s="1">
        <v>10.081571090000001</v>
      </c>
      <c r="G915" s="2">
        <v>98</v>
      </c>
      <c r="H915" s="2">
        <v>85</v>
      </c>
      <c r="I915" s="2">
        <v>85</v>
      </c>
      <c r="J915" s="2">
        <v>2</v>
      </c>
      <c r="K915" s="2">
        <v>0</v>
      </c>
      <c r="L91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15" t="str">
        <f>IF(Table1[[#This Row],[Experience Years]]&lt;=2,"Entry Level",IF(Table1[[#This Row],[Experience Years]]&lt;=7,"Mid Level",IF(Table1[[#This Row],[Experience Years]]&lt;=15,"Senior Level")))</f>
        <v>Mid Level</v>
      </c>
      <c r="N915" s="1">
        <f>AVERAGE(Table1[[#This Row],[Interview Score]:[Personality Score]])</f>
        <v>89.333333333333329</v>
      </c>
      <c r="O9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915" s="2" t="str">
        <f t="shared" si="14"/>
        <v>10-20</v>
      </c>
    </row>
    <row r="916" spans="1:16" x14ac:dyDescent="0.25">
      <c r="A916">
        <v>24</v>
      </c>
      <c r="B916" s="2">
        <v>0</v>
      </c>
      <c r="C916" s="2">
        <v>2</v>
      </c>
      <c r="D916" s="2">
        <v>5</v>
      </c>
      <c r="E916" s="2">
        <v>5</v>
      </c>
      <c r="F916" s="1">
        <v>16.11978702</v>
      </c>
      <c r="G916" s="2">
        <v>18</v>
      </c>
      <c r="H916" s="2">
        <v>20</v>
      </c>
      <c r="I916" s="2">
        <v>4</v>
      </c>
      <c r="J916" s="2">
        <v>2</v>
      </c>
      <c r="K916" s="2">
        <v>0</v>
      </c>
      <c r="L91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16" s="2" t="str">
        <f>IF(Table1[[#This Row],[Experience Years]]&lt;=2,"Entry Level",IF(Table1[[#This Row],[Experience Years]]&lt;=7,"Mid Level",IF(Table1[[#This Row],[Experience Years]]&lt;=15,"Senior Level")))</f>
        <v>Mid Level</v>
      </c>
      <c r="N916" s="1">
        <f>AVERAGE(Table1[[#This Row],[Interview Score]:[Personality Score]])</f>
        <v>14</v>
      </c>
      <c r="O9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16" s="2" t="str">
        <f t="shared" si="14"/>
        <v>10-20</v>
      </c>
    </row>
    <row r="917" spans="1:16" x14ac:dyDescent="0.25">
      <c r="A917">
        <v>23</v>
      </c>
      <c r="B917" s="2">
        <v>0</v>
      </c>
      <c r="C917" s="2">
        <v>1</v>
      </c>
      <c r="D917" s="2">
        <v>9</v>
      </c>
      <c r="E917" s="2">
        <v>3</v>
      </c>
      <c r="F917" s="1">
        <v>3.5401294839999999</v>
      </c>
      <c r="G917" s="2">
        <v>22</v>
      </c>
      <c r="H917" s="2">
        <v>75</v>
      </c>
      <c r="I917" s="2">
        <v>94</v>
      </c>
      <c r="J917" s="2">
        <v>3</v>
      </c>
      <c r="K917" s="2">
        <v>0</v>
      </c>
      <c r="L91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17" s="2" t="str">
        <f>IF(Table1[[#This Row],[Experience Years]]&lt;=2,"Entry Level",IF(Table1[[#This Row],[Experience Years]]&lt;=7,"Mid Level",IF(Table1[[#This Row],[Experience Years]]&lt;=15,"Senior Level")))</f>
        <v>Senior Level</v>
      </c>
      <c r="N917" s="1">
        <f>AVERAGE(Table1[[#This Row],[Interview Score]:[Personality Score]])</f>
        <v>63.666666666666664</v>
      </c>
      <c r="O9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17" s="2" t="str">
        <f t="shared" si="14"/>
        <v>0-10</v>
      </c>
    </row>
    <row r="918" spans="1:16" x14ac:dyDescent="0.25">
      <c r="A918">
        <v>22</v>
      </c>
      <c r="B918" s="2">
        <v>1</v>
      </c>
      <c r="C918" s="2">
        <v>2</v>
      </c>
      <c r="D918" s="2">
        <v>10</v>
      </c>
      <c r="E918" s="2">
        <v>1</v>
      </c>
      <c r="F918" s="1">
        <v>24.415029570000002</v>
      </c>
      <c r="G918" s="2">
        <v>8</v>
      </c>
      <c r="H918" s="2">
        <v>10</v>
      </c>
      <c r="I918" s="2">
        <v>12</v>
      </c>
      <c r="J918" s="2">
        <v>1</v>
      </c>
      <c r="K918" s="2">
        <v>0</v>
      </c>
      <c r="L91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18" t="str">
        <f>IF(Table1[[#This Row],[Experience Years]]&lt;=2,"Entry Level",IF(Table1[[#This Row],[Experience Years]]&lt;=7,"Mid Level",IF(Table1[[#This Row],[Experience Years]]&lt;=15,"Senior Level")))</f>
        <v>Senior Level</v>
      </c>
      <c r="N918" s="1">
        <f>AVERAGE(Table1[[#This Row],[Interview Score]:[Personality Score]])</f>
        <v>10</v>
      </c>
      <c r="O9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18" s="2" t="str">
        <f t="shared" si="14"/>
        <v>20-30</v>
      </c>
    </row>
    <row r="919" spans="1:16" x14ac:dyDescent="0.25">
      <c r="A919">
        <v>38</v>
      </c>
      <c r="B919" s="2">
        <v>1</v>
      </c>
      <c r="C919" s="2">
        <v>3</v>
      </c>
      <c r="D919" s="2">
        <v>7</v>
      </c>
      <c r="E919" s="2">
        <v>4</v>
      </c>
      <c r="F919" s="1">
        <v>43.656408599999999</v>
      </c>
      <c r="G919" s="2">
        <v>93</v>
      </c>
      <c r="H919" s="2">
        <v>1</v>
      </c>
      <c r="I919" s="2">
        <v>27</v>
      </c>
      <c r="J919" s="2">
        <v>2</v>
      </c>
      <c r="K919" s="2">
        <v>0</v>
      </c>
      <c r="L91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19" t="str">
        <f>IF(Table1[[#This Row],[Experience Years]]&lt;=2,"Entry Level",IF(Table1[[#This Row],[Experience Years]]&lt;=7,"Mid Level",IF(Table1[[#This Row],[Experience Years]]&lt;=15,"Senior Level")))</f>
        <v>Mid Level</v>
      </c>
      <c r="N919" s="1">
        <f>AVERAGE(Table1[[#This Row],[Interview Score]:[Personality Score]])</f>
        <v>40.333333333333336</v>
      </c>
      <c r="O9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19" s="2" t="str">
        <f t="shared" si="14"/>
        <v>40-50</v>
      </c>
    </row>
    <row r="920" spans="1:16" x14ac:dyDescent="0.25">
      <c r="A920">
        <v>39</v>
      </c>
      <c r="B920" s="2">
        <v>1</v>
      </c>
      <c r="C920" s="2">
        <v>2</v>
      </c>
      <c r="D920" s="2">
        <v>11</v>
      </c>
      <c r="E920" s="2">
        <v>1</v>
      </c>
      <c r="F920" s="1">
        <v>47.679022799999998</v>
      </c>
      <c r="G920" s="2">
        <v>49</v>
      </c>
      <c r="H920" s="2">
        <v>49</v>
      </c>
      <c r="I920" s="2">
        <v>83</v>
      </c>
      <c r="J920" s="2">
        <v>2</v>
      </c>
      <c r="K920" s="2">
        <v>0</v>
      </c>
      <c r="L92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20" t="str">
        <f>IF(Table1[[#This Row],[Experience Years]]&lt;=2,"Entry Level",IF(Table1[[#This Row],[Experience Years]]&lt;=7,"Mid Level",IF(Table1[[#This Row],[Experience Years]]&lt;=15,"Senior Level")))</f>
        <v>Senior Level</v>
      </c>
      <c r="N920" s="1">
        <f>AVERAGE(Table1[[#This Row],[Interview Score]:[Personality Score]])</f>
        <v>60.333333333333336</v>
      </c>
      <c r="O9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20" s="2" t="str">
        <f t="shared" si="14"/>
        <v>40-50</v>
      </c>
    </row>
    <row r="921" spans="1:16" x14ac:dyDescent="0.25">
      <c r="A921">
        <v>44</v>
      </c>
      <c r="B921" s="2">
        <v>0</v>
      </c>
      <c r="C921" s="2">
        <v>3</v>
      </c>
      <c r="D921" s="2">
        <v>7</v>
      </c>
      <c r="E921" s="2">
        <v>5</v>
      </c>
      <c r="F921" s="1">
        <v>47.630110379999998</v>
      </c>
      <c r="G921" s="2">
        <v>15</v>
      </c>
      <c r="H921" s="2">
        <v>40</v>
      </c>
      <c r="I921" s="2">
        <v>96</v>
      </c>
      <c r="J921" s="2">
        <v>1</v>
      </c>
      <c r="K921" s="2">
        <v>1</v>
      </c>
      <c r="L92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21" s="2" t="str">
        <f>IF(Table1[[#This Row],[Experience Years]]&lt;=2,"Entry Level",IF(Table1[[#This Row],[Experience Years]]&lt;=7,"Mid Level",IF(Table1[[#This Row],[Experience Years]]&lt;=15,"Senior Level")))</f>
        <v>Mid Level</v>
      </c>
      <c r="N921" s="1">
        <f>AVERAGE(Table1[[#This Row],[Interview Score]:[Personality Score]])</f>
        <v>50.333333333333336</v>
      </c>
      <c r="O9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21" s="2" t="str">
        <f t="shared" si="14"/>
        <v>40-50</v>
      </c>
    </row>
    <row r="922" spans="1:16" x14ac:dyDescent="0.25">
      <c r="A922">
        <v>37</v>
      </c>
      <c r="B922" s="2">
        <v>1</v>
      </c>
      <c r="C922" s="2">
        <v>3</v>
      </c>
      <c r="D922" s="2">
        <v>10</v>
      </c>
      <c r="E922" s="2">
        <v>1</v>
      </c>
      <c r="F922" s="1">
        <v>7.2615012810000001</v>
      </c>
      <c r="G922" s="2">
        <v>32</v>
      </c>
      <c r="H922" s="2">
        <v>65</v>
      </c>
      <c r="I922" s="2">
        <v>79</v>
      </c>
      <c r="J922" s="2">
        <v>2</v>
      </c>
      <c r="K922" s="2">
        <v>1</v>
      </c>
      <c r="L92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22" t="str">
        <f>IF(Table1[[#This Row],[Experience Years]]&lt;=2,"Entry Level",IF(Table1[[#This Row],[Experience Years]]&lt;=7,"Mid Level",IF(Table1[[#This Row],[Experience Years]]&lt;=15,"Senior Level")))</f>
        <v>Senior Level</v>
      </c>
      <c r="N922" s="1">
        <f>AVERAGE(Table1[[#This Row],[Interview Score]:[Personality Score]])</f>
        <v>58.666666666666664</v>
      </c>
      <c r="O9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22" s="2" t="str">
        <f t="shared" si="14"/>
        <v>0-10</v>
      </c>
    </row>
    <row r="923" spans="1:16" x14ac:dyDescent="0.25">
      <c r="A923">
        <v>34</v>
      </c>
      <c r="B923" s="2">
        <v>1</v>
      </c>
      <c r="C923" s="2">
        <v>1</v>
      </c>
      <c r="D923" s="2">
        <v>5</v>
      </c>
      <c r="E923" s="2">
        <v>4</v>
      </c>
      <c r="F923" s="1">
        <v>20.10269413</v>
      </c>
      <c r="G923" s="2">
        <v>1</v>
      </c>
      <c r="H923" s="2">
        <v>97</v>
      </c>
      <c r="I923" s="2">
        <v>61</v>
      </c>
      <c r="J923" s="2">
        <v>1</v>
      </c>
      <c r="K923" s="2">
        <v>1</v>
      </c>
      <c r="L92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23" t="str">
        <f>IF(Table1[[#This Row],[Experience Years]]&lt;=2,"Entry Level",IF(Table1[[#This Row],[Experience Years]]&lt;=7,"Mid Level",IF(Table1[[#This Row],[Experience Years]]&lt;=15,"Senior Level")))</f>
        <v>Mid Level</v>
      </c>
      <c r="N923" s="1">
        <f>AVERAGE(Table1[[#This Row],[Interview Score]:[Personality Score]])</f>
        <v>53</v>
      </c>
      <c r="O9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23" s="2" t="str">
        <f t="shared" si="14"/>
        <v>20-30</v>
      </c>
    </row>
    <row r="924" spans="1:16" x14ac:dyDescent="0.25">
      <c r="A924">
        <v>28</v>
      </c>
      <c r="B924" s="2">
        <v>0</v>
      </c>
      <c r="C924" s="2">
        <v>2</v>
      </c>
      <c r="D924" s="2">
        <v>3</v>
      </c>
      <c r="E924" s="2">
        <v>3</v>
      </c>
      <c r="F924" s="1">
        <v>2.4114379829999999</v>
      </c>
      <c r="G924" s="2">
        <v>13</v>
      </c>
      <c r="H924" s="2">
        <v>2</v>
      </c>
      <c r="I924" s="2">
        <v>92</v>
      </c>
      <c r="J924" s="2">
        <v>2</v>
      </c>
      <c r="K924" s="2">
        <v>0</v>
      </c>
      <c r="L92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24" s="2" t="str">
        <f>IF(Table1[[#This Row],[Experience Years]]&lt;=2,"Entry Level",IF(Table1[[#This Row],[Experience Years]]&lt;=7,"Mid Level",IF(Table1[[#This Row],[Experience Years]]&lt;=15,"Senior Level")))</f>
        <v>Mid Level</v>
      </c>
      <c r="N924" s="1">
        <f>AVERAGE(Table1[[#This Row],[Interview Score]:[Personality Score]])</f>
        <v>35.666666666666664</v>
      </c>
      <c r="O9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24" s="2" t="str">
        <f t="shared" si="14"/>
        <v>0-10</v>
      </c>
    </row>
    <row r="925" spans="1:16" x14ac:dyDescent="0.25">
      <c r="A925">
        <v>36</v>
      </c>
      <c r="B925" s="2">
        <v>1</v>
      </c>
      <c r="C925" s="2">
        <v>2</v>
      </c>
      <c r="D925" s="2">
        <v>7</v>
      </c>
      <c r="E925" s="2">
        <v>2</v>
      </c>
      <c r="F925" s="1">
        <v>43.758267250000003</v>
      </c>
      <c r="G925" s="2">
        <v>0</v>
      </c>
      <c r="H925" s="2">
        <v>79</v>
      </c>
      <c r="I925" s="2">
        <v>86</v>
      </c>
      <c r="J925" s="2">
        <v>2</v>
      </c>
      <c r="K925" s="2">
        <v>0</v>
      </c>
      <c r="L92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25" t="str">
        <f>IF(Table1[[#This Row],[Experience Years]]&lt;=2,"Entry Level",IF(Table1[[#This Row],[Experience Years]]&lt;=7,"Mid Level",IF(Table1[[#This Row],[Experience Years]]&lt;=15,"Senior Level")))</f>
        <v>Mid Level</v>
      </c>
      <c r="N925" s="1">
        <f>AVERAGE(Table1[[#This Row],[Interview Score]:[Personality Score]])</f>
        <v>55</v>
      </c>
      <c r="O9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25" s="2" t="str">
        <f t="shared" si="14"/>
        <v>40-50</v>
      </c>
    </row>
    <row r="926" spans="1:16" x14ac:dyDescent="0.25">
      <c r="A926">
        <v>33</v>
      </c>
      <c r="B926" s="2">
        <v>1</v>
      </c>
      <c r="C926" s="2">
        <v>2</v>
      </c>
      <c r="D926" s="2">
        <v>12</v>
      </c>
      <c r="E926" s="2">
        <v>1</v>
      </c>
      <c r="F926" s="1">
        <v>18.937788099999999</v>
      </c>
      <c r="G926" s="2">
        <v>89</v>
      </c>
      <c r="H926" s="2">
        <v>50</v>
      </c>
      <c r="I926" s="2">
        <v>23</v>
      </c>
      <c r="J926" s="2">
        <v>2</v>
      </c>
      <c r="K926" s="2">
        <v>0</v>
      </c>
      <c r="L92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26" t="str">
        <f>IF(Table1[[#This Row],[Experience Years]]&lt;=2,"Entry Level",IF(Table1[[#This Row],[Experience Years]]&lt;=7,"Mid Level",IF(Table1[[#This Row],[Experience Years]]&lt;=15,"Senior Level")))</f>
        <v>Senior Level</v>
      </c>
      <c r="N926" s="1">
        <f>AVERAGE(Table1[[#This Row],[Interview Score]:[Personality Score]])</f>
        <v>54</v>
      </c>
      <c r="O9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26" s="2" t="str">
        <f t="shared" si="14"/>
        <v>10-20</v>
      </c>
    </row>
    <row r="927" spans="1:16" x14ac:dyDescent="0.25">
      <c r="A927">
        <v>34</v>
      </c>
      <c r="B927" s="2">
        <v>1</v>
      </c>
      <c r="C927" s="2">
        <v>3</v>
      </c>
      <c r="D927" s="2">
        <v>7</v>
      </c>
      <c r="E927" s="2">
        <v>2</v>
      </c>
      <c r="F927" s="1">
        <v>32.555851390000001</v>
      </c>
      <c r="G927" s="2">
        <v>57</v>
      </c>
      <c r="H927" s="2">
        <v>67</v>
      </c>
      <c r="I927" s="2">
        <v>97</v>
      </c>
      <c r="J927" s="2">
        <v>2</v>
      </c>
      <c r="K927" s="2">
        <v>1</v>
      </c>
      <c r="L92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27" t="str">
        <f>IF(Table1[[#This Row],[Experience Years]]&lt;=2,"Entry Level",IF(Table1[[#This Row],[Experience Years]]&lt;=7,"Mid Level",IF(Table1[[#This Row],[Experience Years]]&lt;=15,"Senior Level")))</f>
        <v>Mid Level</v>
      </c>
      <c r="N927" s="1">
        <f>AVERAGE(Table1[[#This Row],[Interview Score]:[Personality Score]])</f>
        <v>73.666666666666671</v>
      </c>
      <c r="O9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27" s="2" t="str">
        <f t="shared" si="14"/>
        <v>30-40</v>
      </c>
    </row>
    <row r="928" spans="1:16" x14ac:dyDescent="0.25">
      <c r="A928">
        <v>50</v>
      </c>
      <c r="B928" s="2">
        <v>0</v>
      </c>
      <c r="C928" s="2">
        <v>2</v>
      </c>
      <c r="D928" s="2">
        <v>9</v>
      </c>
      <c r="E928" s="2">
        <v>5</v>
      </c>
      <c r="F928" s="1">
        <v>36.744921900000001</v>
      </c>
      <c r="G928" s="2">
        <v>88</v>
      </c>
      <c r="H928" s="2">
        <v>86</v>
      </c>
      <c r="I928" s="2">
        <v>6</v>
      </c>
      <c r="J928" s="2">
        <v>1</v>
      </c>
      <c r="K928" s="2">
        <v>1</v>
      </c>
      <c r="L92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28" s="2" t="str">
        <f>IF(Table1[[#This Row],[Experience Years]]&lt;=2,"Entry Level",IF(Table1[[#This Row],[Experience Years]]&lt;=7,"Mid Level",IF(Table1[[#This Row],[Experience Years]]&lt;=15,"Senior Level")))</f>
        <v>Senior Level</v>
      </c>
      <c r="N928" s="1">
        <f>AVERAGE(Table1[[#This Row],[Interview Score]:[Personality Score]])</f>
        <v>60</v>
      </c>
      <c r="O9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28" s="2" t="str">
        <f t="shared" si="14"/>
        <v>30-40</v>
      </c>
    </row>
    <row r="929" spans="1:16" x14ac:dyDescent="0.25">
      <c r="A929">
        <v>20</v>
      </c>
      <c r="B929" s="2">
        <v>0</v>
      </c>
      <c r="C929" s="2">
        <v>1</v>
      </c>
      <c r="D929" s="2">
        <v>13</v>
      </c>
      <c r="E929" s="2">
        <v>3</v>
      </c>
      <c r="F929" s="1">
        <v>22.49223349</v>
      </c>
      <c r="G929" s="2">
        <v>15</v>
      </c>
      <c r="H929" s="2">
        <v>83</v>
      </c>
      <c r="I929" s="2">
        <v>37</v>
      </c>
      <c r="J929" s="2">
        <v>2</v>
      </c>
      <c r="K929" s="2">
        <v>0</v>
      </c>
      <c r="L92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29" s="2" t="str">
        <f>IF(Table1[[#This Row],[Experience Years]]&lt;=2,"Entry Level",IF(Table1[[#This Row],[Experience Years]]&lt;=7,"Mid Level",IF(Table1[[#This Row],[Experience Years]]&lt;=15,"Senior Level")))</f>
        <v>Senior Level</v>
      </c>
      <c r="N929" s="1">
        <f>AVERAGE(Table1[[#This Row],[Interview Score]:[Personality Score]])</f>
        <v>45</v>
      </c>
      <c r="O9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29" s="2" t="str">
        <f t="shared" si="14"/>
        <v>20-30</v>
      </c>
    </row>
    <row r="930" spans="1:16" x14ac:dyDescent="0.25">
      <c r="A930">
        <v>40</v>
      </c>
      <c r="B930" s="2">
        <v>0</v>
      </c>
      <c r="C930" s="2">
        <v>2</v>
      </c>
      <c r="D930" s="2">
        <v>0</v>
      </c>
      <c r="E930" s="2">
        <v>3</v>
      </c>
      <c r="F930" s="1">
        <v>16.322116829999999</v>
      </c>
      <c r="G930" s="2">
        <v>78</v>
      </c>
      <c r="H930" s="2">
        <v>24</v>
      </c>
      <c r="I930" s="2">
        <v>36</v>
      </c>
      <c r="J930" s="2">
        <v>1</v>
      </c>
      <c r="K930" s="2">
        <v>0</v>
      </c>
      <c r="L93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30" s="2" t="str">
        <f>IF(Table1[[#This Row],[Experience Years]]&lt;=2,"Entry Level",IF(Table1[[#This Row],[Experience Years]]&lt;=7,"Mid Level",IF(Table1[[#This Row],[Experience Years]]&lt;=15,"Senior Level")))</f>
        <v>Entry Level</v>
      </c>
      <c r="N930" s="1">
        <f>AVERAGE(Table1[[#This Row],[Interview Score]:[Personality Score]])</f>
        <v>46</v>
      </c>
      <c r="O9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30" s="2" t="str">
        <f t="shared" si="14"/>
        <v>10-20</v>
      </c>
    </row>
    <row r="931" spans="1:16" x14ac:dyDescent="0.25">
      <c r="A931">
        <v>41</v>
      </c>
      <c r="B931" s="2">
        <v>0</v>
      </c>
      <c r="C931" s="2">
        <v>4</v>
      </c>
      <c r="D931" s="2">
        <v>15</v>
      </c>
      <c r="E931" s="2">
        <v>1</v>
      </c>
      <c r="F931" s="1">
        <v>49.110645509999998</v>
      </c>
      <c r="G931" s="2">
        <v>89</v>
      </c>
      <c r="H931" s="2">
        <v>29</v>
      </c>
      <c r="I931" s="2">
        <v>67</v>
      </c>
      <c r="J931" s="2">
        <v>3</v>
      </c>
      <c r="K931" s="2">
        <v>1</v>
      </c>
      <c r="L93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31" s="2" t="str">
        <f>IF(Table1[[#This Row],[Experience Years]]&lt;=2,"Entry Level",IF(Table1[[#This Row],[Experience Years]]&lt;=7,"Mid Level",IF(Table1[[#This Row],[Experience Years]]&lt;=15,"Senior Level")))</f>
        <v>Senior Level</v>
      </c>
      <c r="N931" s="1">
        <f>AVERAGE(Table1[[#This Row],[Interview Score]:[Personality Score]])</f>
        <v>61.666666666666664</v>
      </c>
      <c r="O9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31" s="2" t="str">
        <f t="shared" si="14"/>
        <v>40-50</v>
      </c>
    </row>
    <row r="932" spans="1:16" x14ac:dyDescent="0.25">
      <c r="A932">
        <v>41</v>
      </c>
      <c r="B932" s="2">
        <v>1</v>
      </c>
      <c r="C932" s="2">
        <v>1</v>
      </c>
      <c r="D932" s="2">
        <v>3</v>
      </c>
      <c r="E932" s="2">
        <v>3</v>
      </c>
      <c r="F932" s="1">
        <v>49.224411250000003</v>
      </c>
      <c r="G932" s="2">
        <v>46</v>
      </c>
      <c r="H932" s="2">
        <v>81</v>
      </c>
      <c r="I932" s="2">
        <v>97</v>
      </c>
      <c r="J932" s="2">
        <v>3</v>
      </c>
      <c r="K932" s="2">
        <v>0</v>
      </c>
      <c r="L93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32" t="str">
        <f>IF(Table1[[#This Row],[Experience Years]]&lt;=2,"Entry Level",IF(Table1[[#This Row],[Experience Years]]&lt;=7,"Mid Level",IF(Table1[[#This Row],[Experience Years]]&lt;=15,"Senior Level")))</f>
        <v>Mid Level</v>
      </c>
      <c r="N932" s="1">
        <f>AVERAGE(Table1[[#This Row],[Interview Score]:[Personality Score]])</f>
        <v>74.666666666666671</v>
      </c>
      <c r="O9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32" s="2" t="str">
        <f t="shared" si="14"/>
        <v>40-50</v>
      </c>
    </row>
    <row r="933" spans="1:16" x14ac:dyDescent="0.25">
      <c r="A933">
        <v>22</v>
      </c>
      <c r="B933" s="2">
        <v>0</v>
      </c>
      <c r="C933" s="2">
        <v>3</v>
      </c>
      <c r="D933" s="2">
        <v>3</v>
      </c>
      <c r="E933" s="2">
        <v>1</v>
      </c>
      <c r="F933" s="1">
        <v>15.4718184</v>
      </c>
      <c r="G933" s="2">
        <v>43</v>
      </c>
      <c r="H933" s="2">
        <v>10</v>
      </c>
      <c r="I933" s="2">
        <v>41</v>
      </c>
      <c r="J933" s="2">
        <v>2</v>
      </c>
      <c r="K933" s="2">
        <v>0</v>
      </c>
      <c r="L93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33" s="2" t="str">
        <f>IF(Table1[[#This Row],[Experience Years]]&lt;=2,"Entry Level",IF(Table1[[#This Row],[Experience Years]]&lt;=7,"Mid Level",IF(Table1[[#This Row],[Experience Years]]&lt;=15,"Senior Level")))</f>
        <v>Mid Level</v>
      </c>
      <c r="N933" s="1">
        <f>AVERAGE(Table1[[#This Row],[Interview Score]:[Personality Score]])</f>
        <v>31.333333333333332</v>
      </c>
      <c r="O9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33" s="2" t="str">
        <f t="shared" si="14"/>
        <v>10-20</v>
      </c>
    </row>
    <row r="934" spans="1:16" x14ac:dyDescent="0.25">
      <c r="A934">
        <v>35</v>
      </c>
      <c r="B934" s="2">
        <v>0</v>
      </c>
      <c r="C934" s="2">
        <v>2</v>
      </c>
      <c r="D934" s="2">
        <v>6</v>
      </c>
      <c r="E934" s="2">
        <v>1</v>
      </c>
      <c r="F934" s="1">
        <v>24.981254839999998</v>
      </c>
      <c r="G934" s="2">
        <v>79</v>
      </c>
      <c r="H934" s="2">
        <v>92</v>
      </c>
      <c r="I934" s="2">
        <v>85</v>
      </c>
      <c r="J934" s="2">
        <v>3</v>
      </c>
      <c r="K934" s="2">
        <v>1</v>
      </c>
      <c r="L93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34" s="2" t="str">
        <f>IF(Table1[[#This Row],[Experience Years]]&lt;=2,"Entry Level",IF(Table1[[#This Row],[Experience Years]]&lt;=7,"Mid Level",IF(Table1[[#This Row],[Experience Years]]&lt;=15,"Senior Level")))</f>
        <v>Mid Level</v>
      </c>
      <c r="N934" s="1">
        <f>AVERAGE(Table1[[#This Row],[Interview Score]:[Personality Score]])</f>
        <v>85.333333333333329</v>
      </c>
      <c r="O9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934" s="2" t="str">
        <f t="shared" si="14"/>
        <v>20-30</v>
      </c>
    </row>
    <row r="935" spans="1:16" x14ac:dyDescent="0.25">
      <c r="A935">
        <v>42</v>
      </c>
      <c r="B935" s="2">
        <v>1</v>
      </c>
      <c r="C935" s="2">
        <v>3</v>
      </c>
      <c r="D935" s="2">
        <v>15</v>
      </c>
      <c r="E935" s="2">
        <v>2</v>
      </c>
      <c r="F935" s="1">
        <v>49.642207929999998</v>
      </c>
      <c r="G935" s="2">
        <v>13</v>
      </c>
      <c r="H935" s="2">
        <v>16</v>
      </c>
      <c r="I935" s="2">
        <v>4</v>
      </c>
      <c r="J935" s="2">
        <v>2</v>
      </c>
      <c r="K935" s="2">
        <v>0</v>
      </c>
      <c r="L93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35" t="str">
        <f>IF(Table1[[#This Row],[Experience Years]]&lt;=2,"Entry Level",IF(Table1[[#This Row],[Experience Years]]&lt;=7,"Mid Level",IF(Table1[[#This Row],[Experience Years]]&lt;=15,"Senior Level")))</f>
        <v>Senior Level</v>
      </c>
      <c r="N935" s="1">
        <f>AVERAGE(Table1[[#This Row],[Interview Score]:[Personality Score]])</f>
        <v>11</v>
      </c>
      <c r="O9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35" s="2" t="str">
        <f t="shared" si="14"/>
        <v>40-50</v>
      </c>
    </row>
    <row r="936" spans="1:16" x14ac:dyDescent="0.25">
      <c r="A936">
        <v>44</v>
      </c>
      <c r="B936" s="2">
        <v>1</v>
      </c>
      <c r="C936" s="2">
        <v>3</v>
      </c>
      <c r="D936" s="2">
        <v>13</v>
      </c>
      <c r="E936" s="2">
        <v>3</v>
      </c>
      <c r="F936" s="1">
        <v>1.2434203829999999</v>
      </c>
      <c r="G936" s="2">
        <v>92</v>
      </c>
      <c r="H936" s="2">
        <v>25</v>
      </c>
      <c r="I936" s="2">
        <v>63</v>
      </c>
      <c r="J936" s="2">
        <v>3</v>
      </c>
      <c r="K936" s="2">
        <v>1</v>
      </c>
      <c r="L93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36" t="str">
        <f>IF(Table1[[#This Row],[Experience Years]]&lt;=2,"Entry Level",IF(Table1[[#This Row],[Experience Years]]&lt;=7,"Mid Level",IF(Table1[[#This Row],[Experience Years]]&lt;=15,"Senior Level")))</f>
        <v>Senior Level</v>
      </c>
      <c r="N936" s="1">
        <f>AVERAGE(Table1[[#This Row],[Interview Score]:[Personality Score]])</f>
        <v>60</v>
      </c>
      <c r="O9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36" s="2" t="str">
        <f t="shared" si="14"/>
        <v>0-10</v>
      </c>
    </row>
    <row r="937" spans="1:16" x14ac:dyDescent="0.25">
      <c r="A937">
        <v>30</v>
      </c>
      <c r="B937" s="2">
        <v>1</v>
      </c>
      <c r="C937" s="2">
        <v>2</v>
      </c>
      <c r="D937" s="2">
        <v>13</v>
      </c>
      <c r="E937" s="2">
        <v>1</v>
      </c>
      <c r="F937" s="1">
        <v>21.633912420000001</v>
      </c>
      <c r="G937" s="2">
        <v>23</v>
      </c>
      <c r="H937" s="2">
        <v>22</v>
      </c>
      <c r="I937" s="2">
        <v>49</v>
      </c>
      <c r="J937" s="2">
        <v>2</v>
      </c>
      <c r="K937" s="2">
        <v>0</v>
      </c>
      <c r="L93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37" t="str">
        <f>IF(Table1[[#This Row],[Experience Years]]&lt;=2,"Entry Level",IF(Table1[[#This Row],[Experience Years]]&lt;=7,"Mid Level",IF(Table1[[#This Row],[Experience Years]]&lt;=15,"Senior Level")))</f>
        <v>Senior Level</v>
      </c>
      <c r="N937" s="1">
        <f>AVERAGE(Table1[[#This Row],[Interview Score]:[Personality Score]])</f>
        <v>31.333333333333332</v>
      </c>
      <c r="O9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37" s="2" t="str">
        <f t="shared" si="14"/>
        <v>20-30</v>
      </c>
    </row>
    <row r="938" spans="1:16" x14ac:dyDescent="0.25">
      <c r="A938">
        <v>31</v>
      </c>
      <c r="B938" s="2">
        <v>0</v>
      </c>
      <c r="C938" s="2">
        <v>2</v>
      </c>
      <c r="D938" s="2">
        <v>10</v>
      </c>
      <c r="E938" s="2">
        <v>2</v>
      </c>
      <c r="F938" s="1">
        <v>6.0228774840000003</v>
      </c>
      <c r="G938" s="2">
        <v>54</v>
      </c>
      <c r="H938" s="2">
        <v>55</v>
      </c>
      <c r="I938" s="2">
        <v>86</v>
      </c>
      <c r="J938" s="2">
        <v>1</v>
      </c>
      <c r="K938" s="2">
        <v>1</v>
      </c>
      <c r="L93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38" s="2" t="str">
        <f>IF(Table1[[#This Row],[Experience Years]]&lt;=2,"Entry Level",IF(Table1[[#This Row],[Experience Years]]&lt;=7,"Mid Level",IF(Table1[[#This Row],[Experience Years]]&lt;=15,"Senior Level")))</f>
        <v>Senior Level</v>
      </c>
      <c r="N938" s="1">
        <f>AVERAGE(Table1[[#This Row],[Interview Score]:[Personality Score]])</f>
        <v>65</v>
      </c>
      <c r="O9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38" s="2" t="str">
        <f t="shared" si="14"/>
        <v>0-10</v>
      </c>
    </row>
    <row r="939" spans="1:16" x14ac:dyDescent="0.25">
      <c r="A939">
        <v>29</v>
      </c>
      <c r="B939" s="2">
        <v>0</v>
      </c>
      <c r="C939" s="2">
        <v>3</v>
      </c>
      <c r="D939" s="2">
        <v>6</v>
      </c>
      <c r="E939" s="2">
        <v>4</v>
      </c>
      <c r="F939" s="1">
        <v>26.457898279999998</v>
      </c>
      <c r="G939" s="2">
        <v>14</v>
      </c>
      <c r="H939" s="2">
        <v>51</v>
      </c>
      <c r="I939" s="2">
        <v>14</v>
      </c>
      <c r="J939" s="2">
        <v>3</v>
      </c>
      <c r="K939" s="2">
        <v>0</v>
      </c>
      <c r="L93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39" s="2" t="str">
        <f>IF(Table1[[#This Row],[Experience Years]]&lt;=2,"Entry Level",IF(Table1[[#This Row],[Experience Years]]&lt;=7,"Mid Level",IF(Table1[[#This Row],[Experience Years]]&lt;=15,"Senior Level")))</f>
        <v>Mid Level</v>
      </c>
      <c r="N939" s="1">
        <f>AVERAGE(Table1[[#This Row],[Interview Score]:[Personality Score]])</f>
        <v>26.333333333333332</v>
      </c>
      <c r="O9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39" s="2" t="str">
        <f t="shared" si="14"/>
        <v>20-30</v>
      </c>
    </row>
    <row r="940" spans="1:16" x14ac:dyDescent="0.25">
      <c r="A940">
        <v>35</v>
      </c>
      <c r="B940" s="2">
        <v>0</v>
      </c>
      <c r="C940" s="2">
        <v>2</v>
      </c>
      <c r="D940" s="2">
        <v>15</v>
      </c>
      <c r="E940" s="2">
        <v>2</v>
      </c>
      <c r="F940" s="1">
        <v>2.233497727</v>
      </c>
      <c r="G940" s="2">
        <v>82</v>
      </c>
      <c r="H940" s="2">
        <v>47</v>
      </c>
      <c r="I940" s="2">
        <v>94</v>
      </c>
      <c r="J940" s="2">
        <v>1</v>
      </c>
      <c r="K940" s="2">
        <v>1</v>
      </c>
      <c r="L94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40" s="2" t="str">
        <f>IF(Table1[[#This Row],[Experience Years]]&lt;=2,"Entry Level",IF(Table1[[#This Row],[Experience Years]]&lt;=7,"Mid Level",IF(Table1[[#This Row],[Experience Years]]&lt;=15,"Senior Level")))</f>
        <v>Senior Level</v>
      </c>
      <c r="N940" s="1">
        <f>AVERAGE(Table1[[#This Row],[Interview Score]:[Personality Score]])</f>
        <v>74.333333333333329</v>
      </c>
      <c r="O9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40" s="2" t="str">
        <f t="shared" si="14"/>
        <v>0-10</v>
      </c>
    </row>
    <row r="941" spans="1:16" x14ac:dyDescent="0.25">
      <c r="A941">
        <v>27</v>
      </c>
      <c r="B941" s="2">
        <v>1</v>
      </c>
      <c r="C941" s="2">
        <v>3</v>
      </c>
      <c r="D941" s="2">
        <v>12</v>
      </c>
      <c r="E941" s="2">
        <v>2</v>
      </c>
      <c r="F941" s="1">
        <v>21.34492157</v>
      </c>
      <c r="G941" s="2">
        <v>71</v>
      </c>
      <c r="H941" s="2">
        <v>19</v>
      </c>
      <c r="I941" s="2">
        <v>72</v>
      </c>
      <c r="J941" s="2">
        <v>1</v>
      </c>
      <c r="K941" s="2">
        <v>1</v>
      </c>
      <c r="L94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41" t="str">
        <f>IF(Table1[[#This Row],[Experience Years]]&lt;=2,"Entry Level",IF(Table1[[#This Row],[Experience Years]]&lt;=7,"Mid Level",IF(Table1[[#This Row],[Experience Years]]&lt;=15,"Senior Level")))</f>
        <v>Senior Level</v>
      </c>
      <c r="N941" s="1">
        <f>AVERAGE(Table1[[#This Row],[Interview Score]:[Personality Score]])</f>
        <v>54</v>
      </c>
      <c r="O9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41" s="2" t="str">
        <f t="shared" si="14"/>
        <v>20-30</v>
      </c>
    </row>
    <row r="942" spans="1:16" x14ac:dyDescent="0.25">
      <c r="A942">
        <v>25</v>
      </c>
      <c r="B942" s="2">
        <v>1</v>
      </c>
      <c r="C942" s="2">
        <v>1</v>
      </c>
      <c r="D942" s="2">
        <v>10</v>
      </c>
      <c r="E942" s="2">
        <v>1</v>
      </c>
      <c r="F942" s="1">
        <v>12.034953740000001</v>
      </c>
      <c r="G942" s="2">
        <v>33</v>
      </c>
      <c r="H942" s="2">
        <v>1</v>
      </c>
      <c r="I942" s="2">
        <v>52</v>
      </c>
      <c r="J942" s="2">
        <v>1</v>
      </c>
      <c r="K942" s="2">
        <v>0</v>
      </c>
      <c r="L94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42" t="str">
        <f>IF(Table1[[#This Row],[Experience Years]]&lt;=2,"Entry Level",IF(Table1[[#This Row],[Experience Years]]&lt;=7,"Mid Level",IF(Table1[[#This Row],[Experience Years]]&lt;=15,"Senior Level")))</f>
        <v>Senior Level</v>
      </c>
      <c r="N942" s="1">
        <f>AVERAGE(Table1[[#This Row],[Interview Score]:[Personality Score]])</f>
        <v>28.666666666666668</v>
      </c>
      <c r="O9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42" s="2" t="str">
        <f t="shared" si="14"/>
        <v>10-20</v>
      </c>
    </row>
    <row r="943" spans="1:16" x14ac:dyDescent="0.25">
      <c r="A943">
        <v>31</v>
      </c>
      <c r="B943" s="2">
        <v>0</v>
      </c>
      <c r="C943" s="2">
        <v>3</v>
      </c>
      <c r="D943" s="2">
        <v>14</v>
      </c>
      <c r="E943" s="2">
        <v>5</v>
      </c>
      <c r="F943" s="1">
        <v>27.665418119999998</v>
      </c>
      <c r="G943" s="2">
        <v>1</v>
      </c>
      <c r="H943" s="2">
        <v>87</v>
      </c>
      <c r="I943" s="2">
        <v>24</v>
      </c>
      <c r="J943" s="2">
        <v>2</v>
      </c>
      <c r="K943" s="2">
        <v>0</v>
      </c>
      <c r="L94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43" s="2" t="str">
        <f>IF(Table1[[#This Row],[Experience Years]]&lt;=2,"Entry Level",IF(Table1[[#This Row],[Experience Years]]&lt;=7,"Mid Level",IF(Table1[[#This Row],[Experience Years]]&lt;=15,"Senior Level")))</f>
        <v>Senior Level</v>
      </c>
      <c r="N943" s="1">
        <f>AVERAGE(Table1[[#This Row],[Interview Score]:[Personality Score]])</f>
        <v>37.333333333333336</v>
      </c>
      <c r="O9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43" s="2" t="str">
        <f t="shared" si="14"/>
        <v>20-30</v>
      </c>
    </row>
    <row r="944" spans="1:16" x14ac:dyDescent="0.25">
      <c r="A944">
        <v>43</v>
      </c>
      <c r="B944" s="2">
        <v>1</v>
      </c>
      <c r="C944" s="2">
        <v>3</v>
      </c>
      <c r="D944" s="2">
        <v>7</v>
      </c>
      <c r="E944" s="2">
        <v>5</v>
      </c>
      <c r="F944" s="1">
        <v>50.79968246</v>
      </c>
      <c r="G944" s="2">
        <v>26</v>
      </c>
      <c r="H944" s="2">
        <v>30</v>
      </c>
      <c r="I944" s="2">
        <v>88</v>
      </c>
      <c r="J944" s="2">
        <v>2</v>
      </c>
      <c r="K944" s="2">
        <v>0</v>
      </c>
      <c r="L94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44" t="str">
        <f>IF(Table1[[#This Row],[Experience Years]]&lt;=2,"Entry Level",IF(Table1[[#This Row],[Experience Years]]&lt;=7,"Mid Level",IF(Table1[[#This Row],[Experience Years]]&lt;=15,"Senior Level")))</f>
        <v>Mid Level</v>
      </c>
      <c r="N944" s="1">
        <f>AVERAGE(Table1[[#This Row],[Interview Score]:[Personality Score]])</f>
        <v>48</v>
      </c>
      <c r="O9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44" s="2" t="str">
        <f t="shared" si="14"/>
        <v>50+</v>
      </c>
    </row>
    <row r="945" spans="1:16" x14ac:dyDescent="0.25">
      <c r="A945">
        <v>47</v>
      </c>
      <c r="B945" s="2">
        <v>1</v>
      </c>
      <c r="C945" s="2">
        <v>4</v>
      </c>
      <c r="D945" s="2">
        <v>15</v>
      </c>
      <c r="E945" s="2">
        <v>5</v>
      </c>
      <c r="F945" s="1">
        <v>41.026805260000003</v>
      </c>
      <c r="G945" s="2">
        <v>73</v>
      </c>
      <c r="H945" s="2">
        <v>26</v>
      </c>
      <c r="I945" s="2">
        <v>84</v>
      </c>
      <c r="J945" s="2">
        <v>2</v>
      </c>
      <c r="K945" s="2">
        <v>1</v>
      </c>
      <c r="L94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45" t="str">
        <f>IF(Table1[[#This Row],[Experience Years]]&lt;=2,"Entry Level",IF(Table1[[#This Row],[Experience Years]]&lt;=7,"Mid Level",IF(Table1[[#This Row],[Experience Years]]&lt;=15,"Senior Level")))</f>
        <v>Senior Level</v>
      </c>
      <c r="N945" s="1">
        <f>AVERAGE(Table1[[#This Row],[Interview Score]:[Personality Score]])</f>
        <v>61</v>
      </c>
      <c r="O9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45" s="2" t="str">
        <f t="shared" si="14"/>
        <v>40-50</v>
      </c>
    </row>
    <row r="946" spans="1:16" x14ac:dyDescent="0.25">
      <c r="A946">
        <v>40</v>
      </c>
      <c r="B946" s="2">
        <v>1</v>
      </c>
      <c r="C946" s="2">
        <v>1</v>
      </c>
      <c r="D946" s="2">
        <v>10</v>
      </c>
      <c r="E946" s="2">
        <v>2</v>
      </c>
      <c r="F946" s="1">
        <v>43.282104580000002</v>
      </c>
      <c r="G946" s="2">
        <v>98</v>
      </c>
      <c r="H946" s="2">
        <v>1</v>
      </c>
      <c r="I946" s="2">
        <v>8</v>
      </c>
      <c r="J946" s="2">
        <v>3</v>
      </c>
      <c r="K946" s="2">
        <v>0</v>
      </c>
      <c r="L94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46" t="str">
        <f>IF(Table1[[#This Row],[Experience Years]]&lt;=2,"Entry Level",IF(Table1[[#This Row],[Experience Years]]&lt;=7,"Mid Level",IF(Table1[[#This Row],[Experience Years]]&lt;=15,"Senior Level")))</f>
        <v>Senior Level</v>
      </c>
      <c r="N946" s="1">
        <f>AVERAGE(Table1[[#This Row],[Interview Score]:[Personality Score]])</f>
        <v>35.666666666666664</v>
      </c>
      <c r="O9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46" s="2" t="str">
        <f t="shared" si="14"/>
        <v>40-50</v>
      </c>
    </row>
    <row r="947" spans="1:16" x14ac:dyDescent="0.25">
      <c r="A947">
        <v>27</v>
      </c>
      <c r="B947" s="2">
        <v>0</v>
      </c>
      <c r="C947" s="2">
        <v>2</v>
      </c>
      <c r="D947" s="2">
        <v>4</v>
      </c>
      <c r="E947" s="2">
        <v>1</v>
      </c>
      <c r="F947" s="1">
        <v>32.763249369999997</v>
      </c>
      <c r="G947" s="2">
        <v>86</v>
      </c>
      <c r="H947" s="2">
        <v>77</v>
      </c>
      <c r="I947" s="2">
        <v>37</v>
      </c>
      <c r="J947" s="2">
        <v>1</v>
      </c>
      <c r="K947" s="2">
        <v>1</v>
      </c>
      <c r="L94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47" s="2" t="str">
        <f>IF(Table1[[#This Row],[Experience Years]]&lt;=2,"Entry Level",IF(Table1[[#This Row],[Experience Years]]&lt;=7,"Mid Level",IF(Table1[[#This Row],[Experience Years]]&lt;=15,"Senior Level")))</f>
        <v>Mid Level</v>
      </c>
      <c r="N947" s="1">
        <f>AVERAGE(Table1[[#This Row],[Interview Score]:[Personality Score]])</f>
        <v>66.666666666666671</v>
      </c>
      <c r="O9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47" s="2" t="str">
        <f t="shared" si="14"/>
        <v>30-40</v>
      </c>
    </row>
    <row r="948" spans="1:16" x14ac:dyDescent="0.25">
      <c r="A948">
        <v>45</v>
      </c>
      <c r="B948" s="2">
        <v>1</v>
      </c>
      <c r="C948" s="2">
        <v>2</v>
      </c>
      <c r="D948" s="2">
        <v>6</v>
      </c>
      <c r="E948" s="2">
        <v>3</v>
      </c>
      <c r="F948" s="1">
        <v>3.0779924140000001</v>
      </c>
      <c r="G948" s="2">
        <v>71</v>
      </c>
      <c r="H948" s="2">
        <v>3</v>
      </c>
      <c r="I948" s="2">
        <v>21</v>
      </c>
      <c r="J948" s="2">
        <v>3</v>
      </c>
      <c r="K948" s="2">
        <v>0</v>
      </c>
      <c r="L94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48" t="str">
        <f>IF(Table1[[#This Row],[Experience Years]]&lt;=2,"Entry Level",IF(Table1[[#This Row],[Experience Years]]&lt;=7,"Mid Level",IF(Table1[[#This Row],[Experience Years]]&lt;=15,"Senior Level")))</f>
        <v>Mid Level</v>
      </c>
      <c r="N948" s="1">
        <f>AVERAGE(Table1[[#This Row],[Interview Score]:[Personality Score]])</f>
        <v>31.666666666666668</v>
      </c>
      <c r="O9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48" s="2" t="str">
        <f t="shared" si="14"/>
        <v>0-10</v>
      </c>
    </row>
    <row r="949" spans="1:16" x14ac:dyDescent="0.25">
      <c r="A949">
        <v>47</v>
      </c>
      <c r="B949" s="2">
        <v>1</v>
      </c>
      <c r="C949" s="2">
        <v>2</v>
      </c>
      <c r="D949" s="2">
        <v>7</v>
      </c>
      <c r="E949" s="2">
        <v>2</v>
      </c>
      <c r="F949" s="1">
        <v>11.339883800000001</v>
      </c>
      <c r="G949" s="2">
        <v>91</v>
      </c>
      <c r="H949" s="2">
        <v>12</v>
      </c>
      <c r="I949" s="2">
        <v>86</v>
      </c>
      <c r="J949" s="2">
        <v>3</v>
      </c>
      <c r="K949" s="2">
        <v>0</v>
      </c>
      <c r="L94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49" t="str">
        <f>IF(Table1[[#This Row],[Experience Years]]&lt;=2,"Entry Level",IF(Table1[[#This Row],[Experience Years]]&lt;=7,"Mid Level",IF(Table1[[#This Row],[Experience Years]]&lt;=15,"Senior Level")))</f>
        <v>Mid Level</v>
      </c>
      <c r="N949" s="1">
        <f>AVERAGE(Table1[[#This Row],[Interview Score]:[Personality Score]])</f>
        <v>63</v>
      </c>
      <c r="O9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49" s="2" t="str">
        <f t="shared" si="14"/>
        <v>10-20</v>
      </c>
    </row>
    <row r="950" spans="1:16" x14ac:dyDescent="0.25">
      <c r="A950">
        <v>23</v>
      </c>
      <c r="B950" s="2">
        <v>0</v>
      </c>
      <c r="C950" s="2">
        <v>2</v>
      </c>
      <c r="D950" s="2">
        <v>15</v>
      </c>
      <c r="E950" s="2">
        <v>2</v>
      </c>
      <c r="F950" s="1">
        <v>47.253227819999999</v>
      </c>
      <c r="G950" s="2">
        <v>22</v>
      </c>
      <c r="H950" s="2">
        <v>99</v>
      </c>
      <c r="I950" s="2">
        <v>48</v>
      </c>
      <c r="J950" s="2">
        <v>1</v>
      </c>
      <c r="K950" s="2">
        <v>1</v>
      </c>
      <c r="L95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50" s="2" t="str">
        <f>IF(Table1[[#This Row],[Experience Years]]&lt;=2,"Entry Level",IF(Table1[[#This Row],[Experience Years]]&lt;=7,"Mid Level",IF(Table1[[#This Row],[Experience Years]]&lt;=15,"Senior Level")))</f>
        <v>Senior Level</v>
      </c>
      <c r="N950" s="1">
        <f>AVERAGE(Table1[[#This Row],[Interview Score]:[Personality Score]])</f>
        <v>56.333333333333336</v>
      </c>
      <c r="O9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50" s="2" t="str">
        <f t="shared" si="14"/>
        <v>40-50</v>
      </c>
    </row>
    <row r="951" spans="1:16" x14ac:dyDescent="0.25">
      <c r="A951">
        <v>45</v>
      </c>
      <c r="B951" s="2">
        <v>0</v>
      </c>
      <c r="C951" s="2">
        <v>1</v>
      </c>
      <c r="D951" s="2">
        <v>14</v>
      </c>
      <c r="E951" s="2">
        <v>1</v>
      </c>
      <c r="F951" s="1">
        <v>19.305655900000001</v>
      </c>
      <c r="G951" s="2">
        <v>67</v>
      </c>
      <c r="H951" s="2">
        <v>34</v>
      </c>
      <c r="I951" s="2">
        <v>67</v>
      </c>
      <c r="J951" s="2">
        <v>2</v>
      </c>
      <c r="K951" s="2">
        <v>0</v>
      </c>
      <c r="L95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51" s="2" t="str">
        <f>IF(Table1[[#This Row],[Experience Years]]&lt;=2,"Entry Level",IF(Table1[[#This Row],[Experience Years]]&lt;=7,"Mid Level",IF(Table1[[#This Row],[Experience Years]]&lt;=15,"Senior Level")))</f>
        <v>Senior Level</v>
      </c>
      <c r="N951" s="1">
        <f>AVERAGE(Table1[[#This Row],[Interview Score]:[Personality Score]])</f>
        <v>56</v>
      </c>
      <c r="O9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51" s="2" t="str">
        <f t="shared" si="14"/>
        <v>10-20</v>
      </c>
    </row>
    <row r="952" spans="1:16" x14ac:dyDescent="0.25">
      <c r="A952">
        <v>27</v>
      </c>
      <c r="B952" s="2">
        <v>1</v>
      </c>
      <c r="C952" s="2">
        <v>3</v>
      </c>
      <c r="D952" s="2">
        <v>8</v>
      </c>
      <c r="E952" s="2">
        <v>4</v>
      </c>
      <c r="F952" s="1">
        <v>6.1818363239999998</v>
      </c>
      <c r="G952" s="2">
        <v>13</v>
      </c>
      <c r="H952" s="2">
        <v>71</v>
      </c>
      <c r="I952" s="2">
        <v>92</v>
      </c>
      <c r="J952" s="2">
        <v>3</v>
      </c>
      <c r="K952" s="2">
        <v>1</v>
      </c>
      <c r="L95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52" t="str">
        <f>IF(Table1[[#This Row],[Experience Years]]&lt;=2,"Entry Level",IF(Table1[[#This Row],[Experience Years]]&lt;=7,"Mid Level",IF(Table1[[#This Row],[Experience Years]]&lt;=15,"Senior Level")))</f>
        <v>Senior Level</v>
      </c>
      <c r="N952" s="1">
        <f>AVERAGE(Table1[[#This Row],[Interview Score]:[Personality Score]])</f>
        <v>58.666666666666664</v>
      </c>
      <c r="O9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52" s="2" t="str">
        <f t="shared" si="14"/>
        <v>0-10</v>
      </c>
    </row>
    <row r="953" spans="1:16" x14ac:dyDescent="0.25">
      <c r="A953">
        <v>45</v>
      </c>
      <c r="B953" s="2">
        <v>1</v>
      </c>
      <c r="C953" s="2">
        <v>2</v>
      </c>
      <c r="D953" s="2">
        <v>2</v>
      </c>
      <c r="E953" s="2">
        <v>2</v>
      </c>
      <c r="F953" s="1">
        <v>36.120268289999999</v>
      </c>
      <c r="G953" s="2">
        <v>62</v>
      </c>
      <c r="H953" s="2">
        <v>65</v>
      </c>
      <c r="I953" s="2">
        <v>14</v>
      </c>
      <c r="J953" s="2">
        <v>2</v>
      </c>
      <c r="K953" s="2">
        <v>0</v>
      </c>
      <c r="L95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53" t="str">
        <f>IF(Table1[[#This Row],[Experience Years]]&lt;=2,"Entry Level",IF(Table1[[#This Row],[Experience Years]]&lt;=7,"Mid Level",IF(Table1[[#This Row],[Experience Years]]&lt;=15,"Senior Level")))</f>
        <v>Entry Level</v>
      </c>
      <c r="N953" s="1">
        <f>AVERAGE(Table1[[#This Row],[Interview Score]:[Personality Score]])</f>
        <v>47</v>
      </c>
      <c r="O9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53" s="2" t="str">
        <f t="shared" si="14"/>
        <v>30-40</v>
      </c>
    </row>
    <row r="954" spans="1:16" x14ac:dyDescent="0.25">
      <c r="A954">
        <v>47</v>
      </c>
      <c r="B954" s="2">
        <v>0</v>
      </c>
      <c r="C954" s="2">
        <v>1</v>
      </c>
      <c r="D954" s="2">
        <v>2</v>
      </c>
      <c r="E954" s="2">
        <v>4</v>
      </c>
      <c r="F954" s="1">
        <v>15.9728862</v>
      </c>
      <c r="G954" s="2">
        <v>92</v>
      </c>
      <c r="H954" s="2">
        <v>5</v>
      </c>
      <c r="I954" s="2">
        <v>64</v>
      </c>
      <c r="J954" s="2">
        <v>2</v>
      </c>
      <c r="K954" s="2">
        <v>0</v>
      </c>
      <c r="L95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54" s="2" t="str">
        <f>IF(Table1[[#This Row],[Experience Years]]&lt;=2,"Entry Level",IF(Table1[[#This Row],[Experience Years]]&lt;=7,"Mid Level",IF(Table1[[#This Row],[Experience Years]]&lt;=15,"Senior Level")))</f>
        <v>Entry Level</v>
      </c>
      <c r="N954" s="1">
        <f>AVERAGE(Table1[[#This Row],[Interview Score]:[Personality Score]])</f>
        <v>53.666666666666664</v>
      </c>
      <c r="O9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54" s="2" t="str">
        <f t="shared" si="14"/>
        <v>10-20</v>
      </c>
    </row>
    <row r="955" spans="1:16" x14ac:dyDescent="0.25">
      <c r="A955">
        <v>37</v>
      </c>
      <c r="B955" s="2">
        <v>0</v>
      </c>
      <c r="C955" s="2">
        <v>2</v>
      </c>
      <c r="D955" s="2">
        <v>3</v>
      </c>
      <c r="E955" s="2">
        <v>4</v>
      </c>
      <c r="F955" s="1">
        <v>14.442845650000001</v>
      </c>
      <c r="G955" s="2">
        <v>64</v>
      </c>
      <c r="H955" s="2">
        <v>30</v>
      </c>
      <c r="I955" s="2">
        <v>53</v>
      </c>
      <c r="J955" s="2">
        <v>2</v>
      </c>
      <c r="K955" s="2">
        <v>0</v>
      </c>
      <c r="L95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55" s="2" t="str">
        <f>IF(Table1[[#This Row],[Experience Years]]&lt;=2,"Entry Level",IF(Table1[[#This Row],[Experience Years]]&lt;=7,"Mid Level",IF(Table1[[#This Row],[Experience Years]]&lt;=15,"Senior Level")))</f>
        <v>Mid Level</v>
      </c>
      <c r="N955" s="1">
        <f>AVERAGE(Table1[[#This Row],[Interview Score]:[Personality Score]])</f>
        <v>49</v>
      </c>
      <c r="O9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55" s="2" t="str">
        <f t="shared" si="14"/>
        <v>10-20</v>
      </c>
    </row>
    <row r="956" spans="1:16" x14ac:dyDescent="0.25">
      <c r="A956">
        <v>47</v>
      </c>
      <c r="B956" s="2">
        <v>1</v>
      </c>
      <c r="C956" s="2">
        <v>2</v>
      </c>
      <c r="D956" s="2">
        <v>4</v>
      </c>
      <c r="E956" s="2">
        <v>5</v>
      </c>
      <c r="F956" s="1">
        <v>50.898872779999998</v>
      </c>
      <c r="G956" s="2">
        <v>67</v>
      </c>
      <c r="H956" s="2">
        <v>9</v>
      </c>
      <c r="I956" s="2">
        <v>29</v>
      </c>
      <c r="J956" s="2">
        <v>2</v>
      </c>
      <c r="K956" s="2">
        <v>0</v>
      </c>
      <c r="L95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56" t="str">
        <f>IF(Table1[[#This Row],[Experience Years]]&lt;=2,"Entry Level",IF(Table1[[#This Row],[Experience Years]]&lt;=7,"Mid Level",IF(Table1[[#This Row],[Experience Years]]&lt;=15,"Senior Level")))</f>
        <v>Mid Level</v>
      </c>
      <c r="N956" s="1">
        <f>AVERAGE(Table1[[#This Row],[Interview Score]:[Personality Score]])</f>
        <v>35</v>
      </c>
      <c r="O9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56" s="2" t="str">
        <f t="shared" si="14"/>
        <v>50+</v>
      </c>
    </row>
    <row r="957" spans="1:16" x14ac:dyDescent="0.25">
      <c r="A957">
        <v>47</v>
      </c>
      <c r="B957" s="2">
        <v>1</v>
      </c>
      <c r="C957" s="2">
        <v>1</v>
      </c>
      <c r="D957" s="2">
        <v>9</v>
      </c>
      <c r="E957" s="2">
        <v>1</v>
      </c>
      <c r="F957" s="1">
        <v>43.906946249999997</v>
      </c>
      <c r="G957" s="2">
        <v>62</v>
      </c>
      <c r="H957" s="2">
        <v>20</v>
      </c>
      <c r="I957" s="2">
        <v>92</v>
      </c>
      <c r="J957" s="2">
        <v>1</v>
      </c>
      <c r="K957" s="2">
        <v>1</v>
      </c>
      <c r="L95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57" t="str">
        <f>IF(Table1[[#This Row],[Experience Years]]&lt;=2,"Entry Level",IF(Table1[[#This Row],[Experience Years]]&lt;=7,"Mid Level",IF(Table1[[#This Row],[Experience Years]]&lt;=15,"Senior Level")))</f>
        <v>Senior Level</v>
      </c>
      <c r="N957" s="1">
        <f>AVERAGE(Table1[[#This Row],[Interview Score]:[Personality Score]])</f>
        <v>58</v>
      </c>
      <c r="O9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57" s="2" t="str">
        <f t="shared" si="14"/>
        <v>40-50</v>
      </c>
    </row>
    <row r="958" spans="1:16" x14ac:dyDescent="0.25">
      <c r="A958">
        <v>24</v>
      </c>
      <c r="B958" s="2">
        <v>1</v>
      </c>
      <c r="C958" s="2">
        <v>4</v>
      </c>
      <c r="D958" s="2">
        <v>0</v>
      </c>
      <c r="E958" s="2">
        <v>4</v>
      </c>
      <c r="F958" s="1">
        <v>21.396890920000001</v>
      </c>
      <c r="G958" s="2">
        <v>95</v>
      </c>
      <c r="H958" s="2">
        <v>73</v>
      </c>
      <c r="I958" s="2">
        <v>19</v>
      </c>
      <c r="J958" s="2">
        <v>2</v>
      </c>
      <c r="K958" s="2">
        <v>0</v>
      </c>
      <c r="L95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58" t="str">
        <f>IF(Table1[[#This Row],[Experience Years]]&lt;=2,"Entry Level",IF(Table1[[#This Row],[Experience Years]]&lt;=7,"Mid Level",IF(Table1[[#This Row],[Experience Years]]&lt;=15,"Senior Level")))</f>
        <v>Entry Level</v>
      </c>
      <c r="N958" s="1">
        <f>AVERAGE(Table1[[#This Row],[Interview Score]:[Personality Score]])</f>
        <v>62.333333333333336</v>
      </c>
      <c r="O9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58" s="2" t="str">
        <f t="shared" si="14"/>
        <v>20-30</v>
      </c>
    </row>
    <row r="959" spans="1:16" x14ac:dyDescent="0.25">
      <c r="A959">
        <v>28</v>
      </c>
      <c r="B959" s="2">
        <v>1</v>
      </c>
      <c r="C959" s="2">
        <v>4</v>
      </c>
      <c r="D959" s="2">
        <v>14</v>
      </c>
      <c r="E959" s="2">
        <v>1</v>
      </c>
      <c r="F959" s="1">
        <v>50.01306039</v>
      </c>
      <c r="G959" s="2">
        <v>96</v>
      </c>
      <c r="H959" s="2">
        <v>22</v>
      </c>
      <c r="I959" s="2">
        <v>32</v>
      </c>
      <c r="J959" s="2">
        <v>1</v>
      </c>
      <c r="K959" s="2">
        <v>1</v>
      </c>
      <c r="L95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59" t="str">
        <f>IF(Table1[[#This Row],[Experience Years]]&lt;=2,"Entry Level",IF(Table1[[#This Row],[Experience Years]]&lt;=7,"Mid Level",IF(Table1[[#This Row],[Experience Years]]&lt;=15,"Senior Level")))</f>
        <v>Senior Level</v>
      </c>
      <c r="N959" s="1">
        <f>AVERAGE(Table1[[#This Row],[Interview Score]:[Personality Score]])</f>
        <v>50</v>
      </c>
      <c r="O9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59" s="2" t="str">
        <f t="shared" si="14"/>
        <v>50+</v>
      </c>
    </row>
    <row r="960" spans="1:16" x14ac:dyDescent="0.25">
      <c r="A960">
        <v>23</v>
      </c>
      <c r="B960" s="2">
        <v>0</v>
      </c>
      <c r="C960" s="2">
        <v>2</v>
      </c>
      <c r="D960" s="2">
        <v>14</v>
      </c>
      <c r="E960" s="2">
        <v>5</v>
      </c>
      <c r="F960" s="1">
        <v>33.505661170000003</v>
      </c>
      <c r="G960" s="2">
        <v>89</v>
      </c>
      <c r="H960" s="2">
        <v>2</v>
      </c>
      <c r="I960" s="2">
        <v>99</v>
      </c>
      <c r="J960" s="2">
        <v>2</v>
      </c>
      <c r="K960" s="2">
        <v>0</v>
      </c>
      <c r="L96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60" s="2" t="str">
        <f>IF(Table1[[#This Row],[Experience Years]]&lt;=2,"Entry Level",IF(Table1[[#This Row],[Experience Years]]&lt;=7,"Mid Level",IF(Table1[[#This Row],[Experience Years]]&lt;=15,"Senior Level")))</f>
        <v>Senior Level</v>
      </c>
      <c r="N960" s="1">
        <f>AVERAGE(Table1[[#This Row],[Interview Score]:[Personality Score]])</f>
        <v>63.333333333333336</v>
      </c>
      <c r="O9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60" s="2" t="str">
        <f t="shared" si="14"/>
        <v>30-40</v>
      </c>
    </row>
    <row r="961" spans="1:16" x14ac:dyDescent="0.25">
      <c r="A961">
        <v>46</v>
      </c>
      <c r="B961" s="2">
        <v>1</v>
      </c>
      <c r="C961" s="2">
        <v>1</v>
      </c>
      <c r="D961" s="2">
        <v>6</v>
      </c>
      <c r="E961" s="2">
        <v>1</v>
      </c>
      <c r="F961" s="1">
        <v>38.101122590000003</v>
      </c>
      <c r="G961" s="2">
        <v>80</v>
      </c>
      <c r="H961" s="2">
        <v>31</v>
      </c>
      <c r="I961" s="2">
        <v>85</v>
      </c>
      <c r="J961" s="2">
        <v>3</v>
      </c>
      <c r="K961" s="2">
        <v>0</v>
      </c>
      <c r="L96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61" t="str">
        <f>IF(Table1[[#This Row],[Experience Years]]&lt;=2,"Entry Level",IF(Table1[[#This Row],[Experience Years]]&lt;=7,"Mid Level",IF(Table1[[#This Row],[Experience Years]]&lt;=15,"Senior Level")))</f>
        <v>Mid Level</v>
      </c>
      <c r="N961" s="1">
        <f>AVERAGE(Table1[[#This Row],[Interview Score]:[Personality Score]])</f>
        <v>65.333333333333329</v>
      </c>
      <c r="O9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61" s="2" t="str">
        <f t="shared" si="14"/>
        <v>30-40</v>
      </c>
    </row>
    <row r="962" spans="1:16" x14ac:dyDescent="0.25">
      <c r="A962">
        <v>41</v>
      </c>
      <c r="B962" s="2">
        <v>1</v>
      </c>
      <c r="C962" s="2">
        <v>3</v>
      </c>
      <c r="D962" s="2">
        <v>8</v>
      </c>
      <c r="E962" s="2">
        <v>2</v>
      </c>
      <c r="F962" s="1">
        <v>2.5756521540000001</v>
      </c>
      <c r="G962" s="2">
        <v>86</v>
      </c>
      <c r="H962" s="2">
        <v>19</v>
      </c>
      <c r="I962" s="2">
        <v>76</v>
      </c>
      <c r="J962" s="2">
        <v>2</v>
      </c>
      <c r="K962" s="2">
        <v>1</v>
      </c>
      <c r="L96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62" t="str">
        <f>IF(Table1[[#This Row],[Experience Years]]&lt;=2,"Entry Level",IF(Table1[[#This Row],[Experience Years]]&lt;=7,"Mid Level",IF(Table1[[#This Row],[Experience Years]]&lt;=15,"Senior Level")))</f>
        <v>Senior Level</v>
      </c>
      <c r="N962" s="1">
        <f>AVERAGE(Table1[[#This Row],[Interview Score]:[Personality Score]])</f>
        <v>60.333333333333336</v>
      </c>
      <c r="O9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62" s="2" t="str">
        <f t="shared" ref="P962:P1025" si="15">IF(F962&lt;10,"0-10",IF(F962&lt;20,"10-20",IF(F962&lt;30,"20-30",IF(F962&lt;40,"30-40",IF(F962&lt;50,"40-50","50+")))))</f>
        <v>0-10</v>
      </c>
    </row>
    <row r="963" spans="1:16" x14ac:dyDescent="0.25">
      <c r="A963">
        <v>50</v>
      </c>
      <c r="B963" s="2">
        <v>0</v>
      </c>
      <c r="C963" s="2">
        <v>2</v>
      </c>
      <c r="D963" s="2">
        <v>7</v>
      </c>
      <c r="E963" s="2">
        <v>4</v>
      </c>
      <c r="F963" s="1">
        <v>7.0802629670000004</v>
      </c>
      <c r="G963" s="2">
        <v>63</v>
      </c>
      <c r="H963" s="2">
        <v>73</v>
      </c>
      <c r="I963" s="2">
        <v>6</v>
      </c>
      <c r="J963" s="2">
        <v>3</v>
      </c>
      <c r="K963" s="2">
        <v>0</v>
      </c>
      <c r="L96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63" s="2" t="str">
        <f>IF(Table1[[#This Row],[Experience Years]]&lt;=2,"Entry Level",IF(Table1[[#This Row],[Experience Years]]&lt;=7,"Mid Level",IF(Table1[[#This Row],[Experience Years]]&lt;=15,"Senior Level")))</f>
        <v>Mid Level</v>
      </c>
      <c r="N963" s="1">
        <f>AVERAGE(Table1[[#This Row],[Interview Score]:[Personality Score]])</f>
        <v>47.333333333333336</v>
      </c>
      <c r="O9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63" s="2" t="str">
        <f t="shared" si="15"/>
        <v>0-10</v>
      </c>
    </row>
    <row r="964" spans="1:16" x14ac:dyDescent="0.25">
      <c r="A964">
        <v>36</v>
      </c>
      <c r="B964" s="2">
        <v>1</v>
      </c>
      <c r="C964" s="2">
        <v>2</v>
      </c>
      <c r="D964" s="2">
        <v>14</v>
      </c>
      <c r="E964" s="2">
        <v>1</v>
      </c>
      <c r="F964" s="1">
        <v>32.654256320000002</v>
      </c>
      <c r="G964" s="2">
        <v>31</v>
      </c>
      <c r="H964" s="2">
        <v>28</v>
      </c>
      <c r="I964" s="2">
        <v>7</v>
      </c>
      <c r="J964" s="2">
        <v>2</v>
      </c>
      <c r="K964" s="2">
        <v>0</v>
      </c>
      <c r="L96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64" t="str">
        <f>IF(Table1[[#This Row],[Experience Years]]&lt;=2,"Entry Level",IF(Table1[[#This Row],[Experience Years]]&lt;=7,"Mid Level",IF(Table1[[#This Row],[Experience Years]]&lt;=15,"Senior Level")))</f>
        <v>Senior Level</v>
      </c>
      <c r="N964" s="1">
        <f>AVERAGE(Table1[[#This Row],[Interview Score]:[Personality Score]])</f>
        <v>22</v>
      </c>
      <c r="O9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64" s="2" t="str">
        <f t="shared" si="15"/>
        <v>30-40</v>
      </c>
    </row>
    <row r="965" spans="1:16" x14ac:dyDescent="0.25">
      <c r="A965">
        <v>28</v>
      </c>
      <c r="B965" s="2">
        <v>0</v>
      </c>
      <c r="C965" s="2">
        <v>2</v>
      </c>
      <c r="D965" s="2">
        <v>14</v>
      </c>
      <c r="E965" s="2">
        <v>3</v>
      </c>
      <c r="F965" s="1">
        <v>45.951199129999999</v>
      </c>
      <c r="G965" s="2">
        <v>78</v>
      </c>
      <c r="H965" s="2">
        <v>51</v>
      </c>
      <c r="I965" s="2">
        <v>27</v>
      </c>
      <c r="J965" s="2">
        <v>2</v>
      </c>
      <c r="K965" s="2">
        <v>0</v>
      </c>
      <c r="L96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65" s="2" t="str">
        <f>IF(Table1[[#This Row],[Experience Years]]&lt;=2,"Entry Level",IF(Table1[[#This Row],[Experience Years]]&lt;=7,"Mid Level",IF(Table1[[#This Row],[Experience Years]]&lt;=15,"Senior Level")))</f>
        <v>Senior Level</v>
      </c>
      <c r="N965" s="1">
        <f>AVERAGE(Table1[[#This Row],[Interview Score]:[Personality Score]])</f>
        <v>52</v>
      </c>
      <c r="O9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65" s="2" t="str">
        <f t="shared" si="15"/>
        <v>40-50</v>
      </c>
    </row>
    <row r="966" spans="1:16" x14ac:dyDescent="0.25">
      <c r="A966">
        <v>20</v>
      </c>
      <c r="B966" s="2">
        <v>1</v>
      </c>
      <c r="C966" s="2">
        <v>2</v>
      </c>
      <c r="D966" s="2">
        <v>4</v>
      </c>
      <c r="E966" s="2">
        <v>1</v>
      </c>
      <c r="F966" s="1">
        <v>32.1871863</v>
      </c>
      <c r="G966" s="2">
        <v>12</v>
      </c>
      <c r="H966" s="2">
        <v>45</v>
      </c>
      <c r="I966" s="2">
        <v>44</v>
      </c>
      <c r="J966" s="2">
        <v>2</v>
      </c>
      <c r="K966" s="2">
        <v>0</v>
      </c>
      <c r="L96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66" t="str">
        <f>IF(Table1[[#This Row],[Experience Years]]&lt;=2,"Entry Level",IF(Table1[[#This Row],[Experience Years]]&lt;=7,"Mid Level",IF(Table1[[#This Row],[Experience Years]]&lt;=15,"Senior Level")))</f>
        <v>Mid Level</v>
      </c>
      <c r="N966" s="1">
        <f>AVERAGE(Table1[[#This Row],[Interview Score]:[Personality Score]])</f>
        <v>33.666666666666664</v>
      </c>
      <c r="O9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66" s="2" t="str">
        <f t="shared" si="15"/>
        <v>30-40</v>
      </c>
    </row>
    <row r="967" spans="1:16" x14ac:dyDescent="0.25">
      <c r="A967">
        <v>40</v>
      </c>
      <c r="B967" s="2">
        <v>1</v>
      </c>
      <c r="C967" s="2">
        <v>2</v>
      </c>
      <c r="D967" s="2">
        <v>13</v>
      </c>
      <c r="E967" s="2">
        <v>4</v>
      </c>
      <c r="F967" s="1">
        <v>7.7012447159999997</v>
      </c>
      <c r="G967" s="2">
        <v>65</v>
      </c>
      <c r="H967" s="2">
        <v>33</v>
      </c>
      <c r="I967" s="2">
        <v>72</v>
      </c>
      <c r="J967" s="2">
        <v>3</v>
      </c>
      <c r="K967" s="2">
        <v>0</v>
      </c>
      <c r="L96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67" t="str">
        <f>IF(Table1[[#This Row],[Experience Years]]&lt;=2,"Entry Level",IF(Table1[[#This Row],[Experience Years]]&lt;=7,"Mid Level",IF(Table1[[#This Row],[Experience Years]]&lt;=15,"Senior Level")))</f>
        <v>Senior Level</v>
      </c>
      <c r="N967" s="1">
        <f>AVERAGE(Table1[[#This Row],[Interview Score]:[Personality Score]])</f>
        <v>56.666666666666664</v>
      </c>
      <c r="O9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67" s="2" t="str">
        <f t="shared" si="15"/>
        <v>0-10</v>
      </c>
    </row>
    <row r="968" spans="1:16" x14ac:dyDescent="0.25">
      <c r="A968">
        <v>39</v>
      </c>
      <c r="B968" s="2">
        <v>0</v>
      </c>
      <c r="C968" s="2">
        <v>2</v>
      </c>
      <c r="D968" s="2">
        <v>13</v>
      </c>
      <c r="E968" s="2">
        <v>5</v>
      </c>
      <c r="F968" s="1">
        <v>6.7880023119999997</v>
      </c>
      <c r="G968" s="2">
        <v>18</v>
      </c>
      <c r="H968" s="2">
        <v>100</v>
      </c>
      <c r="I968" s="2">
        <v>88</v>
      </c>
      <c r="J968" s="2">
        <v>2</v>
      </c>
      <c r="K968" s="2">
        <v>0</v>
      </c>
      <c r="L96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68" s="2" t="str">
        <f>IF(Table1[[#This Row],[Experience Years]]&lt;=2,"Entry Level",IF(Table1[[#This Row],[Experience Years]]&lt;=7,"Mid Level",IF(Table1[[#This Row],[Experience Years]]&lt;=15,"Senior Level")))</f>
        <v>Senior Level</v>
      </c>
      <c r="N968" s="1">
        <f>AVERAGE(Table1[[#This Row],[Interview Score]:[Personality Score]])</f>
        <v>68.666666666666671</v>
      </c>
      <c r="O9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68" s="2" t="str">
        <f t="shared" si="15"/>
        <v>0-10</v>
      </c>
    </row>
    <row r="969" spans="1:16" x14ac:dyDescent="0.25">
      <c r="A969">
        <v>32</v>
      </c>
      <c r="B969" s="2">
        <v>0</v>
      </c>
      <c r="C969" s="2">
        <v>2</v>
      </c>
      <c r="D969" s="2">
        <v>3</v>
      </c>
      <c r="E969" s="2">
        <v>5</v>
      </c>
      <c r="F969" s="1">
        <v>43.209294790000001</v>
      </c>
      <c r="G969" s="2">
        <v>23</v>
      </c>
      <c r="H969" s="2">
        <v>83</v>
      </c>
      <c r="I969" s="2">
        <v>79</v>
      </c>
      <c r="J969" s="2">
        <v>1</v>
      </c>
      <c r="K969" s="2">
        <v>1</v>
      </c>
      <c r="L96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69" s="2" t="str">
        <f>IF(Table1[[#This Row],[Experience Years]]&lt;=2,"Entry Level",IF(Table1[[#This Row],[Experience Years]]&lt;=7,"Mid Level",IF(Table1[[#This Row],[Experience Years]]&lt;=15,"Senior Level")))</f>
        <v>Mid Level</v>
      </c>
      <c r="N969" s="1">
        <f>AVERAGE(Table1[[#This Row],[Interview Score]:[Personality Score]])</f>
        <v>61.666666666666664</v>
      </c>
      <c r="O9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69" s="2" t="str">
        <f t="shared" si="15"/>
        <v>40-50</v>
      </c>
    </row>
    <row r="970" spans="1:16" x14ac:dyDescent="0.25">
      <c r="A970">
        <v>47</v>
      </c>
      <c r="B970" s="2">
        <v>1</v>
      </c>
      <c r="C970" s="2">
        <v>4</v>
      </c>
      <c r="D970" s="2">
        <v>11</v>
      </c>
      <c r="E970" s="2">
        <v>4</v>
      </c>
      <c r="F970" s="1">
        <v>7.9651169350000002</v>
      </c>
      <c r="G970" s="2">
        <v>87</v>
      </c>
      <c r="H970" s="2">
        <v>60</v>
      </c>
      <c r="I970" s="2">
        <v>73</v>
      </c>
      <c r="J970" s="2">
        <v>3</v>
      </c>
      <c r="K970" s="2">
        <v>1</v>
      </c>
      <c r="L97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70" t="str">
        <f>IF(Table1[[#This Row],[Experience Years]]&lt;=2,"Entry Level",IF(Table1[[#This Row],[Experience Years]]&lt;=7,"Mid Level",IF(Table1[[#This Row],[Experience Years]]&lt;=15,"Senior Level")))</f>
        <v>Senior Level</v>
      </c>
      <c r="N970" s="1">
        <f>AVERAGE(Table1[[#This Row],[Interview Score]:[Personality Score]])</f>
        <v>73.333333333333329</v>
      </c>
      <c r="O9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70" s="2" t="str">
        <f t="shared" si="15"/>
        <v>0-10</v>
      </c>
    </row>
    <row r="971" spans="1:16" x14ac:dyDescent="0.25">
      <c r="A971">
        <v>35</v>
      </c>
      <c r="B971" s="2">
        <v>1</v>
      </c>
      <c r="C971" s="2">
        <v>2</v>
      </c>
      <c r="D971" s="2">
        <v>6</v>
      </c>
      <c r="E971" s="2">
        <v>2</v>
      </c>
      <c r="F971" s="1">
        <v>27.011598029999998</v>
      </c>
      <c r="G971" s="2">
        <v>10</v>
      </c>
      <c r="H971" s="2">
        <v>71</v>
      </c>
      <c r="I971" s="2">
        <v>10</v>
      </c>
      <c r="J971" s="2">
        <v>2</v>
      </c>
      <c r="K971" s="2">
        <v>0</v>
      </c>
      <c r="L97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71" t="str">
        <f>IF(Table1[[#This Row],[Experience Years]]&lt;=2,"Entry Level",IF(Table1[[#This Row],[Experience Years]]&lt;=7,"Mid Level",IF(Table1[[#This Row],[Experience Years]]&lt;=15,"Senior Level")))</f>
        <v>Mid Level</v>
      </c>
      <c r="N971" s="1">
        <f>AVERAGE(Table1[[#This Row],[Interview Score]:[Personality Score]])</f>
        <v>30.333333333333332</v>
      </c>
      <c r="O9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71" s="2" t="str">
        <f t="shared" si="15"/>
        <v>20-30</v>
      </c>
    </row>
    <row r="972" spans="1:16" x14ac:dyDescent="0.25">
      <c r="A972">
        <v>48</v>
      </c>
      <c r="B972" s="2">
        <v>1</v>
      </c>
      <c r="C972" s="2">
        <v>3</v>
      </c>
      <c r="D972" s="2">
        <v>4</v>
      </c>
      <c r="E972" s="2">
        <v>2</v>
      </c>
      <c r="F972" s="1">
        <v>2.8556659980000001</v>
      </c>
      <c r="G972" s="2">
        <v>58</v>
      </c>
      <c r="H972" s="2">
        <v>70</v>
      </c>
      <c r="I972" s="2">
        <v>30</v>
      </c>
      <c r="J972" s="2">
        <v>1</v>
      </c>
      <c r="K972" s="2">
        <v>1</v>
      </c>
      <c r="L97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72" t="str">
        <f>IF(Table1[[#This Row],[Experience Years]]&lt;=2,"Entry Level",IF(Table1[[#This Row],[Experience Years]]&lt;=7,"Mid Level",IF(Table1[[#This Row],[Experience Years]]&lt;=15,"Senior Level")))</f>
        <v>Mid Level</v>
      </c>
      <c r="N972" s="1">
        <f>AVERAGE(Table1[[#This Row],[Interview Score]:[Personality Score]])</f>
        <v>52.666666666666664</v>
      </c>
      <c r="O9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72" s="2" t="str">
        <f t="shared" si="15"/>
        <v>0-10</v>
      </c>
    </row>
    <row r="973" spans="1:16" x14ac:dyDescent="0.25">
      <c r="A973">
        <v>32</v>
      </c>
      <c r="B973" s="2">
        <v>0</v>
      </c>
      <c r="C973" s="2">
        <v>3</v>
      </c>
      <c r="D973" s="2">
        <v>6</v>
      </c>
      <c r="E973" s="2">
        <v>5</v>
      </c>
      <c r="F973" s="1">
        <v>5.0334883699999997</v>
      </c>
      <c r="G973" s="2">
        <v>85</v>
      </c>
      <c r="H973" s="2">
        <v>69</v>
      </c>
      <c r="I973" s="2">
        <v>11</v>
      </c>
      <c r="J973" s="2">
        <v>2</v>
      </c>
      <c r="K973" s="2">
        <v>1</v>
      </c>
      <c r="L97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73" s="2" t="str">
        <f>IF(Table1[[#This Row],[Experience Years]]&lt;=2,"Entry Level",IF(Table1[[#This Row],[Experience Years]]&lt;=7,"Mid Level",IF(Table1[[#This Row],[Experience Years]]&lt;=15,"Senior Level")))</f>
        <v>Mid Level</v>
      </c>
      <c r="N973" s="1">
        <f>AVERAGE(Table1[[#This Row],[Interview Score]:[Personality Score]])</f>
        <v>55</v>
      </c>
      <c r="O9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73" s="2" t="str">
        <f t="shared" si="15"/>
        <v>0-10</v>
      </c>
    </row>
    <row r="974" spans="1:16" x14ac:dyDescent="0.25">
      <c r="A974">
        <v>33</v>
      </c>
      <c r="B974" s="2">
        <v>1</v>
      </c>
      <c r="C974" s="2">
        <v>2</v>
      </c>
      <c r="D974" s="2">
        <v>11</v>
      </c>
      <c r="E974" s="2">
        <v>5</v>
      </c>
      <c r="F974" s="1">
        <v>34.617413380000002</v>
      </c>
      <c r="G974" s="2">
        <v>14</v>
      </c>
      <c r="H974" s="2">
        <v>10</v>
      </c>
      <c r="I974" s="2">
        <v>94</v>
      </c>
      <c r="J974" s="2">
        <v>3</v>
      </c>
      <c r="K974" s="2">
        <v>0</v>
      </c>
      <c r="L97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74" t="str">
        <f>IF(Table1[[#This Row],[Experience Years]]&lt;=2,"Entry Level",IF(Table1[[#This Row],[Experience Years]]&lt;=7,"Mid Level",IF(Table1[[#This Row],[Experience Years]]&lt;=15,"Senior Level")))</f>
        <v>Senior Level</v>
      </c>
      <c r="N974" s="1">
        <f>AVERAGE(Table1[[#This Row],[Interview Score]:[Personality Score]])</f>
        <v>39.333333333333336</v>
      </c>
      <c r="O9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74" s="2" t="str">
        <f t="shared" si="15"/>
        <v>30-40</v>
      </c>
    </row>
    <row r="975" spans="1:16" x14ac:dyDescent="0.25">
      <c r="A975">
        <v>22</v>
      </c>
      <c r="B975" s="2">
        <v>0</v>
      </c>
      <c r="C975" s="2">
        <v>2</v>
      </c>
      <c r="D975" s="2">
        <v>0</v>
      </c>
      <c r="E975" s="2">
        <v>4</v>
      </c>
      <c r="F975" s="1">
        <v>35.459070519999997</v>
      </c>
      <c r="G975" s="2">
        <v>9</v>
      </c>
      <c r="H975" s="2">
        <v>81</v>
      </c>
      <c r="I975" s="2">
        <v>77</v>
      </c>
      <c r="J975" s="2">
        <v>2</v>
      </c>
      <c r="K975" s="2">
        <v>0</v>
      </c>
      <c r="L97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75" s="2" t="str">
        <f>IF(Table1[[#This Row],[Experience Years]]&lt;=2,"Entry Level",IF(Table1[[#This Row],[Experience Years]]&lt;=7,"Mid Level",IF(Table1[[#This Row],[Experience Years]]&lt;=15,"Senior Level")))</f>
        <v>Entry Level</v>
      </c>
      <c r="N975" s="1">
        <f>AVERAGE(Table1[[#This Row],[Interview Score]:[Personality Score]])</f>
        <v>55.666666666666664</v>
      </c>
      <c r="O9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75" s="2" t="str">
        <f t="shared" si="15"/>
        <v>30-40</v>
      </c>
    </row>
    <row r="976" spans="1:16" x14ac:dyDescent="0.25">
      <c r="A976">
        <v>48</v>
      </c>
      <c r="B976" s="2">
        <v>0</v>
      </c>
      <c r="C976" s="2">
        <v>2</v>
      </c>
      <c r="D976" s="2">
        <v>0</v>
      </c>
      <c r="E976" s="2">
        <v>2</v>
      </c>
      <c r="F976" s="1">
        <v>18.073470329999999</v>
      </c>
      <c r="G976" s="2">
        <v>40</v>
      </c>
      <c r="H976" s="2">
        <v>92</v>
      </c>
      <c r="I976" s="2">
        <v>50</v>
      </c>
      <c r="J976" s="2">
        <v>2</v>
      </c>
      <c r="K976" s="2">
        <v>0</v>
      </c>
      <c r="L97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76" s="2" t="str">
        <f>IF(Table1[[#This Row],[Experience Years]]&lt;=2,"Entry Level",IF(Table1[[#This Row],[Experience Years]]&lt;=7,"Mid Level",IF(Table1[[#This Row],[Experience Years]]&lt;=15,"Senior Level")))</f>
        <v>Entry Level</v>
      </c>
      <c r="N976" s="1">
        <f>AVERAGE(Table1[[#This Row],[Interview Score]:[Personality Score]])</f>
        <v>60.666666666666664</v>
      </c>
      <c r="O9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76" s="2" t="str">
        <f t="shared" si="15"/>
        <v>10-20</v>
      </c>
    </row>
    <row r="977" spans="1:16" x14ac:dyDescent="0.25">
      <c r="A977">
        <v>25</v>
      </c>
      <c r="B977" s="2">
        <v>1</v>
      </c>
      <c r="C977" s="2">
        <v>2</v>
      </c>
      <c r="D977" s="2">
        <v>15</v>
      </c>
      <c r="E977" s="2">
        <v>5</v>
      </c>
      <c r="F977" s="1">
        <v>11.78048826</v>
      </c>
      <c r="G977" s="2">
        <v>26</v>
      </c>
      <c r="H977" s="2">
        <v>88</v>
      </c>
      <c r="I977" s="2">
        <v>43</v>
      </c>
      <c r="J977" s="2">
        <v>3</v>
      </c>
      <c r="K977" s="2">
        <v>0</v>
      </c>
      <c r="L97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77" t="str">
        <f>IF(Table1[[#This Row],[Experience Years]]&lt;=2,"Entry Level",IF(Table1[[#This Row],[Experience Years]]&lt;=7,"Mid Level",IF(Table1[[#This Row],[Experience Years]]&lt;=15,"Senior Level")))</f>
        <v>Senior Level</v>
      </c>
      <c r="N977" s="1">
        <f>AVERAGE(Table1[[#This Row],[Interview Score]:[Personality Score]])</f>
        <v>52.333333333333336</v>
      </c>
      <c r="O9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77" s="2" t="str">
        <f t="shared" si="15"/>
        <v>10-20</v>
      </c>
    </row>
    <row r="978" spans="1:16" x14ac:dyDescent="0.25">
      <c r="A978">
        <v>37</v>
      </c>
      <c r="B978" s="2">
        <v>0</v>
      </c>
      <c r="C978" s="2">
        <v>3</v>
      </c>
      <c r="D978" s="2">
        <v>9</v>
      </c>
      <c r="E978" s="2">
        <v>2</v>
      </c>
      <c r="F978" s="1">
        <v>41.685513540000002</v>
      </c>
      <c r="G978" s="2">
        <v>59</v>
      </c>
      <c r="H978" s="2">
        <v>62</v>
      </c>
      <c r="I978" s="2">
        <v>95</v>
      </c>
      <c r="J978" s="2">
        <v>2</v>
      </c>
      <c r="K978" s="2">
        <v>1</v>
      </c>
      <c r="L97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78" s="2" t="str">
        <f>IF(Table1[[#This Row],[Experience Years]]&lt;=2,"Entry Level",IF(Table1[[#This Row],[Experience Years]]&lt;=7,"Mid Level",IF(Table1[[#This Row],[Experience Years]]&lt;=15,"Senior Level")))</f>
        <v>Senior Level</v>
      </c>
      <c r="N978" s="1">
        <f>AVERAGE(Table1[[#This Row],[Interview Score]:[Personality Score]])</f>
        <v>72</v>
      </c>
      <c r="O9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78" s="2" t="str">
        <f t="shared" si="15"/>
        <v>40-50</v>
      </c>
    </row>
    <row r="979" spans="1:16" x14ac:dyDescent="0.25">
      <c r="A979">
        <v>38</v>
      </c>
      <c r="B979" s="2">
        <v>1</v>
      </c>
      <c r="C979" s="2">
        <v>2</v>
      </c>
      <c r="D979" s="2">
        <v>13</v>
      </c>
      <c r="E979" s="2">
        <v>5</v>
      </c>
      <c r="F979" s="1">
        <v>11.855161470000001</v>
      </c>
      <c r="G979" s="2">
        <v>72</v>
      </c>
      <c r="H979" s="2">
        <v>20</v>
      </c>
      <c r="I979" s="2">
        <v>49</v>
      </c>
      <c r="J979" s="2">
        <v>2</v>
      </c>
      <c r="K979" s="2">
        <v>0</v>
      </c>
      <c r="L97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79" t="str">
        <f>IF(Table1[[#This Row],[Experience Years]]&lt;=2,"Entry Level",IF(Table1[[#This Row],[Experience Years]]&lt;=7,"Mid Level",IF(Table1[[#This Row],[Experience Years]]&lt;=15,"Senior Level")))</f>
        <v>Senior Level</v>
      </c>
      <c r="N979" s="1">
        <f>AVERAGE(Table1[[#This Row],[Interview Score]:[Personality Score]])</f>
        <v>47</v>
      </c>
      <c r="O9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79" s="2" t="str">
        <f t="shared" si="15"/>
        <v>10-20</v>
      </c>
    </row>
    <row r="980" spans="1:16" x14ac:dyDescent="0.25">
      <c r="A980">
        <v>24</v>
      </c>
      <c r="B980" s="2">
        <v>1</v>
      </c>
      <c r="C980" s="2">
        <v>4</v>
      </c>
      <c r="D980" s="2">
        <v>12</v>
      </c>
      <c r="E980" s="2">
        <v>1</v>
      </c>
      <c r="F980" s="1">
        <v>28.10135348</v>
      </c>
      <c r="G980" s="2">
        <v>51</v>
      </c>
      <c r="H980" s="2">
        <v>2</v>
      </c>
      <c r="I980" s="2">
        <v>16</v>
      </c>
      <c r="J980" s="2">
        <v>1</v>
      </c>
      <c r="K980" s="2">
        <v>1</v>
      </c>
      <c r="L98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80" t="str">
        <f>IF(Table1[[#This Row],[Experience Years]]&lt;=2,"Entry Level",IF(Table1[[#This Row],[Experience Years]]&lt;=7,"Mid Level",IF(Table1[[#This Row],[Experience Years]]&lt;=15,"Senior Level")))</f>
        <v>Senior Level</v>
      </c>
      <c r="N980" s="1">
        <f>AVERAGE(Table1[[#This Row],[Interview Score]:[Personality Score]])</f>
        <v>23</v>
      </c>
      <c r="O9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80" s="2" t="str">
        <f t="shared" si="15"/>
        <v>20-30</v>
      </c>
    </row>
    <row r="981" spans="1:16" x14ac:dyDescent="0.25">
      <c r="A981">
        <v>34</v>
      </c>
      <c r="B981" s="2">
        <v>1</v>
      </c>
      <c r="C981" s="2">
        <v>1</v>
      </c>
      <c r="D981" s="2">
        <v>2</v>
      </c>
      <c r="E981" s="2">
        <v>3</v>
      </c>
      <c r="F981" s="1">
        <v>49.41044204</v>
      </c>
      <c r="G981" s="2">
        <v>27</v>
      </c>
      <c r="H981" s="2">
        <v>81</v>
      </c>
      <c r="I981" s="2">
        <v>34</v>
      </c>
      <c r="J981" s="2">
        <v>1</v>
      </c>
      <c r="K981" s="2">
        <v>0</v>
      </c>
      <c r="L98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81" t="str">
        <f>IF(Table1[[#This Row],[Experience Years]]&lt;=2,"Entry Level",IF(Table1[[#This Row],[Experience Years]]&lt;=7,"Mid Level",IF(Table1[[#This Row],[Experience Years]]&lt;=15,"Senior Level")))</f>
        <v>Entry Level</v>
      </c>
      <c r="N981" s="1">
        <f>AVERAGE(Table1[[#This Row],[Interview Score]:[Personality Score]])</f>
        <v>47.333333333333336</v>
      </c>
      <c r="O9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81" s="2" t="str">
        <f t="shared" si="15"/>
        <v>40-50</v>
      </c>
    </row>
    <row r="982" spans="1:16" x14ac:dyDescent="0.25">
      <c r="A982">
        <v>44</v>
      </c>
      <c r="B982" s="2">
        <v>1</v>
      </c>
      <c r="C982" s="2">
        <v>1</v>
      </c>
      <c r="D982" s="2">
        <v>13</v>
      </c>
      <c r="E982" s="2">
        <v>1</v>
      </c>
      <c r="F982" s="1">
        <v>8.3926218929999994</v>
      </c>
      <c r="G982" s="2">
        <v>64</v>
      </c>
      <c r="H982" s="2">
        <v>87</v>
      </c>
      <c r="I982" s="2">
        <v>0</v>
      </c>
      <c r="J982" s="2">
        <v>2</v>
      </c>
      <c r="K982" s="2">
        <v>0</v>
      </c>
      <c r="L98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82" t="str">
        <f>IF(Table1[[#This Row],[Experience Years]]&lt;=2,"Entry Level",IF(Table1[[#This Row],[Experience Years]]&lt;=7,"Mid Level",IF(Table1[[#This Row],[Experience Years]]&lt;=15,"Senior Level")))</f>
        <v>Senior Level</v>
      </c>
      <c r="N982" s="1">
        <f>AVERAGE(Table1[[#This Row],[Interview Score]:[Personality Score]])</f>
        <v>50.333333333333336</v>
      </c>
      <c r="O9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82" s="2" t="str">
        <f t="shared" si="15"/>
        <v>0-10</v>
      </c>
    </row>
    <row r="983" spans="1:16" x14ac:dyDescent="0.25">
      <c r="A983">
        <v>21</v>
      </c>
      <c r="B983" s="2">
        <v>1</v>
      </c>
      <c r="C983" s="2">
        <v>2</v>
      </c>
      <c r="D983" s="2">
        <v>10</v>
      </c>
      <c r="E983" s="2">
        <v>5</v>
      </c>
      <c r="F983" s="1">
        <v>48.043813370000002</v>
      </c>
      <c r="G983" s="2">
        <v>16</v>
      </c>
      <c r="H983" s="2">
        <v>9</v>
      </c>
      <c r="I983" s="2">
        <v>28</v>
      </c>
      <c r="J983" s="2">
        <v>3</v>
      </c>
      <c r="K983" s="2">
        <v>0</v>
      </c>
      <c r="L98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83" t="str">
        <f>IF(Table1[[#This Row],[Experience Years]]&lt;=2,"Entry Level",IF(Table1[[#This Row],[Experience Years]]&lt;=7,"Mid Level",IF(Table1[[#This Row],[Experience Years]]&lt;=15,"Senior Level")))</f>
        <v>Senior Level</v>
      </c>
      <c r="N983" s="1">
        <f>AVERAGE(Table1[[#This Row],[Interview Score]:[Personality Score]])</f>
        <v>17.666666666666668</v>
      </c>
      <c r="O9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83" s="2" t="str">
        <f t="shared" si="15"/>
        <v>40-50</v>
      </c>
    </row>
    <row r="984" spans="1:16" x14ac:dyDescent="0.25">
      <c r="A984">
        <v>29</v>
      </c>
      <c r="B984" s="2">
        <v>0</v>
      </c>
      <c r="C984" s="2">
        <v>2</v>
      </c>
      <c r="D984" s="2">
        <v>1</v>
      </c>
      <c r="E984" s="2">
        <v>3</v>
      </c>
      <c r="F984" s="1">
        <v>10.144652649999999</v>
      </c>
      <c r="G984" s="2">
        <v>94</v>
      </c>
      <c r="H984" s="2">
        <v>26</v>
      </c>
      <c r="I984" s="2">
        <v>50</v>
      </c>
      <c r="J984" s="2">
        <v>1</v>
      </c>
      <c r="K984" s="2">
        <v>0</v>
      </c>
      <c r="L98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84" s="2" t="str">
        <f>IF(Table1[[#This Row],[Experience Years]]&lt;=2,"Entry Level",IF(Table1[[#This Row],[Experience Years]]&lt;=7,"Mid Level",IF(Table1[[#This Row],[Experience Years]]&lt;=15,"Senior Level")))</f>
        <v>Entry Level</v>
      </c>
      <c r="N984" s="1">
        <f>AVERAGE(Table1[[#This Row],[Interview Score]:[Personality Score]])</f>
        <v>56.666666666666664</v>
      </c>
      <c r="O9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84" s="2" t="str">
        <f t="shared" si="15"/>
        <v>10-20</v>
      </c>
    </row>
    <row r="985" spans="1:16" x14ac:dyDescent="0.25">
      <c r="A985">
        <v>43</v>
      </c>
      <c r="B985" s="2">
        <v>0</v>
      </c>
      <c r="C985" s="2">
        <v>2</v>
      </c>
      <c r="D985" s="2">
        <v>1</v>
      </c>
      <c r="E985" s="2">
        <v>3</v>
      </c>
      <c r="F985" s="1">
        <v>29.372160399999999</v>
      </c>
      <c r="G985" s="2">
        <v>43</v>
      </c>
      <c r="H985" s="2">
        <v>11</v>
      </c>
      <c r="I985" s="2">
        <v>63</v>
      </c>
      <c r="J985" s="2">
        <v>2</v>
      </c>
      <c r="K985" s="2">
        <v>0</v>
      </c>
      <c r="L98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85" s="2" t="str">
        <f>IF(Table1[[#This Row],[Experience Years]]&lt;=2,"Entry Level",IF(Table1[[#This Row],[Experience Years]]&lt;=7,"Mid Level",IF(Table1[[#This Row],[Experience Years]]&lt;=15,"Senior Level")))</f>
        <v>Entry Level</v>
      </c>
      <c r="N985" s="1">
        <f>AVERAGE(Table1[[#This Row],[Interview Score]:[Personality Score]])</f>
        <v>39</v>
      </c>
      <c r="O9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85" s="2" t="str">
        <f t="shared" si="15"/>
        <v>20-30</v>
      </c>
    </row>
    <row r="986" spans="1:16" x14ac:dyDescent="0.25">
      <c r="A986">
        <v>49</v>
      </c>
      <c r="B986" s="2">
        <v>1</v>
      </c>
      <c r="C986" s="2">
        <v>2</v>
      </c>
      <c r="D986" s="2">
        <v>6</v>
      </c>
      <c r="E986" s="2">
        <v>5</v>
      </c>
      <c r="F986" s="1">
        <v>19.850385599999999</v>
      </c>
      <c r="G986" s="2">
        <v>9</v>
      </c>
      <c r="H986" s="2">
        <v>6</v>
      </c>
      <c r="I986" s="2">
        <v>3</v>
      </c>
      <c r="J986" s="2">
        <v>1</v>
      </c>
      <c r="K986" s="2">
        <v>0</v>
      </c>
      <c r="L98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86" t="str">
        <f>IF(Table1[[#This Row],[Experience Years]]&lt;=2,"Entry Level",IF(Table1[[#This Row],[Experience Years]]&lt;=7,"Mid Level",IF(Table1[[#This Row],[Experience Years]]&lt;=15,"Senior Level")))</f>
        <v>Mid Level</v>
      </c>
      <c r="N986" s="1">
        <f>AVERAGE(Table1[[#This Row],[Interview Score]:[Personality Score]])</f>
        <v>6</v>
      </c>
      <c r="O9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86" s="2" t="str">
        <f t="shared" si="15"/>
        <v>10-20</v>
      </c>
    </row>
    <row r="987" spans="1:16" x14ac:dyDescent="0.25">
      <c r="A987">
        <v>37</v>
      </c>
      <c r="B987" s="2">
        <v>1</v>
      </c>
      <c r="C987" s="2">
        <v>2</v>
      </c>
      <c r="D987" s="2">
        <v>11</v>
      </c>
      <c r="E987" s="2">
        <v>5</v>
      </c>
      <c r="F987" s="1">
        <v>49.246430080000003</v>
      </c>
      <c r="G987" s="2">
        <v>62</v>
      </c>
      <c r="H987" s="2">
        <v>16</v>
      </c>
      <c r="I987" s="2">
        <v>86</v>
      </c>
      <c r="J987" s="2">
        <v>2</v>
      </c>
      <c r="K987" s="2">
        <v>0</v>
      </c>
      <c r="L98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87" t="str">
        <f>IF(Table1[[#This Row],[Experience Years]]&lt;=2,"Entry Level",IF(Table1[[#This Row],[Experience Years]]&lt;=7,"Mid Level",IF(Table1[[#This Row],[Experience Years]]&lt;=15,"Senior Level")))</f>
        <v>Senior Level</v>
      </c>
      <c r="N987" s="1">
        <f>AVERAGE(Table1[[#This Row],[Interview Score]:[Personality Score]])</f>
        <v>54.666666666666664</v>
      </c>
      <c r="O9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87" s="2" t="str">
        <f t="shared" si="15"/>
        <v>40-50</v>
      </c>
    </row>
    <row r="988" spans="1:16" x14ac:dyDescent="0.25">
      <c r="A988">
        <v>46</v>
      </c>
      <c r="B988" s="2">
        <v>0</v>
      </c>
      <c r="C988" s="2">
        <v>1</v>
      </c>
      <c r="D988" s="2">
        <v>9</v>
      </c>
      <c r="E988" s="2">
        <v>2</v>
      </c>
      <c r="F988" s="1">
        <v>14.67710145</v>
      </c>
      <c r="G988" s="2">
        <v>100</v>
      </c>
      <c r="H988" s="2">
        <v>64</v>
      </c>
      <c r="I988" s="2">
        <v>27</v>
      </c>
      <c r="J988" s="2">
        <v>1</v>
      </c>
      <c r="K988" s="2">
        <v>1</v>
      </c>
      <c r="L98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988" s="2" t="str">
        <f>IF(Table1[[#This Row],[Experience Years]]&lt;=2,"Entry Level",IF(Table1[[#This Row],[Experience Years]]&lt;=7,"Mid Level",IF(Table1[[#This Row],[Experience Years]]&lt;=15,"Senior Level")))</f>
        <v>Senior Level</v>
      </c>
      <c r="N988" s="1">
        <f>AVERAGE(Table1[[#This Row],[Interview Score]:[Personality Score]])</f>
        <v>63.666666666666664</v>
      </c>
      <c r="O9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88" s="2" t="str">
        <f t="shared" si="15"/>
        <v>10-20</v>
      </c>
    </row>
    <row r="989" spans="1:16" x14ac:dyDescent="0.25">
      <c r="A989">
        <v>32</v>
      </c>
      <c r="B989" s="2">
        <v>0</v>
      </c>
      <c r="C989" s="2">
        <v>4</v>
      </c>
      <c r="D989" s="2">
        <v>1</v>
      </c>
      <c r="E989" s="2">
        <v>5</v>
      </c>
      <c r="F989" s="1">
        <v>20.982900099999998</v>
      </c>
      <c r="G989" s="2">
        <v>92</v>
      </c>
      <c r="H989" s="2">
        <v>63</v>
      </c>
      <c r="I989" s="2">
        <v>15</v>
      </c>
      <c r="J989" s="2">
        <v>1</v>
      </c>
      <c r="K989" s="2">
        <v>1</v>
      </c>
      <c r="L98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89" s="2" t="str">
        <f>IF(Table1[[#This Row],[Experience Years]]&lt;=2,"Entry Level",IF(Table1[[#This Row],[Experience Years]]&lt;=7,"Mid Level",IF(Table1[[#This Row],[Experience Years]]&lt;=15,"Senior Level")))</f>
        <v>Entry Level</v>
      </c>
      <c r="N989" s="1">
        <f>AVERAGE(Table1[[#This Row],[Interview Score]:[Personality Score]])</f>
        <v>56.666666666666664</v>
      </c>
      <c r="O9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89" s="2" t="str">
        <f t="shared" si="15"/>
        <v>20-30</v>
      </c>
    </row>
    <row r="990" spans="1:16" x14ac:dyDescent="0.25">
      <c r="A990">
        <v>24</v>
      </c>
      <c r="B990" s="2">
        <v>0</v>
      </c>
      <c r="C990" s="2">
        <v>2</v>
      </c>
      <c r="D990" s="2">
        <v>10</v>
      </c>
      <c r="E990" s="2">
        <v>4</v>
      </c>
      <c r="F990" s="1">
        <v>50.143005889999998</v>
      </c>
      <c r="G990" s="2">
        <v>81</v>
      </c>
      <c r="H990" s="2">
        <v>25</v>
      </c>
      <c r="I990" s="2">
        <v>62</v>
      </c>
      <c r="J990" s="2">
        <v>1</v>
      </c>
      <c r="K990" s="2">
        <v>1</v>
      </c>
      <c r="L99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90" s="2" t="str">
        <f>IF(Table1[[#This Row],[Experience Years]]&lt;=2,"Entry Level",IF(Table1[[#This Row],[Experience Years]]&lt;=7,"Mid Level",IF(Table1[[#This Row],[Experience Years]]&lt;=15,"Senior Level")))</f>
        <v>Senior Level</v>
      </c>
      <c r="N990" s="1">
        <f>AVERAGE(Table1[[#This Row],[Interview Score]:[Personality Score]])</f>
        <v>56</v>
      </c>
      <c r="O9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990" s="2" t="str">
        <f t="shared" si="15"/>
        <v>50+</v>
      </c>
    </row>
    <row r="991" spans="1:16" x14ac:dyDescent="0.25">
      <c r="A991">
        <v>42</v>
      </c>
      <c r="B991" s="2">
        <v>0</v>
      </c>
      <c r="C991" s="2">
        <v>3</v>
      </c>
      <c r="D991" s="2">
        <v>3</v>
      </c>
      <c r="E991" s="2">
        <v>5</v>
      </c>
      <c r="F991" s="1">
        <v>27.823519560000001</v>
      </c>
      <c r="G991" s="2">
        <v>46</v>
      </c>
      <c r="H991" s="2">
        <v>14</v>
      </c>
      <c r="I991" s="2">
        <v>75</v>
      </c>
      <c r="J991" s="2">
        <v>2</v>
      </c>
      <c r="K991" s="2">
        <v>0</v>
      </c>
      <c r="L99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91" s="2" t="str">
        <f>IF(Table1[[#This Row],[Experience Years]]&lt;=2,"Entry Level",IF(Table1[[#This Row],[Experience Years]]&lt;=7,"Mid Level",IF(Table1[[#This Row],[Experience Years]]&lt;=15,"Senior Level")))</f>
        <v>Mid Level</v>
      </c>
      <c r="N991" s="1">
        <f>AVERAGE(Table1[[#This Row],[Interview Score]:[Personality Score]])</f>
        <v>45</v>
      </c>
      <c r="O9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91" s="2" t="str">
        <f t="shared" si="15"/>
        <v>20-30</v>
      </c>
    </row>
    <row r="992" spans="1:16" x14ac:dyDescent="0.25">
      <c r="A992">
        <v>43</v>
      </c>
      <c r="B992" s="2">
        <v>1</v>
      </c>
      <c r="C992" s="2">
        <v>3</v>
      </c>
      <c r="D992" s="2">
        <v>1</v>
      </c>
      <c r="E992" s="2">
        <v>4</v>
      </c>
      <c r="F992" s="1">
        <v>26.131505780000001</v>
      </c>
      <c r="G992" s="2">
        <v>37</v>
      </c>
      <c r="H992" s="2">
        <v>32</v>
      </c>
      <c r="I992" s="2">
        <v>52</v>
      </c>
      <c r="J992" s="2">
        <v>2</v>
      </c>
      <c r="K992" s="2">
        <v>0</v>
      </c>
      <c r="L99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92" t="str">
        <f>IF(Table1[[#This Row],[Experience Years]]&lt;=2,"Entry Level",IF(Table1[[#This Row],[Experience Years]]&lt;=7,"Mid Level",IF(Table1[[#This Row],[Experience Years]]&lt;=15,"Senior Level")))</f>
        <v>Entry Level</v>
      </c>
      <c r="N992" s="1">
        <f>AVERAGE(Table1[[#This Row],[Interview Score]:[Personality Score]])</f>
        <v>40.333333333333336</v>
      </c>
      <c r="O9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92" s="2" t="str">
        <f t="shared" si="15"/>
        <v>20-30</v>
      </c>
    </row>
    <row r="993" spans="1:16" x14ac:dyDescent="0.25">
      <c r="A993">
        <v>20</v>
      </c>
      <c r="B993" s="2">
        <v>1</v>
      </c>
      <c r="C993" s="2">
        <v>4</v>
      </c>
      <c r="D993" s="2">
        <v>5</v>
      </c>
      <c r="E993" s="2">
        <v>5</v>
      </c>
      <c r="F993" s="1">
        <v>13.88892441</v>
      </c>
      <c r="G993" s="2">
        <v>69</v>
      </c>
      <c r="H993" s="2">
        <v>61</v>
      </c>
      <c r="I993" s="2">
        <v>84</v>
      </c>
      <c r="J993" s="2">
        <v>1</v>
      </c>
      <c r="K993" s="2">
        <v>1</v>
      </c>
      <c r="L99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93" t="str">
        <f>IF(Table1[[#This Row],[Experience Years]]&lt;=2,"Entry Level",IF(Table1[[#This Row],[Experience Years]]&lt;=7,"Mid Level",IF(Table1[[#This Row],[Experience Years]]&lt;=15,"Senior Level")))</f>
        <v>Mid Level</v>
      </c>
      <c r="N993" s="1">
        <f>AVERAGE(Table1[[#This Row],[Interview Score]:[Personality Score]])</f>
        <v>71.333333333333329</v>
      </c>
      <c r="O9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93" s="2" t="str">
        <f t="shared" si="15"/>
        <v>10-20</v>
      </c>
    </row>
    <row r="994" spans="1:16" x14ac:dyDescent="0.25">
      <c r="A994">
        <v>41</v>
      </c>
      <c r="B994" s="2">
        <v>0</v>
      </c>
      <c r="C994" s="2">
        <v>1</v>
      </c>
      <c r="D994" s="2">
        <v>7</v>
      </c>
      <c r="E994" s="2">
        <v>2</v>
      </c>
      <c r="F994" s="1">
        <v>36.068178019999998</v>
      </c>
      <c r="G994" s="2">
        <v>75</v>
      </c>
      <c r="H994" s="2">
        <v>100</v>
      </c>
      <c r="I994" s="2">
        <v>16</v>
      </c>
      <c r="J994" s="2">
        <v>3</v>
      </c>
      <c r="K994" s="2">
        <v>0</v>
      </c>
      <c r="L99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994" s="2" t="str">
        <f>IF(Table1[[#This Row],[Experience Years]]&lt;=2,"Entry Level",IF(Table1[[#This Row],[Experience Years]]&lt;=7,"Mid Level",IF(Table1[[#This Row],[Experience Years]]&lt;=15,"Senior Level")))</f>
        <v>Mid Level</v>
      </c>
      <c r="N994" s="1">
        <f>AVERAGE(Table1[[#This Row],[Interview Score]:[Personality Score]])</f>
        <v>63.666666666666664</v>
      </c>
      <c r="O9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94" s="2" t="str">
        <f t="shared" si="15"/>
        <v>30-40</v>
      </c>
    </row>
    <row r="995" spans="1:16" x14ac:dyDescent="0.25">
      <c r="A995">
        <v>20</v>
      </c>
      <c r="B995" s="2">
        <v>1</v>
      </c>
      <c r="C995" s="2">
        <v>3</v>
      </c>
      <c r="D995" s="2">
        <v>9</v>
      </c>
      <c r="E995" s="2">
        <v>4</v>
      </c>
      <c r="F995" s="1">
        <v>1.7186475889999999</v>
      </c>
      <c r="G995" s="2">
        <v>52</v>
      </c>
      <c r="H995" s="2">
        <v>46</v>
      </c>
      <c r="I995" s="2">
        <v>39</v>
      </c>
      <c r="J995" s="2">
        <v>1</v>
      </c>
      <c r="K995" s="2">
        <v>1</v>
      </c>
      <c r="L99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995" t="str">
        <f>IF(Table1[[#This Row],[Experience Years]]&lt;=2,"Entry Level",IF(Table1[[#This Row],[Experience Years]]&lt;=7,"Mid Level",IF(Table1[[#This Row],[Experience Years]]&lt;=15,"Senior Level")))</f>
        <v>Senior Level</v>
      </c>
      <c r="N995" s="1">
        <f>AVERAGE(Table1[[#This Row],[Interview Score]:[Personality Score]])</f>
        <v>45.666666666666664</v>
      </c>
      <c r="O9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95" s="2" t="str">
        <f t="shared" si="15"/>
        <v>0-10</v>
      </c>
    </row>
    <row r="996" spans="1:16" x14ac:dyDescent="0.25">
      <c r="A996">
        <v>37</v>
      </c>
      <c r="B996" s="2">
        <v>0</v>
      </c>
      <c r="C996" s="2">
        <v>2</v>
      </c>
      <c r="D996" s="2">
        <v>15</v>
      </c>
      <c r="E996" s="2">
        <v>1</v>
      </c>
      <c r="F996" s="1">
        <v>3.4756314850000001</v>
      </c>
      <c r="G996" s="2">
        <v>77</v>
      </c>
      <c r="H996" s="2">
        <v>94</v>
      </c>
      <c r="I996" s="2">
        <v>12</v>
      </c>
      <c r="J996" s="2">
        <v>2</v>
      </c>
      <c r="K996" s="2">
        <v>0</v>
      </c>
      <c r="L99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96" s="2" t="str">
        <f>IF(Table1[[#This Row],[Experience Years]]&lt;=2,"Entry Level",IF(Table1[[#This Row],[Experience Years]]&lt;=7,"Mid Level",IF(Table1[[#This Row],[Experience Years]]&lt;=15,"Senior Level")))</f>
        <v>Senior Level</v>
      </c>
      <c r="N996" s="1">
        <f>AVERAGE(Table1[[#This Row],[Interview Score]:[Personality Score]])</f>
        <v>61</v>
      </c>
      <c r="O9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96" s="2" t="str">
        <f t="shared" si="15"/>
        <v>0-10</v>
      </c>
    </row>
    <row r="997" spans="1:16" x14ac:dyDescent="0.25">
      <c r="A997">
        <v>34</v>
      </c>
      <c r="B997" s="2">
        <v>1</v>
      </c>
      <c r="C997" s="2">
        <v>2</v>
      </c>
      <c r="D997" s="2">
        <v>3</v>
      </c>
      <c r="E997" s="2">
        <v>4</v>
      </c>
      <c r="F997" s="1">
        <v>30.967929359999999</v>
      </c>
      <c r="G997" s="2">
        <v>43</v>
      </c>
      <c r="H997" s="2">
        <v>34</v>
      </c>
      <c r="I997" s="2">
        <v>51</v>
      </c>
      <c r="J997" s="2">
        <v>3</v>
      </c>
      <c r="K997" s="2">
        <v>0</v>
      </c>
      <c r="L99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997" t="str">
        <f>IF(Table1[[#This Row],[Experience Years]]&lt;=2,"Entry Level",IF(Table1[[#This Row],[Experience Years]]&lt;=7,"Mid Level",IF(Table1[[#This Row],[Experience Years]]&lt;=15,"Senior Level")))</f>
        <v>Mid Level</v>
      </c>
      <c r="N997" s="1">
        <f>AVERAGE(Table1[[#This Row],[Interview Score]:[Personality Score]])</f>
        <v>42.666666666666664</v>
      </c>
      <c r="O9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997" s="2" t="str">
        <f t="shared" si="15"/>
        <v>30-40</v>
      </c>
    </row>
    <row r="998" spans="1:16" x14ac:dyDescent="0.25">
      <c r="A998">
        <v>36</v>
      </c>
      <c r="B998" s="2">
        <v>0</v>
      </c>
      <c r="C998" s="2">
        <v>2</v>
      </c>
      <c r="D998" s="2">
        <v>14</v>
      </c>
      <c r="E998" s="2">
        <v>2</v>
      </c>
      <c r="F998" s="1">
        <v>18.083728690000001</v>
      </c>
      <c r="G998" s="2">
        <v>73</v>
      </c>
      <c r="H998" s="2">
        <v>64</v>
      </c>
      <c r="I998" s="2">
        <v>57</v>
      </c>
      <c r="J998" s="2">
        <v>2</v>
      </c>
      <c r="K998" s="2">
        <v>0</v>
      </c>
      <c r="L99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998" s="2" t="str">
        <f>IF(Table1[[#This Row],[Experience Years]]&lt;=2,"Entry Level",IF(Table1[[#This Row],[Experience Years]]&lt;=7,"Mid Level",IF(Table1[[#This Row],[Experience Years]]&lt;=15,"Senior Level")))</f>
        <v>Senior Level</v>
      </c>
      <c r="N998" s="1">
        <f>AVERAGE(Table1[[#This Row],[Interview Score]:[Personality Score]])</f>
        <v>64.666666666666671</v>
      </c>
      <c r="O9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998" s="2" t="str">
        <f t="shared" si="15"/>
        <v>10-20</v>
      </c>
    </row>
    <row r="999" spans="1:16" x14ac:dyDescent="0.25">
      <c r="A999">
        <v>30</v>
      </c>
      <c r="B999" s="2">
        <v>1</v>
      </c>
      <c r="C999" s="2">
        <v>3</v>
      </c>
      <c r="D999" s="2">
        <v>4</v>
      </c>
      <c r="E999" s="2">
        <v>4</v>
      </c>
      <c r="F999" s="1">
        <v>48.665818610000002</v>
      </c>
      <c r="G999" s="2">
        <v>53</v>
      </c>
      <c r="H999" s="2">
        <v>71</v>
      </c>
      <c r="I999" s="2">
        <v>95</v>
      </c>
      <c r="J999" s="2">
        <v>2</v>
      </c>
      <c r="K999" s="2">
        <v>0</v>
      </c>
      <c r="L99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999" t="str">
        <f>IF(Table1[[#This Row],[Experience Years]]&lt;=2,"Entry Level",IF(Table1[[#This Row],[Experience Years]]&lt;=7,"Mid Level",IF(Table1[[#This Row],[Experience Years]]&lt;=15,"Senior Level")))</f>
        <v>Mid Level</v>
      </c>
      <c r="N999" s="1">
        <f>AVERAGE(Table1[[#This Row],[Interview Score]:[Personality Score]])</f>
        <v>73</v>
      </c>
      <c r="O9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999" s="2" t="str">
        <f t="shared" si="15"/>
        <v>40-50</v>
      </c>
    </row>
    <row r="1000" spans="1:16" x14ac:dyDescent="0.25">
      <c r="A1000">
        <v>40</v>
      </c>
      <c r="B1000" s="2">
        <v>0</v>
      </c>
      <c r="C1000" s="2">
        <v>2</v>
      </c>
      <c r="D1000" s="2">
        <v>3</v>
      </c>
      <c r="E1000" s="2">
        <v>5</v>
      </c>
      <c r="F1000" s="1">
        <v>46.159534540000003</v>
      </c>
      <c r="G1000" s="2">
        <v>19</v>
      </c>
      <c r="H1000" s="2">
        <v>75</v>
      </c>
      <c r="I1000" s="2">
        <v>36</v>
      </c>
      <c r="J1000" s="2">
        <v>1</v>
      </c>
      <c r="K1000" s="2">
        <v>0</v>
      </c>
      <c r="L100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00" s="2" t="str">
        <f>IF(Table1[[#This Row],[Experience Years]]&lt;=2,"Entry Level",IF(Table1[[#This Row],[Experience Years]]&lt;=7,"Mid Level",IF(Table1[[#This Row],[Experience Years]]&lt;=15,"Senior Level")))</f>
        <v>Mid Level</v>
      </c>
      <c r="N1000" s="1">
        <f>AVERAGE(Table1[[#This Row],[Interview Score]:[Personality Score]])</f>
        <v>43.333333333333336</v>
      </c>
      <c r="O10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00" s="2" t="str">
        <f t="shared" si="15"/>
        <v>40-50</v>
      </c>
    </row>
    <row r="1001" spans="1:16" x14ac:dyDescent="0.25">
      <c r="A1001">
        <v>45</v>
      </c>
      <c r="B1001" s="2">
        <v>0</v>
      </c>
      <c r="C1001" s="2">
        <v>3</v>
      </c>
      <c r="D1001" s="2">
        <v>2</v>
      </c>
      <c r="E1001" s="2">
        <v>5</v>
      </c>
      <c r="F1001" s="1">
        <v>36.685312930000002</v>
      </c>
      <c r="G1001" s="2">
        <v>78</v>
      </c>
      <c r="H1001" s="2">
        <v>82</v>
      </c>
      <c r="I1001" s="2">
        <v>78</v>
      </c>
      <c r="J1001" s="2">
        <v>2</v>
      </c>
      <c r="K1001" s="2">
        <v>1</v>
      </c>
      <c r="L100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01" s="2" t="str">
        <f>IF(Table1[[#This Row],[Experience Years]]&lt;=2,"Entry Level",IF(Table1[[#This Row],[Experience Years]]&lt;=7,"Mid Level",IF(Table1[[#This Row],[Experience Years]]&lt;=15,"Senior Level")))</f>
        <v>Entry Level</v>
      </c>
      <c r="N1001" s="1">
        <f>AVERAGE(Table1[[#This Row],[Interview Score]:[Personality Score]])</f>
        <v>79.333333333333329</v>
      </c>
      <c r="O10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01" s="2" t="str">
        <f t="shared" si="15"/>
        <v>30-40</v>
      </c>
    </row>
    <row r="1002" spans="1:16" x14ac:dyDescent="0.25">
      <c r="A1002">
        <v>50</v>
      </c>
      <c r="B1002" s="2">
        <v>1</v>
      </c>
      <c r="C1002" s="2">
        <v>2</v>
      </c>
      <c r="D1002" s="2">
        <v>4</v>
      </c>
      <c r="E1002" s="2">
        <v>2</v>
      </c>
      <c r="F1002" s="1">
        <v>41.90727906</v>
      </c>
      <c r="G1002" s="2">
        <v>30</v>
      </c>
      <c r="H1002" s="2">
        <v>24</v>
      </c>
      <c r="I1002" s="2">
        <v>75</v>
      </c>
      <c r="J1002" s="2">
        <v>2</v>
      </c>
      <c r="K1002" s="2">
        <v>0</v>
      </c>
      <c r="L100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02" t="str">
        <f>IF(Table1[[#This Row],[Experience Years]]&lt;=2,"Entry Level",IF(Table1[[#This Row],[Experience Years]]&lt;=7,"Mid Level",IF(Table1[[#This Row],[Experience Years]]&lt;=15,"Senior Level")))</f>
        <v>Mid Level</v>
      </c>
      <c r="N1002" s="1">
        <f>AVERAGE(Table1[[#This Row],[Interview Score]:[Personality Score]])</f>
        <v>43</v>
      </c>
      <c r="O10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02" s="2" t="str">
        <f t="shared" si="15"/>
        <v>40-50</v>
      </c>
    </row>
    <row r="1003" spans="1:16" x14ac:dyDescent="0.25">
      <c r="A1003">
        <v>44</v>
      </c>
      <c r="B1003" s="2">
        <v>0</v>
      </c>
      <c r="C1003" s="2">
        <v>3</v>
      </c>
      <c r="D1003" s="2">
        <v>13</v>
      </c>
      <c r="E1003" s="2">
        <v>3</v>
      </c>
      <c r="F1003" s="1">
        <v>34.366592480000001</v>
      </c>
      <c r="G1003" s="2">
        <v>6</v>
      </c>
      <c r="H1003" s="2">
        <v>56</v>
      </c>
      <c r="I1003" s="2">
        <v>60</v>
      </c>
      <c r="J1003" s="2">
        <v>3</v>
      </c>
      <c r="K1003" s="2">
        <v>0</v>
      </c>
      <c r="L100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03" s="2" t="str">
        <f>IF(Table1[[#This Row],[Experience Years]]&lt;=2,"Entry Level",IF(Table1[[#This Row],[Experience Years]]&lt;=7,"Mid Level",IF(Table1[[#This Row],[Experience Years]]&lt;=15,"Senior Level")))</f>
        <v>Senior Level</v>
      </c>
      <c r="N1003" s="1">
        <f>AVERAGE(Table1[[#This Row],[Interview Score]:[Personality Score]])</f>
        <v>40.666666666666664</v>
      </c>
      <c r="O10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03" s="2" t="str">
        <f t="shared" si="15"/>
        <v>30-40</v>
      </c>
    </row>
    <row r="1004" spans="1:16" x14ac:dyDescent="0.25">
      <c r="A1004">
        <v>41</v>
      </c>
      <c r="B1004" s="2">
        <v>1</v>
      </c>
      <c r="C1004" s="2">
        <v>4</v>
      </c>
      <c r="D1004" s="2">
        <v>8</v>
      </c>
      <c r="E1004" s="2">
        <v>5</v>
      </c>
      <c r="F1004" s="1">
        <v>7.2791051360000001</v>
      </c>
      <c r="G1004" s="2">
        <v>57</v>
      </c>
      <c r="H1004" s="2">
        <v>31</v>
      </c>
      <c r="I1004" s="2">
        <v>78</v>
      </c>
      <c r="J1004" s="2">
        <v>1</v>
      </c>
      <c r="K1004" s="2">
        <v>1</v>
      </c>
      <c r="L100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04" t="str">
        <f>IF(Table1[[#This Row],[Experience Years]]&lt;=2,"Entry Level",IF(Table1[[#This Row],[Experience Years]]&lt;=7,"Mid Level",IF(Table1[[#This Row],[Experience Years]]&lt;=15,"Senior Level")))</f>
        <v>Senior Level</v>
      </c>
      <c r="N1004" s="1">
        <f>AVERAGE(Table1[[#This Row],[Interview Score]:[Personality Score]])</f>
        <v>55.333333333333336</v>
      </c>
      <c r="O10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04" s="2" t="str">
        <f t="shared" si="15"/>
        <v>0-10</v>
      </c>
    </row>
    <row r="1005" spans="1:16" x14ac:dyDescent="0.25">
      <c r="A1005">
        <v>46</v>
      </c>
      <c r="B1005" s="2">
        <v>1</v>
      </c>
      <c r="C1005" s="2">
        <v>2</v>
      </c>
      <c r="D1005" s="2">
        <v>7</v>
      </c>
      <c r="E1005" s="2">
        <v>1</v>
      </c>
      <c r="F1005" s="1">
        <v>39.27716848</v>
      </c>
      <c r="G1005" s="2">
        <v>9</v>
      </c>
      <c r="H1005" s="2">
        <v>62</v>
      </c>
      <c r="I1005" s="2">
        <v>33</v>
      </c>
      <c r="J1005" s="2">
        <v>2</v>
      </c>
      <c r="K1005" s="2">
        <v>0</v>
      </c>
      <c r="L100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05" t="str">
        <f>IF(Table1[[#This Row],[Experience Years]]&lt;=2,"Entry Level",IF(Table1[[#This Row],[Experience Years]]&lt;=7,"Mid Level",IF(Table1[[#This Row],[Experience Years]]&lt;=15,"Senior Level")))</f>
        <v>Mid Level</v>
      </c>
      <c r="N1005" s="1">
        <f>AVERAGE(Table1[[#This Row],[Interview Score]:[Personality Score]])</f>
        <v>34.666666666666664</v>
      </c>
      <c r="O10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05" s="2" t="str">
        <f t="shared" si="15"/>
        <v>30-40</v>
      </c>
    </row>
    <row r="1006" spans="1:16" x14ac:dyDescent="0.25">
      <c r="A1006">
        <v>46</v>
      </c>
      <c r="B1006" s="2">
        <v>0</v>
      </c>
      <c r="C1006" s="2">
        <v>4</v>
      </c>
      <c r="D1006" s="2">
        <v>7</v>
      </c>
      <c r="E1006" s="2">
        <v>2</v>
      </c>
      <c r="F1006" s="1">
        <v>11.50959844</v>
      </c>
      <c r="G1006" s="2">
        <v>9</v>
      </c>
      <c r="H1006" s="2">
        <v>11</v>
      </c>
      <c r="I1006" s="2">
        <v>69</v>
      </c>
      <c r="J1006" s="2">
        <v>2</v>
      </c>
      <c r="K1006" s="2">
        <v>0</v>
      </c>
      <c r="L100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06" s="2" t="str">
        <f>IF(Table1[[#This Row],[Experience Years]]&lt;=2,"Entry Level",IF(Table1[[#This Row],[Experience Years]]&lt;=7,"Mid Level",IF(Table1[[#This Row],[Experience Years]]&lt;=15,"Senior Level")))</f>
        <v>Mid Level</v>
      </c>
      <c r="N1006" s="1">
        <f>AVERAGE(Table1[[#This Row],[Interview Score]:[Personality Score]])</f>
        <v>29.666666666666668</v>
      </c>
      <c r="O10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06" s="2" t="str">
        <f t="shared" si="15"/>
        <v>10-20</v>
      </c>
    </row>
    <row r="1007" spans="1:16" x14ac:dyDescent="0.25">
      <c r="A1007">
        <v>36</v>
      </c>
      <c r="B1007" s="2">
        <v>1</v>
      </c>
      <c r="C1007" s="2">
        <v>1</v>
      </c>
      <c r="D1007" s="2">
        <v>7</v>
      </c>
      <c r="E1007" s="2">
        <v>4</v>
      </c>
      <c r="F1007" s="1">
        <v>17.17214276</v>
      </c>
      <c r="G1007" s="2">
        <v>38</v>
      </c>
      <c r="H1007" s="2">
        <v>62</v>
      </c>
      <c r="I1007" s="2">
        <v>16</v>
      </c>
      <c r="J1007" s="2">
        <v>3</v>
      </c>
      <c r="K1007" s="2">
        <v>0</v>
      </c>
      <c r="L100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07" t="str">
        <f>IF(Table1[[#This Row],[Experience Years]]&lt;=2,"Entry Level",IF(Table1[[#This Row],[Experience Years]]&lt;=7,"Mid Level",IF(Table1[[#This Row],[Experience Years]]&lt;=15,"Senior Level")))</f>
        <v>Mid Level</v>
      </c>
      <c r="N1007" s="1">
        <f>AVERAGE(Table1[[#This Row],[Interview Score]:[Personality Score]])</f>
        <v>38.666666666666664</v>
      </c>
      <c r="O10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07" s="2" t="str">
        <f t="shared" si="15"/>
        <v>10-20</v>
      </c>
    </row>
    <row r="1008" spans="1:16" x14ac:dyDescent="0.25">
      <c r="A1008">
        <v>32</v>
      </c>
      <c r="B1008" s="2">
        <v>1</v>
      </c>
      <c r="C1008" s="2">
        <v>1</v>
      </c>
      <c r="D1008" s="2">
        <v>11</v>
      </c>
      <c r="E1008" s="2">
        <v>4</v>
      </c>
      <c r="F1008" s="1">
        <v>41.961710609999997</v>
      </c>
      <c r="G1008" s="2">
        <v>27</v>
      </c>
      <c r="H1008" s="2">
        <v>76</v>
      </c>
      <c r="I1008" s="2">
        <v>19</v>
      </c>
      <c r="J1008" s="2">
        <v>1</v>
      </c>
      <c r="K1008" s="2">
        <v>1</v>
      </c>
      <c r="L100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08" t="str">
        <f>IF(Table1[[#This Row],[Experience Years]]&lt;=2,"Entry Level",IF(Table1[[#This Row],[Experience Years]]&lt;=7,"Mid Level",IF(Table1[[#This Row],[Experience Years]]&lt;=15,"Senior Level")))</f>
        <v>Senior Level</v>
      </c>
      <c r="N1008" s="1">
        <f>AVERAGE(Table1[[#This Row],[Interview Score]:[Personality Score]])</f>
        <v>40.666666666666664</v>
      </c>
      <c r="O10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08" s="2" t="str">
        <f t="shared" si="15"/>
        <v>40-50</v>
      </c>
    </row>
    <row r="1009" spans="1:16" x14ac:dyDescent="0.25">
      <c r="A1009">
        <v>20</v>
      </c>
      <c r="B1009" s="2">
        <v>1</v>
      </c>
      <c r="C1009" s="2">
        <v>1</v>
      </c>
      <c r="D1009" s="2">
        <v>7</v>
      </c>
      <c r="E1009" s="2">
        <v>1</v>
      </c>
      <c r="F1009" s="1">
        <v>27.82628042</v>
      </c>
      <c r="G1009" s="2">
        <v>29</v>
      </c>
      <c r="H1009" s="2">
        <v>91</v>
      </c>
      <c r="I1009" s="2">
        <v>72</v>
      </c>
      <c r="J1009" s="2">
        <v>3</v>
      </c>
      <c r="K1009" s="2">
        <v>0</v>
      </c>
      <c r="L100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09" t="str">
        <f>IF(Table1[[#This Row],[Experience Years]]&lt;=2,"Entry Level",IF(Table1[[#This Row],[Experience Years]]&lt;=7,"Mid Level",IF(Table1[[#This Row],[Experience Years]]&lt;=15,"Senior Level")))</f>
        <v>Mid Level</v>
      </c>
      <c r="N1009" s="1">
        <f>AVERAGE(Table1[[#This Row],[Interview Score]:[Personality Score]])</f>
        <v>64</v>
      </c>
      <c r="O10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09" s="2" t="str">
        <f t="shared" si="15"/>
        <v>20-30</v>
      </c>
    </row>
    <row r="1010" spans="1:16" x14ac:dyDescent="0.25">
      <c r="A1010">
        <v>21</v>
      </c>
      <c r="B1010" s="2">
        <v>1</v>
      </c>
      <c r="C1010" s="2">
        <v>2</v>
      </c>
      <c r="D1010" s="2">
        <v>6</v>
      </c>
      <c r="E1010" s="2">
        <v>5</v>
      </c>
      <c r="F1010" s="1">
        <v>43.997035709999999</v>
      </c>
      <c r="G1010" s="2">
        <v>36</v>
      </c>
      <c r="H1010" s="2">
        <v>0</v>
      </c>
      <c r="I1010" s="2">
        <v>58</v>
      </c>
      <c r="J1010" s="2">
        <v>2</v>
      </c>
      <c r="K1010" s="2">
        <v>0</v>
      </c>
      <c r="L101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10" t="str">
        <f>IF(Table1[[#This Row],[Experience Years]]&lt;=2,"Entry Level",IF(Table1[[#This Row],[Experience Years]]&lt;=7,"Mid Level",IF(Table1[[#This Row],[Experience Years]]&lt;=15,"Senior Level")))</f>
        <v>Mid Level</v>
      </c>
      <c r="N1010" s="1">
        <f>AVERAGE(Table1[[#This Row],[Interview Score]:[Personality Score]])</f>
        <v>31.333333333333332</v>
      </c>
      <c r="O10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10" s="2" t="str">
        <f t="shared" si="15"/>
        <v>40-50</v>
      </c>
    </row>
    <row r="1011" spans="1:16" x14ac:dyDescent="0.25">
      <c r="A1011">
        <v>28</v>
      </c>
      <c r="B1011" s="2">
        <v>1</v>
      </c>
      <c r="C1011" s="2">
        <v>2</v>
      </c>
      <c r="D1011" s="2">
        <v>7</v>
      </c>
      <c r="E1011" s="2">
        <v>2</v>
      </c>
      <c r="F1011" s="1">
        <v>11.651765989999999</v>
      </c>
      <c r="G1011" s="2">
        <v>66</v>
      </c>
      <c r="H1011" s="2">
        <v>50</v>
      </c>
      <c r="I1011" s="2">
        <v>68</v>
      </c>
      <c r="J1011" s="2">
        <v>2</v>
      </c>
      <c r="K1011" s="2">
        <v>0</v>
      </c>
      <c r="L101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11" t="str">
        <f>IF(Table1[[#This Row],[Experience Years]]&lt;=2,"Entry Level",IF(Table1[[#This Row],[Experience Years]]&lt;=7,"Mid Level",IF(Table1[[#This Row],[Experience Years]]&lt;=15,"Senior Level")))</f>
        <v>Mid Level</v>
      </c>
      <c r="N1011" s="1">
        <f>AVERAGE(Table1[[#This Row],[Interview Score]:[Personality Score]])</f>
        <v>61.333333333333336</v>
      </c>
      <c r="O10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11" s="2" t="str">
        <f t="shared" si="15"/>
        <v>10-20</v>
      </c>
    </row>
    <row r="1012" spans="1:16" x14ac:dyDescent="0.25">
      <c r="A1012">
        <v>22</v>
      </c>
      <c r="B1012" s="2">
        <v>0</v>
      </c>
      <c r="C1012" s="2">
        <v>1</v>
      </c>
      <c r="D1012" s="2">
        <v>10</v>
      </c>
      <c r="E1012" s="2">
        <v>1</v>
      </c>
      <c r="F1012" s="1">
        <v>31.388921929999999</v>
      </c>
      <c r="G1012" s="2">
        <v>42</v>
      </c>
      <c r="H1012" s="2">
        <v>69</v>
      </c>
      <c r="I1012" s="2">
        <v>86</v>
      </c>
      <c r="J1012" s="2">
        <v>1</v>
      </c>
      <c r="K1012" s="2">
        <v>1</v>
      </c>
      <c r="L101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12" s="2" t="str">
        <f>IF(Table1[[#This Row],[Experience Years]]&lt;=2,"Entry Level",IF(Table1[[#This Row],[Experience Years]]&lt;=7,"Mid Level",IF(Table1[[#This Row],[Experience Years]]&lt;=15,"Senior Level")))</f>
        <v>Senior Level</v>
      </c>
      <c r="N1012" s="1">
        <f>AVERAGE(Table1[[#This Row],[Interview Score]:[Personality Score]])</f>
        <v>65.666666666666671</v>
      </c>
      <c r="O10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12" s="2" t="str">
        <f t="shared" si="15"/>
        <v>30-40</v>
      </c>
    </row>
    <row r="1013" spans="1:16" x14ac:dyDescent="0.25">
      <c r="A1013">
        <v>50</v>
      </c>
      <c r="B1013" s="2">
        <v>1</v>
      </c>
      <c r="C1013" s="2">
        <v>1</v>
      </c>
      <c r="D1013" s="2">
        <v>13</v>
      </c>
      <c r="E1013" s="2">
        <v>5</v>
      </c>
      <c r="F1013" s="1">
        <v>5.1895486269999997</v>
      </c>
      <c r="G1013" s="2">
        <v>78</v>
      </c>
      <c r="H1013" s="2">
        <v>7</v>
      </c>
      <c r="I1013" s="2">
        <v>32</v>
      </c>
      <c r="J1013" s="2">
        <v>2</v>
      </c>
      <c r="K1013" s="2">
        <v>0</v>
      </c>
      <c r="L101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13" t="str">
        <f>IF(Table1[[#This Row],[Experience Years]]&lt;=2,"Entry Level",IF(Table1[[#This Row],[Experience Years]]&lt;=7,"Mid Level",IF(Table1[[#This Row],[Experience Years]]&lt;=15,"Senior Level")))</f>
        <v>Senior Level</v>
      </c>
      <c r="N1013" s="1">
        <f>AVERAGE(Table1[[#This Row],[Interview Score]:[Personality Score]])</f>
        <v>39</v>
      </c>
      <c r="O10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13" s="2" t="str">
        <f t="shared" si="15"/>
        <v>0-10</v>
      </c>
    </row>
    <row r="1014" spans="1:16" x14ac:dyDescent="0.25">
      <c r="A1014">
        <v>20</v>
      </c>
      <c r="B1014" s="2">
        <v>1</v>
      </c>
      <c r="C1014" s="2">
        <v>4</v>
      </c>
      <c r="D1014" s="2">
        <v>15</v>
      </c>
      <c r="E1014" s="2">
        <v>2</v>
      </c>
      <c r="F1014" s="1">
        <v>33.153049680000002</v>
      </c>
      <c r="G1014" s="2">
        <v>84</v>
      </c>
      <c r="H1014" s="2">
        <v>67</v>
      </c>
      <c r="I1014" s="2">
        <v>77</v>
      </c>
      <c r="J1014" s="2">
        <v>2</v>
      </c>
      <c r="K1014" s="2">
        <v>1</v>
      </c>
      <c r="L101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14" t="str">
        <f>IF(Table1[[#This Row],[Experience Years]]&lt;=2,"Entry Level",IF(Table1[[#This Row],[Experience Years]]&lt;=7,"Mid Level",IF(Table1[[#This Row],[Experience Years]]&lt;=15,"Senior Level")))</f>
        <v>Senior Level</v>
      </c>
      <c r="N1014" s="1">
        <f>AVERAGE(Table1[[#This Row],[Interview Score]:[Personality Score]])</f>
        <v>76</v>
      </c>
      <c r="O10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14" s="2" t="str">
        <f t="shared" si="15"/>
        <v>30-40</v>
      </c>
    </row>
    <row r="1015" spans="1:16" x14ac:dyDescent="0.25">
      <c r="A1015">
        <v>40</v>
      </c>
      <c r="B1015" s="2">
        <v>1</v>
      </c>
      <c r="C1015" s="2">
        <v>3</v>
      </c>
      <c r="D1015" s="2">
        <v>7</v>
      </c>
      <c r="E1015" s="2">
        <v>4</v>
      </c>
      <c r="F1015" s="1">
        <v>39.12670189</v>
      </c>
      <c r="G1015" s="2">
        <v>51</v>
      </c>
      <c r="H1015" s="2">
        <v>4</v>
      </c>
      <c r="I1015" s="2">
        <v>16</v>
      </c>
      <c r="J1015" s="2">
        <v>2</v>
      </c>
      <c r="K1015" s="2">
        <v>0</v>
      </c>
      <c r="L101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15" t="str">
        <f>IF(Table1[[#This Row],[Experience Years]]&lt;=2,"Entry Level",IF(Table1[[#This Row],[Experience Years]]&lt;=7,"Mid Level",IF(Table1[[#This Row],[Experience Years]]&lt;=15,"Senior Level")))</f>
        <v>Mid Level</v>
      </c>
      <c r="N1015" s="1">
        <f>AVERAGE(Table1[[#This Row],[Interview Score]:[Personality Score]])</f>
        <v>23.666666666666668</v>
      </c>
      <c r="O10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15" s="2" t="str">
        <f t="shared" si="15"/>
        <v>30-40</v>
      </c>
    </row>
    <row r="1016" spans="1:16" x14ac:dyDescent="0.25">
      <c r="A1016">
        <v>35</v>
      </c>
      <c r="B1016" s="2">
        <v>1</v>
      </c>
      <c r="C1016" s="2">
        <v>3</v>
      </c>
      <c r="D1016" s="2">
        <v>12</v>
      </c>
      <c r="E1016" s="2">
        <v>2</v>
      </c>
      <c r="F1016" s="1">
        <v>30.246544700000001</v>
      </c>
      <c r="G1016" s="2">
        <v>100</v>
      </c>
      <c r="H1016" s="2">
        <v>88</v>
      </c>
      <c r="I1016" s="2">
        <v>56</v>
      </c>
      <c r="J1016" s="2">
        <v>1</v>
      </c>
      <c r="K1016" s="2">
        <v>1</v>
      </c>
      <c r="L101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16" t="str">
        <f>IF(Table1[[#This Row],[Experience Years]]&lt;=2,"Entry Level",IF(Table1[[#This Row],[Experience Years]]&lt;=7,"Mid Level",IF(Table1[[#This Row],[Experience Years]]&lt;=15,"Senior Level")))</f>
        <v>Senior Level</v>
      </c>
      <c r="N1016" s="1">
        <f>AVERAGE(Table1[[#This Row],[Interview Score]:[Personality Score]])</f>
        <v>81.333333333333329</v>
      </c>
      <c r="O10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016" s="2" t="str">
        <f t="shared" si="15"/>
        <v>30-40</v>
      </c>
    </row>
    <row r="1017" spans="1:16" x14ac:dyDescent="0.25">
      <c r="A1017">
        <v>42</v>
      </c>
      <c r="B1017" s="2">
        <v>1</v>
      </c>
      <c r="C1017" s="2">
        <v>3</v>
      </c>
      <c r="D1017" s="2">
        <v>13</v>
      </c>
      <c r="E1017" s="2">
        <v>3</v>
      </c>
      <c r="F1017" s="1">
        <v>14.31157507</v>
      </c>
      <c r="G1017" s="2">
        <v>55</v>
      </c>
      <c r="H1017" s="2">
        <v>85</v>
      </c>
      <c r="I1017" s="2">
        <v>82</v>
      </c>
      <c r="J1017" s="2">
        <v>1</v>
      </c>
      <c r="K1017" s="2">
        <v>1</v>
      </c>
      <c r="L101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17" t="str">
        <f>IF(Table1[[#This Row],[Experience Years]]&lt;=2,"Entry Level",IF(Table1[[#This Row],[Experience Years]]&lt;=7,"Mid Level",IF(Table1[[#This Row],[Experience Years]]&lt;=15,"Senior Level")))</f>
        <v>Senior Level</v>
      </c>
      <c r="N1017" s="1">
        <f>AVERAGE(Table1[[#This Row],[Interview Score]:[Personality Score]])</f>
        <v>74</v>
      </c>
      <c r="O10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17" s="2" t="str">
        <f t="shared" si="15"/>
        <v>10-20</v>
      </c>
    </row>
    <row r="1018" spans="1:16" x14ac:dyDescent="0.25">
      <c r="A1018">
        <v>25</v>
      </c>
      <c r="B1018" s="2">
        <v>0</v>
      </c>
      <c r="C1018" s="2">
        <v>3</v>
      </c>
      <c r="D1018" s="2">
        <v>7</v>
      </c>
      <c r="E1018" s="2">
        <v>2</v>
      </c>
      <c r="F1018" s="1">
        <v>2.5671334429999999</v>
      </c>
      <c r="G1018" s="2">
        <v>75</v>
      </c>
      <c r="H1018" s="2">
        <v>91</v>
      </c>
      <c r="I1018" s="2">
        <v>96</v>
      </c>
      <c r="J1018" s="2">
        <v>3</v>
      </c>
      <c r="K1018" s="2">
        <v>1</v>
      </c>
      <c r="L101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18" s="2" t="str">
        <f>IF(Table1[[#This Row],[Experience Years]]&lt;=2,"Entry Level",IF(Table1[[#This Row],[Experience Years]]&lt;=7,"Mid Level",IF(Table1[[#This Row],[Experience Years]]&lt;=15,"Senior Level")))</f>
        <v>Mid Level</v>
      </c>
      <c r="N1018" s="1">
        <f>AVERAGE(Table1[[#This Row],[Interview Score]:[Personality Score]])</f>
        <v>87.333333333333329</v>
      </c>
      <c r="O10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018" s="2" t="str">
        <f t="shared" si="15"/>
        <v>0-10</v>
      </c>
    </row>
    <row r="1019" spans="1:16" x14ac:dyDescent="0.25">
      <c r="A1019">
        <v>47</v>
      </c>
      <c r="B1019" s="2">
        <v>1</v>
      </c>
      <c r="C1019" s="2">
        <v>1</v>
      </c>
      <c r="D1019" s="2">
        <v>11</v>
      </c>
      <c r="E1019" s="2">
        <v>3</v>
      </c>
      <c r="F1019" s="1">
        <v>6.9724441979999998</v>
      </c>
      <c r="G1019" s="2">
        <v>67</v>
      </c>
      <c r="H1019" s="2">
        <v>38</v>
      </c>
      <c r="I1019" s="2">
        <v>0</v>
      </c>
      <c r="J1019" s="2">
        <v>3</v>
      </c>
      <c r="K1019" s="2">
        <v>0</v>
      </c>
      <c r="L101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19" t="str">
        <f>IF(Table1[[#This Row],[Experience Years]]&lt;=2,"Entry Level",IF(Table1[[#This Row],[Experience Years]]&lt;=7,"Mid Level",IF(Table1[[#This Row],[Experience Years]]&lt;=15,"Senior Level")))</f>
        <v>Senior Level</v>
      </c>
      <c r="N1019" s="1">
        <f>AVERAGE(Table1[[#This Row],[Interview Score]:[Personality Score]])</f>
        <v>35</v>
      </c>
      <c r="O10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19" s="2" t="str">
        <f t="shared" si="15"/>
        <v>0-10</v>
      </c>
    </row>
    <row r="1020" spans="1:16" x14ac:dyDescent="0.25">
      <c r="A1020">
        <v>36</v>
      </c>
      <c r="B1020" s="2">
        <v>0</v>
      </c>
      <c r="C1020" s="2">
        <v>2</v>
      </c>
      <c r="D1020" s="2">
        <v>9</v>
      </c>
      <c r="E1020" s="2">
        <v>2</v>
      </c>
      <c r="F1020" s="1">
        <v>32.115148949999998</v>
      </c>
      <c r="G1020" s="2">
        <v>8</v>
      </c>
      <c r="H1020" s="2">
        <v>22</v>
      </c>
      <c r="I1020" s="2">
        <v>12</v>
      </c>
      <c r="J1020" s="2">
        <v>2</v>
      </c>
      <c r="K1020" s="2">
        <v>0</v>
      </c>
      <c r="L102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20" s="2" t="str">
        <f>IF(Table1[[#This Row],[Experience Years]]&lt;=2,"Entry Level",IF(Table1[[#This Row],[Experience Years]]&lt;=7,"Mid Level",IF(Table1[[#This Row],[Experience Years]]&lt;=15,"Senior Level")))</f>
        <v>Senior Level</v>
      </c>
      <c r="N1020" s="1">
        <f>AVERAGE(Table1[[#This Row],[Interview Score]:[Personality Score]])</f>
        <v>14</v>
      </c>
      <c r="O10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20" s="2" t="str">
        <f t="shared" si="15"/>
        <v>30-40</v>
      </c>
    </row>
    <row r="1021" spans="1:16" x14ac:dyDescent="0.25">
      <c r="A1021">
        <v>24</v>
      </c>
      <c r="B1021" s="2">
        <v>0</v>
      </c>
      <c r="C1021" s="2">
        <v>3</v>
      </c>
      <c r="D1021" s="2">
        <v>6</v>
      </c>
      <c r="E1021" s="2">
        <v>3</v>
      </c>
      <c r="F1021" s="1">
        <v>47.721010839999998</v>
      </c>
      <c r="G1021" s="2">
        <v>91</v>
      </c>
      <c r="H1021" s="2">
        <v>67</v>
      </c>
      <c r="I1021" s="2">
        <v>26</v>
      </c>
      <c r="J1021" s="2">
        <v>1</v>
      </c>
      <c r="K1021" s="2">
        <v>1</v>
      </c>
      <c r="L102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21" s="2" t="str">
        <f>IF(Table1[[#This Row],[Experience Years]]&lt;=2,"Entry Level",IF(Table1[[#This Row],[Experience Years]]&lt;=7,"Mid Level",IF(Table1[[#This Row],[Experience Years]]&lt;=15,"Senior Level")))</f>
        <v>Mid Level</v>
      </c>
      <c r="N1021" s="1">
        <f>AVERAGE(Table1[[#This Row],[Interview Score]:[Personality Score]])</f>
        <v>61.333333333333336</v>
      </c>
      <c r="O10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21" s="2" t="str">
        <f t="shared" si="15"/>
        <v>40-50</v>
      </c>
    </row>
    <row r="1022" spans="1:16" x14ac:dyDescent="0.25">
      <c r="A1022">
        <v>50</v>
      </c>
      <c r="B1022" s="2">
        <v>0</v>
      </c>
      <c r="C1022" s="2">
        <v>2</v>
      </c>
      <c r="D1022" s="2">
        <v>11</v>
      </c>
      <c r="E1022" s="2">
        <v>4</v>
      </c>
      <c r="F1022" s="1">
        <v>11.3267202</v>
      </c>
      <c r="G1022" s="2">
        <v>22</v>
      </c>
      <c r="H1022" s="2">
        <v>51</v>
      </c>
      <c r="I1022" s="2">
        <v>69</v>
      </c>
      <c r="J1022" s="2">
        <v>2</v>
      </c>
      <c r="K1022" s="2">
        <v>0</v>
      </c>
      <c r="L102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22" s="2" t="str">
        <f>IF(Table1[[#This Row],[Experience Years]]&lt;=2,"Entry Level",IF(Table1[[#This Row],[Experience Years]]&lt;=7,"Mid Level",IF(Table1[[#This Row],[Experience Years]]&lt;=15,"Senior Level")))</f>
        <v>Senior Level</v>
      </c>
      <c r="N1022" s="1">
        <f>AVERAGE(Table1[[#This Row],[Interview Score]:[Personality Score]])</f>
        <v>47.333333333333336</v>
      </c>
      <c r="O10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22" s="2" t="str">
        <f t="shared" si="15"/>
        <v>10-20</v>
      </c>
    </row>
    <row r="1023" spans="1:16" x14ac:dyDescent="0.25">
      <c r="A1023">
        <v>24</v>
      </c>
      <c r="B1023" s="2">
        <v>0</v>
      </c>
      <c r="C1023" s="2">
        <v>2</v>
      </c>
      <c r="D1023" s="2">
        <v>0</v>
      </c>
      <c r="E1023" s="2">
        <v>5</v>
      </c>
      <c r="F1023" s="1">
        <v>37.75130746</v>
      </c>
      <c r="G1023" s="2">
        <v>62</v>
      </c>
      <c r="H1023" s="2">
        <v>3</v>
      </c>
      <c r="I1023" s="2">
        <v>58</v>
      </c>
      <c r="J1023" s="2">
        <v>2</v>
      </c>
      <c r="K1023" s="2">
        <v>0</v>
      </c>
      <c r="L102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23" s="2" t="str">
        <f>IF(Table1[[#This Row],[Experience Years]]&lt;=2,"Entry Level",IF(Table1[[#This Row],[Experience Years]]&lt;=7,"Mid Level",IF(Table1[[#This Row],[Experience Years]]&lt;=15,"Senior Level")))</f>
        <v>Entry Level</v>
      </c>
      <c r="N1023" s="1">
        <f>AVERAGE(Table1[[#This Row],[Interview Score]:[Personality Score]])</f>
        <v>41</v>
      </c>
      <c r="O10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23" s="2" t="str">
        <f t="shared" si="15"/>
        <v>30-40</v>
      </c>
    </row>
    <row r="1024" spans="1:16" x14ac:dyDescent="0.25">
      <c r="A1024">
        <v>25</v>
      </c>
      <c r="B1024" s="2">
        <v>1</v>
      </c>
      <c r="C1024" s="2">
        <v>1</v>
      </c>
      <c r="D1024" s="2">
        <v>3</v>
      </c>
      <c r="E1024" s="2">
        <v>3</v>
      </c>
      <c r="F1024" s="1">
        <v>44.322553159999998</v>
      </c>
      <c r="G1024" s="2">
        <v>60</v>
      </c>
      <c r="H1024" s="2">
        <v>46</v>
      </c>
      <c r="I1024" s="2">
        <v>5</v>
      </c>
      <c r="J1024" s="2">
        <v>3</v>
      </c>
      <c r="K1024" s="2">
        <v>0</v>
      </c>
      <c r="L102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24" t="str">
        <f>IF(Table1[[#This Row],[Experience Years]]&lt;=2,"Entry Level",IF(Table1[[#This Row],[Experience Years]]&lt;=7,"Mid Level",IF(Table1[[#This Row],[Experience Years]]&lt;=15,"Senior Level")))</f>
        <v>Mid Level</v>
      </c>
      <c r="N1024" s="1">
        <f>AVERAGE(Table1[[#This Row],[Interview Score]:[Personality Score]])</f>
        <v>37</v>
      </c>
      <c r="O10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24" s="2" t="str">
        <f t="shared" si="15"/>
        <v>40-50</v>
      </c>
    </row>
    <row r="1025" spans="1:16" x14ac:dyDescent="0.25">
      <c r="A1025">
        <v>22</v>
      </c>
      <c r="B1025" s="2">
        <v>0</v>
      </c>
      <c r="C1025" s="2">
        <v>2</v>
      </c>
      <c r="D1025" s="2">
        <v>12</v>
      </c>
      <c r="E1025" s="2">
        <v>3</v>
      </c>
      <c r="F1025" s="1">
        <v>27.044108919999999</v>
      </c>
      <c r="G1025" s="2">
        <v>39</v>
      </c>
      <c r="H1025" s="2">
        <v>20</v>
      </c>
      <c r="I1025" s="2">
        <v>96</v>
      </c>
      <c r="J1025" s="2">
        <v>2</v>
      </c>
      <c r="K1025" s="2">
        <v>0</v>
      </c>
      <c r="L102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25" s="2" t="str">
        <f>IF(Table1[[#This Row],[Experience Years]]&lt;=2,"Entry Level",IF(Table1[[#This Row],[Experience Years]]&lt;=7,"Mid Level",IF(Table1[[#This Row],[Experience Years]]&lt;=15,"Senior Level")))</f>
        <v>Senior Level</v>
      </c>
      <c r="N1025" s="1">
        <f>AVERAGE(Table1[[#This Row],[Interview Score]:[Personality Score]])</f>
        <v>51.666666666666664</v>
      </c>
      <c r="O10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25" s="2" t="str">
        <f t="shared" si="15"/>
        <v>20-30</v>
      </c>
    </row>
    <row r="1026" spans="1:16" x14ac:dyDescent="0.25">
      <c r="A1026">
        <v>40</v>
      </c>
      <c r="B1026" s="2">
        <v>0</v>
      </c>
      <c r="C1026" s="2">
        <v>2</v>
      </c>
      <c r="D1026" s="2">
        <v>12</v>
      </c>
      <c r="E1026" s="2">
        <v>4</v>
      </c>
      <c r="F1026" s="1">
        <v>34.463289789999997</v>
      </c>
      <c r="G1026" s="2">
        <v>43</v>
      </c>
      <c r="H1026" s="2">
        <v>100</v>
      </c>
      <c r="I1026" s="2">
        <v>93</v>
      </c>
      <c r="J1026" s="2">
        <v>3</v>
      </c>
      <c r="K1026" s="2">
        <v>0</v>
      </c>
      <c r="L102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26" s="2" t="str">
        <f>IF(Table1[[#This Row],[Experience Years]]&lt;=2,"Entry Level",IF(Table1[[#This Row],[Experience Years]]&lt;=7,"Mid Level",IF(Table1[[#This Row],[Experience Years]]&lt;=15,"Senior Level")))</f>
        <v>Senior Level</v>
      </c>
      <c r="N1026" s="1">
        <f>AVERAGE(Table1[[#This Row],[Interview Score]:[Personality Score]])</f>
        <v>78.666666666666671</v>
      </c>
      <c r="O10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26" s="2" t="str">
        <f t="shared" ref="P1026:P1089" si="16">IF(F1026&lt;10,"0-10",IF(F1026&lt;20,"10-20",IF(F1026&lt;30,"20-30",IF(F1026&lt;40,"30-40",IF(F1026&lt;50,"40-50","50+")))))</f>
        <v>30-40</v>
      </c>
    </row>
    <row r="1027" spans="1:16" x14ac:dyDescent="0.25">
      <c r="A1027">
        <v>42</v>
      </c>
      <c r="B1027" s="2">
        <v>1</v>
      </c>
      <c r="C1027" s="2">
        <v>2</v>
      </c>
      <c r="D1027" s="2">
        <v>15</v>
      </c>
      <c r="E1027" s="2">
        <v>3</v>
      </c>
      <c r="F1027" s="1">
        <v>41.750765829999999</v>
      </c>
      <c r="G1027" s="2">
        <v>85</v>
      </c>
      <c r="H1027" s="2">
        <v>55</v>
      </c>
      <c r="I1027" s="2">
        <v>98</v>
      </c>
      <c r="J1027" s="2">
        <v>3</v>
      </c>
      <c r="K1027" s="2">
        <v>1</v>
      </c>
      <c r="L102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27" t="str">
        <f>IF(Table1[[#This Row],[Experience Years]]&lt;=2,"Entry Level",IF(Table1[[#This Row],[Experience Years]]&lt;=7,"Mid Level",IF(Table1[[#This Row],[Experience Years]]&lt;=15,"Senior Level")))</f>
        <v>Senior Level</v>
      </c>
      <c r="N1027" s="1">
        <f>AVERAGE(Table1[[#This Row],[Interview Score]:[Personality Score]])</f>
        <v>79.333333333333329</v>
      </c>
      <c r="O10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27" s="2" t="str">
        <f t="shared" si="16"/>
        <v>40-50</v>
      </c>
    </row>
    <row r="1028" spans="1:16" x14ac:dyDescent="0.25">
      <c r="A1028">
        <v>24</v>
      </c>
      <c r="B1028" s="2">
        <v>1</v>
      </c>
      <c r="C1028" s="2">
        <v>2</v>
      </c>
      <c r="D1028" s="2">
        <v>3</v>
      </c>
      <c r="E1028" s="2">
        <v>1</v>
      </c>
      <c r="F1028" s="1">
        <v>14.03375789</v>
      </c>
      <c r="G1028" s="2">
        <v>23</v>
      </c>
      <c r="H1028" s="2">
        <v>65</v>
      </c>
      <c r="I1028" s="2">
        <v>22</v>
      </c>
      <c r="J1028" s="2">
        <v>3</v>
      </c>
      <c r="K1028" s="2">
        <v>0</v>
      </c>
      <c r="L102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28" t="str">
        <f>IF(Table1[[#This Row],[Experience Years]]&lt;=2,"Entry Level",IF(Table1[[#This Row],[Experience Years]]&lt;=7,"Mid Level",IF(Table1[[#This Row],[Experience Years]]&lt;=15,"Senior Level")))</f>
        <v>Mid Level</v>
      </c>
      <c r="N1028" s="1">
        <f>AVERAGE(Table1[[#This Row],[Interview Score]:[Personality Score]])</f>
        <v>36.666666666666664</v>
      </c>
      <c r="O10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28" s="2" t="str">
        <f t="shared" si="16"/>
        <v>10-20</v>
      </c>
    </row>
    <row r="1029" spans="1:16" x14ac:dyDescent="0.25">
      <c r="A1029">
        <v>40</v>
      </c>
      <c r="B1029" s="2">
        <v>1</v>
      </c>
      <c r="C1029" s="2">
        <v>2</v>
      </c>
      <c r="D1029" s="2">
        <v>4</v>
      </c>
      <c r="E1029" s="2">
        <v>4</v>
      </c>
      <c r="F1029" s="1">
        <v>15.84478371</v>
      </c>
      <c r="G1029" s="2">
        <v>50</v>
      </c>
      <c r="H1029" s="2">
        <v>58</v>
      </c>
      <c r="I1029" s="2">
        <v>9</v>
      </c>
      <c r="J1029" s="2">
        <v>1</v>
      </c>
      <c r="K1029" s="2">
        <v>0</v>
      </c>
      <c r="L102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29" t="str">
        <f>IF(Table1[[#This Row],[Experience Years]]&lt;=2,"Entry Level",IF(Table1[[#This Row],[Experience Years]]&lt;=7,"Mid Level",IF(Table1[[#This Row],[Experience Years]]&lt;=15,"Senior Level")))</f>
        <v>Mid Level</v>
      </c>
      <c r="N1029" s="1">
        <f>AVERAGE(Table1[[#This Row],[Interview Score]:[Personality Score]])</f>
        <v>39</v>
      </c>
      <c r="O10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29" s="2" t="str">
        <f t="shared" si="16"/>
        <v>10-20</v>
      </c>
    </row>
    <row r="1030" spans="1:16" x14ac:dyDescent="0.25">
      <c r="A1030">
        <v>24</v>
      </c>
      <c r="B1030" s="2">
        <v>0</v>
      </c>
      <c r="C1030" s="2">
        <v>1</v>
      </c>
      <c r="D1030" s="2">
        <v>9</v>
      </c>
      <c r="E1030" s="2">
        <v>1</v>
      </c>
      <c r="F1030" s="1">
        <v>1.0313758310000001</v>
      </c>
      <c r="G1030" s="2">
        <v>57</v>
      </c>
      <c r="H1030" s="2">
        <v>6</v>
      </c>
      <c r="I1030" s="2">
        <v>50</v>
      </c>
      <c r="J1030" s="2">
        <v>1</v>
      </c>
      <c r="K1030" s="2">
        <v>0</v>
      </c>
      <c r="L103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30" s="2" t="str">
        <f>IF(Table1[[#This Row],[Experience Years]]&lt;=2,"Entry Level",IF(Table1[[#This Row],[Experience Years]]&lt;=7,"Mid Level",IF(Table1[[#This Row],[Experience Years]]&lt;=15,"Senior Level")))</f>
        <v>Senior Level</v>
      </c>
      <c r="N1030" s="1">
        <f>AVERAGE(Table1[[#This Row],[Interview Score]:[Personality Score]])</f>
        <v>37.666666666666664</v>
      </c>
      <c r="O10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30" s="2" t="str">
        <f t="shared" si="16"/>
        <v>0-10</v>
      </c>
    </row>
    <row r="1031" spans="1:16" x14ac:dyDescent="0.25">
      <c r="A1031">
        <v>29</v>
      </c>
      <c r="B1031" s="2">
        <v>1</v>
      </c>
      <c r="C1031" s="2">
        <v>1</v>
      </c>
      <c r="D1031" s="2">
        <v>5</v>
      </c>
      <c r="E1031" s="2">
        <v>4</v>
      </c>
      <c r="F1031" s="1">
        <v>49.154706539999999</v>
      </c>
      <c r="G1031" s="2">
        <v>89</v>
      </c>
      <c r="H1031" s="2">
        <v>48</v>
      </c>
      <c r="I1031" s="2">
        <v>18</v>
      </c>
      <c r="J1031" s="2">
        <v>2</v>
      </c>
      <c r="K1031" s="2">
        <v>0</v>
      </c>
      <c r="L103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31" t="str">
        <f>IF(Table1[[#This Row],[Experience Years]]&lt;=2,"Entry Level",IF(Table1[[#This Row],[Experience Years]]&lt;=7,"Mid Level",IF(Table1[[#This Row],[Experience Years]]&lt;=15,"Senior Level")))</f>
        <v>Mid Level</v>
      </c>
      <c r="N1031" s="1">
        <f>AVERAGE(Table1[[#This Row],[Interview Score]:[Personality Score]])</f>
        <v>51.666666666666664</v>
      </c>
      <c r="O10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31" s="2" t="str">
        <f t="shared" si="16"/>
        <v>40-50</v>
      </c>
    </row>
    <row r="1032" spans="1:16" x14ac:dyDescent="0.25">
      <c r="A1032">
        <v>29</v>
      </c>
      <c r="B1032" s="2">
        <v>1</v>
      </c>
      <c r="C1032" s="2">
        <v>3</v>
      </c>
      <c r="D1032" s="2">
        <v>3</v>
      </c>
      <c r="E1032" s="2">
        <v>3</v>
      </c>
      <c r="F1032" s="1">
        <v>46.877244730000001</v>
      </c>
      <c r="G1032" s="2">
        <v>93</v>
      </c>
      <c r="H1032" s="2">
        <v>15</v>
      </c>
      <c r="I1032" s="2">
        <v>50</v>
      </c>
      <c r="J1032" s="2">
        <v>2</v>
      </c>
      <c r="K1032" s="2">
        <v>0</v>
      </c>
      <c r="L103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32" t="str">
        <f>IF(Table1[[#This Row],[Experience Years]]&lt;=2,"Entry Level",IF(Table1[[#This Row],[Experience Years]]&lt;=7,"Mid Level",IF(Table1[[#This Row],[Experience Years]]&lt;=15,"Senior Level")))</f>
        <v>Mid Level</v>
      </c>
      <c r="N1032" s="1">
        <f>AVERAGE(Table1[[#This Row],[Interview Score]:[Personality Score]])</f>
        <v>52.666666666666664</v>
      </c>
      <c r="O10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32" s="2" t="str">
        <f t="shared" si="16"/>
        <v>40-50</v>
      </c>
    </row>
    <row r="1033" spans="1:16" x14ac:dyDescent="0.25">
      <c r="A1033">
        <v>38</v>
      </c>
      <c r="B1033" s="2">
        <v>0</v>
      </c>
      <c r="C1033" s="2">
        <v>2</v>
      </c>
      <c r="D1033" s="2">
        <v>14</v>
      </c>
      <c r="E1033" s="2">
        <v>1</v>
      </c>
      <c r="F1033" s="1">
        <v>39.228413189999998</v>
      </c>
      <c r="G1033" s="2">
        <v>32</v>
      </c>
      <c r="H1033" s="2">
        <v>16</v>
      </c>
      <c r="I1033" s="2">
        <v>91</v>
      </c>
      <c r="J1033" s="2">
        <v>1</v>
      </c>
      <c r="K1033" s="2">
        <v>1</v>
      </c>
      <c r="L103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33" s="2" t="str">
        <f>IF(Table1[[#This Row],[Experience Years]]&lt;=2,"Entry Level",IF(Table1[[#This Row],[Experience Years]]&lt;=7,"Mid Level",IF(Table1[[#This Row],[Experience Years]]&lt;=15,"Senior Level")))</f>
        <v>Senior Level</v>
      </c>
      <c r="N1033" s="1">
        <f>AVERAGE(Table1[[#This Row],[Interview Score]:[Personality Score]])</f>
        <v>46.333333333333336</v>
      </c>
      <c r="O10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33" s="2" t="str">
        <f t="shared" si="16"/>
        <v>30-40</v>
      </c>
    </row>
    <row r="1034" spans="1:16" x14ac:dyDescent="0.25">
      <c r="A1034">
        <v>36</v>
      </c>
      <c r="B1034" s="2">
        <v>1</v>
      </c>
      <c r="C1034" s="2">
        <v>1</v>
      </c>
      <c r="D1034" s="2">
        <v>1</v>
      </c>
      <c r="E1034" s="2">
        <v>3</v>
      </c>
      <c r="F1034" s="1">
        <v>4.953801049</v>
      </c>
      <c r="G1034" s="2">
        <v>15</v>
      </c>
      <c r="H1034" s="2">
        <v>83</v>
      </c>
      <c r="I1034" s="2">
        <v>86</v>
      </c>
      <c r="J1034" s="2">
        <v>1</v>
      </c>
      <c r="K1034" s="2">
        <v>1</v>
      </c>
      <c r="L103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34" t="str">
        <f>IF(Table1[[#This Row],[Experience Years]]&lt;=2,"Entry Level",IF(Table1[[#This Row],[Experience Years]]&lt;=7,"Mid Level",IF(Table1[[#This Row],[Experience Years]]&lt;=15,"Senior Level")))</f>
        <v>Entry Level</v>
      </c>
      <c r="N1034" s="1">
        <f>AVERAGE(Table1[[#This Row],[Interview Score]:[Personality Score]])</f>
        <v>61.333333333333336</v>
      </c>
      <c r="O10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34" s="2" t="str">
        <f t="shared" si="16"/>
        <v>0-10</v>
      </c>
    </row>
    <row r="1035" spans="1:16" x14ac:dyDescent="0.25">
      <c r="A1035">
        <v>40</v>
      </c>
      <c r="B1035" s="2">
        <v>1</v>
      </c>
      <c r="C1035" s="2">
        <v>3</v>
      </c>
      <c r="D1035" s="2">
        <v>15</v>
      </c>
      <c r="E1035" s="2">
        <v>4</v>
      </c>
      <c r="F1035" s="1">
        <v>23.375144479999999</v>
      </c>
      <c r="G1035" s="2">
        <v>21</v>
      </c>
      <c r="H1035" s="2">
        <v>86</v>
      </c>
      <c r="I1035" s="2">
        <v>67</v>
      </c>
      <c r="J1035" s="2">
        <v>2</v>
      </c>
      <c r="K1035" s="2">
        <v>1</v>
      </c>
      <c r="L103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35" t="str">
        <f>IF(Table1[[#This Row],[Experience Years]]&lt;=2,"Entry Level",IF(Table1[[#This Row],[Experience Years]]&lt;=7,"Mid Level",IF(Table1[[#This Row],[Experience Years]]&lt;=15,"Senior Level")))</f>
        <v>Senior Level</v>
      </c>
      <c r="N1035" s="1">
        <f>AVERAGE(Table1[[#This Row],[Interview Score]:[Personality Score]])</f>
        <v>58</v>
      </c>
      <c r="O10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35" s="2" t="str">
        <f t="shared" si="16"/>
        <v>20-30</v>
      </c>
    </row>
    <row r="1036" spans="1:16" x14ac:dyDescent="0.25">
      <c r="A1036">
        <v>33</v>
      </c>
      <c r="B1036" s="2">
        <v>1</v>
      </c>
      <c r="C1036" s="2">
        <v>2</v>
      </c>
      <c r="D1036" s="2">
        <v>5</v>
      </c>
      <c r="E1036" s="2">
        <v>3</v>
      </c>
      <c r="F1036" s="1">
        <v>6.0945876989999999</v>
      </c>
      <c r="G1036" s="2">
        <v>56</v>
      </c>
      <c r="H1036" s="2">
        <v>97</v>
      </c>
      <c r="I1036" s="2">
        <v>83</v>
      </c>
      <c r="J1036" s="2">
        <v>2</v>
      </c>
      <c r="K1036" s="2">
        <v>0</v>
      </c>
      <c r="L103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36" t="str">
        <f>IF(Table1[[#This Row],[Experience Years]]&lt;=2,"Entry Level",IF(Table1[[#This Row],[Experience Years]]&lt;=7,"Mid Level",IF(Table1[[#This Row],[Experience Years]]&lt;=15,"Senior Level")))</f>
        <v>Mid Level</v>
      </c>
      <c r="N1036" s="1">
        <f>AVERAGE(Table1[[#This Row],[Interview Score]:[Personality Score]])</f>
        <v>78.666666666666671</v>
      </c>
      <c r="O10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36" s="2" t="str">
        <f t="shared" si="16"/>
        <v>0-10</v>
      </c>
    </row>
    <row r="1037" spans="1:16" x14ac:dyDescent="0.25">
      <c r="A1037">
        <v>28</v>
      </c>
      <c r="B1037" s="2">
        <v>1</v>
      </c>
      <c r="C1037" s="2">
        <v>2</v>
      </c>
      <c r="D1037" s="2">
        <v>14</v>
      </c>
      <c r="E1037" s="2">
        <v>1</v>
      </c>
      <c r="F1037" s="1">
        <v>1.7960133629999999</v>
      </c>
      <c r="G1037" s="2">
        <v>61</v>
      </c>
      <c r="H1037" s="2">
        <v>74</v>
      </c>
      <c r="I1037" s="2">
        <v>82</v>
      </c>
      <c r="J1037" s="2">
        <v>2</v>
      </c>
      <c r="K1037" s="2">
        <v>0</v>
      </c>
      <c r="L103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37" t="str">
        <f>IF(Table1[[#This Row],[Experience Years]]&lt;=2,"Entry Level",IF(Table1[[#This Row],[Experience Years]]&lt;=7,"Mid Level",IF(Table1[[#This Row],[Experience Years]]&lt;=15,"Senior Level")))</f>
        <v>Senior Level</v>
      </c>
      <c r="N1037" s="1">
        <f>AVERAGE(Table1[[#This Row],[Interview Score]:[Personality Score]])</f>
        <v>72.333333333333329</v>
      </c>
      <c r="O10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37" s="2" t="str">
        <f t="shared" si="16"/>
        <v>0-10</v>
      </c>
    </row>
    <row r="1038" spans="1:16" x14ac:dyDescent="0.25">
      <c r="A1038">
        <v>33</v>
      </c>
      <c r="B1038" s="2">
        <v>0</v>
      </c>
      <c r="C1038" s="2">
        <v>1</v>
      </c>
      <c r="D1038" s="2">
        <v>7</v>
      </c>
      <c r="E1038" s="2">
        <v>1</v>
      </c>
      <c r="F1038" s="1">
        <v>31.809148260000001</v>
      </c>
      <c r="G1038" s="2">
        <v>81</v>
      </c>
      <c r="H1038" s="2">
        <v>33</v>
      </c>
      <c r="I1038" s="2">
        <v>41</v>
      </c>
      <c r="J1038" s="2">
        <v>2</v>
      </c>
      <c r="K1038" s="2">
        <v>0</v>
      </c>
      <c r="L103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38" s="2" t="str">
        <f>IF(Table1[[#This Row],[Experience Years]]&lt;=2,"Entry Level",IF(Table1[[#This Row],[Experience Years]]&lt;=7,"Mid Level",IF(Table1[[#This Row],[Experience Years]]&lt;=15,"Senior Level")))</f>
        <v>Mid Level</v>
      </c>
      <c r="N1038" s="1">
        <f>AVERAGE(Table1[[#This Row],[Interview Score]:[Personality Score]])</f>
        <v>51.666666666666664</v>
      </c>
      <c r="O10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38" s="2" t="str">
        <f t="shared" si="16"/>
        <v>30-40</v>
      </c>
    </row>
    <row r="1039" spans="1:16" x14ac:dyDescent="0.25">
      <c r="A1039">
        <v>20</v>
      </c>
      <c r="B1039" s="2">
        <v>1</v>
      </c>
      <c r="C1039" s="2">
        <v>3</v>
      </c>
      <c r="D1039" s="2">
        <v>14</v>
      </c>
      <c r="E1039" s="2">
        <v>3</v>
      </c>
      <c r="F1039" s="1">
        <v>49.041470850000003</v>
      </c>
      <c r="G1039" s="2">
        <v>70</v>
      </c>
      <c r="H1039" s="2">
        <v>32</v>
      </c>
      <c r="I1039" s="2">
        <v>90</v>
      </c>
      <c r="J1039" s="2">
        <v>2</v>
      </c>
      <c r="K1039" s="2">
        <v>0</v>
      </c>
      <c r="L103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39" t="str">
        <f>IF(Table1[[#This Row],[Experience Years]]&lt;=2,"Entry Level",IF(Table1[[#This Row],[Experience Years]]&lt;=7,"Mid Level",IF(Table1[[#This Row],[Experience Years]]&lt;=15,"Senior Level")))</f>
        <v>Senior Level</v>
      </c>
      <c r="N1039" s="1">
        <f>AVERAGE(Table1[[#This Row],[Interview Score]:[Personality Score]])</f>
        <v>64</v>
      </c>
      <c r="O10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39" s="2" t="str">
        <f t="shared" si="16"/>
        <v>40-50</v>
      </c>
    </row>
    <row r="1040" spans="1:16" x14ac:dyDescent="0.25">
      <c r="A1040">
        <v>38</v>
      </c>
      <c r="B1040" s="2">
        <v>1</v>
      </c>
      <c r="C1040" s="2">
        <v>2</v>
      </c>
      <c r="D1040" s="2">
        <v>7</v>
      </c>
      <c r="E1040" s="2">
        <v>2</v>
      </c>
      <c r="F1040" s="1">
        <v>46.143401169999997</v>
      </c>
      <c r="G1040" s="2">
        <v>89</v>
      </c>
      <c r="H1040" s="2">
        <v>25</v>
      </c>
      <c r="I1040" s="2">
        <v>56</v>
      </c>
      <c r="J1040" s="2">
        <v>2</v>
      </c>
      <c r="K1040" s="2">
        <v>0</v>
      </c>
      <c r="L104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40" t="str">
        <f>IF(Table1[[#This Row],[Experience Years]]&lt;=2,"Entry Level",IF(Table1[[#This Row],[Experience Years]]&lt;=7,"Mid Level",IF(Table1[[#This Row],[Experience Years]]&lt;=15,"Senior Level")))</f>
        <v>Mid Level</v>
      </c>
      <c r="N1040" s="1">
        <f>AVERAGE(Table1[[#This Row],[Interview Score]:[Personality Score]])</f>
        <v>56.666666666666664</v>
      </c>
      <c r="O10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40" s="2" t="str">
        <f t="shared" si="16"/>
        <v>40-50</v>
      </c>
    </row>
    <row r="1041" spans="1:16" x14ac:dyDescent="0.25">
      <c r="A1041">
        <v>32</v>
      </c>
      <c r="B1041" s="2">
        <v>0</v>
      </c>
      <c r="C1041" s="2">
        <v>2</v>
      </c>
      <c r="D1041" s="2">
        <v>6</v>
      </c>
      <c r="E1041" s="2">
        <v>4</v>
      </c>
      <c r="F1041" s="1">
        <v>35.837740750000002</v>
      </c>
      <c r="G1041" s="2">
        <v>71</v>
      </c>
      <c r="H1041" s="2">
        <v>65</v>
      </c>
      <c r="I1041" s="2">
        <v>97</v>
      </c>
      <c r="J1041" s="2">
        <v>1</v>
      </c>
      <c r="K1041" s="2">
        <v>1</v>
      </c>
      <c r="L104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41" s="2" t="str">
        <f>IF(Table1[[#This Row],[Experience Years]]&lt;=2,"Entry Level",IF(Table1[[#This Row],[Experience Years]]&lt;=7,"Mid Level",IF(Table1[[#This Row],[Experience Years]]&lt;=15,"Senior Level")))</f>
        <v>Mid Level</v>
      </c>
      <c r="N1041" s="1">
        <f>AVERAGE(Table1[[#This Row],[Interview Score]:[Personality Score]])</f>
        <v>77.666666666666671</v>
      </c>
      <c r="O10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41" s="2" t="str">
        <f t="shared" si="16"/>
        <v>30-40</v>
      </c>
    </row>
    <row r="1042" spans="1:16" x14ac:dyDescent="0.25">
      <c r="A1042">
        <v>32</v>
      </c>
      <c r="B1042" s="2">
        <v>1</v>
      </c>
      <c r="C1042" s="2">
        <v>3</v>
      </c>
      <c r="D1042" s="2">
        <v>5</v>
      </c>
      <c r="E1042" s="2">
        <v>4</v>
      </c>
      <c r="F1042" s="1">
        <v>5.8320292079999998</v>
      </c>
      <c r="G1042" s="2">
        <v>69</v>
      </c>
      <c r="H1042" s="2">
        <v>62</v>
      </c>
      <c r="I1042" s="2">
        <v>67</v>
      </c>
      <c r="J1042" s="2">
        <v>2</v>
      </c>
      <c r="K1042" s="2">
        <v>0</v>
      </c>
      <c r="L104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42" t="str">
        <f>IF(Table1[[#This Row],[Experience Years]]&lt;=2,"Entry Level",IF(Table1[[#This Row],[Experience Years]]&lt;=7,"Mid Level",IF(Table1[[#This Row],[Experience Years]]&lt;=15,"Senior Level")))</f>
        <v>Mid Level</v>
      </c>
      <c r="N1042" s="1">
        <f>AVERAGE(Table1[[#This Row],[Interview Score]:[Personality Score]])</f>
        <v>66</v>
      </c>
      <c r="O10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42" s="2" t="str">
        <f t="shared" si="16"/>
        <v>0-10</v>
      </c>
    </row>
    <row r="1043" spans="1:16" x14ac:dyDescent="0.25">
      <c r="A1043">
        <v>23</v>
      </c>
      <c r="B1043" s="2">
        <v>0</v>
      </c>
      <c r="C1043" s="2">
        <v>2</v>
      </c>
      <c r="D1043" s="2">
        <v>1</v>
      </c>
      <c r="E1043" s="2">
        <v>3</v>
      </c>
      <c r="F1043" s="1">
        <v>14.708201880000001</v>
      </c>
      <c r="G1043" s="2">
        <v>29</v>
      </c>
      <c r="H1043" s="2">
        <v>86</v>
      </c>
      <c r="I1043" s="2">
        <v>37</v>
      </c>
      <c r="J1043" s="2">
        <v>2</v>
      </c>
      <c r="K1043" s="2">
        <v>0</v>
      </c>
      <c r="L104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43" s="2" t="str">
        <f>IF(Table1[[#This Row],[Experience Years]]&lt;=2,"Entry Level",IF(Table1[[#This Row],[Experience Years]]&lt;=7,"Mid Level",IF(Table1[[#This Row],[Experience Years]]&lt;=15,"Senior Level")))</f>
        <v>Entry Level</v>
      </c>
      <c r="N1043" s="1">
        <f>AVERAGE(Table1[[#This Row],[Interview Score]:[Personality Score]])</f>
        <v>50.666666666666664</v>
      </c>
      <c r="O10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43" s="2" t="str">
        <f t="shared" si="16"/>
        <v>10-20</v>
      </c>
    </row>
    <row r="1044" spans="1:16" x14ac:dyDescent="0.25">
      <c r="A1044">
        <v>49</v>
      </c>
      <c r="B1044" s="2">
        <v>1</v>
      </c>
      <c r="C1044" s="2">
        <v>2</v>
      </c>
      <c r="D1044" s="2">
        <v>14</v>
      </c>
      <c r="E1044" s="2">
        <v>2</v>
      </c>
      <c r="F1044" s="1">
        <v>17.002836340000002</v>
      </c>
      <c r="G1044" s="2">
        <v>22</v>
      </c>
      <c r="H1044" s="2">
        <v>40</v>
      </c>
      <c r="I1044" s="2">
        <v>61</v>
      </c>
      <c r="J1044" s="2">
        <v>1</v>
      </c>
      <c r="K1044" s="2">
        <v>1</v>
      </c>
      <c r="L104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44" t="str">
        <f>IF(Table1[[#This Row],[Experience Years]]&lt;=2,"Entry Level",IF(Table1[[#This Row],[Experience Years]]&lt;=7,"Mid Level",IF(Table1[[#This Row],[Experience Years]]&lt;=15,"Senior Level")))</f>
        <v>Senior Level</v>
      </c>
      <c r="N1044" s="1">
        <f>AVERAGE(Table1[[#This Row],[Interview Score]:[Personality Score]])</f>
        <v>41</v>
      </c>
      <c r="O10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44" s="2" t="str">
        <f t="shared" si="16"/>
        <v>10-20</v>
      </c>
    </row>
    <row r="1045" spans="1:16" x14ac:dyDescent="0.25">
      <c r="A1045">
        <v>20</v>
      </c>
      <c r="B1045" s="2">
        <v>0</v>
      </c>
      <c r="C1045" s="2">
        <v>1</v>
      </c>
      <c r="D1045" s="2">
        <v>6</v>
      </c>
      <c r="E1045" s="2">
        <v>1</v>
      </c>
      <c r="F1045" s="1">
        <v>39.157502890000004</v>
      </c>
      <c r="G1045" s="2">
        <v>31</v>
      </c>
      <c r="H1045" s="2">
        <v>85</v>
      </c>
      <c r="I1045" s="2">
        <v>6</v>
      </c>
      <c r="J1045" s="2">
        <v>2</v>
      </c>
      <c r="K1045" s="2">
        <v>0</v>
      </c>
      <c r="L104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45" s="2" t="str">
        <f>IF(Table1[[#This Row],[Experience Years]]&lt;=2,"Entry Level",IF(Table1[[#This Row],[Experience Years]]&lt;=7,"Mid Level",IF(Table1[[#This Row],[Experience Years]]&lt;=15,"Senior Level")))</f>
        <v>Mid Level</v>
      </c>
      <c r="N1045" s="1">
        <f>AVERAGE(Table1[[#This Row],[Interview Score]:[Personality Score]])</f>
        <v>40.666666666666664</v>
      </c>
      <c r="O10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45" s="2" t="str">
        <f t="shared" si="16"/>
        <v>30-40</v>
      </c>
    </row>
    <row r="1046" spans="1:16" x14ac:dyDescent="0.25">
      <c r="A1046">
        <v>36</v>
      </c>
      <c r="B1046" s="2">
        <v>0</v>
      </c>
      <c r="C1046" s="2">
        <v>2</v>
      </c>
      <c r="D1046" s="2">
        <v>10</v>
      </c>
      <c r="E1046" s="2">
        <v>5</v>
      </c>
      <c r="F1046" s="1">
        <v>41.112458959999998</v>
      </c>
      <c r="G1046" s="2">
        <v>85</v>
      </c>
      <c r="H1046" s="2">
        <v>57</v>
      </c>
      <c r="I1046" s="2">
        <v>70</v>
      </c>
      <c r="J1046" s="2">
        <v>2</v>
      </c>
      <c r="K1046" s="2">
        <v>1</v>
      </c>
      <c r="L104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46" s="2" t="str">
        <f>IF(Table1[[#This Row],[Experience Years]]&lt;=2,"Entry Level",IF(Table1[[#This Row],[Experience Years]]&lt;=7,"Mid Level",IF(Table1[[#This Row],[Experience Years]]&lt;=15,"Senior Level")))</f>
        <v>Senior Level</v>
      </c>
      <c r="N1046" s="1">
        <f>AVERAGE(Table1[[#This Row],[Interview Score]:[Personality Score]])</f>
        <v>70.666666666666671</v>
      </c>
      <c r="O10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46" s="2" t="str">
        <f t="shared" si="16"/>
        <v>40-50</v>
      </c>
    </row>
    <row r="1047" spans="1:16" x14ac:dyDescent="0.25">
      <c r="A1047">
        <v>27</v>
      </c>
      <c r="B1047" s="2">
        <v>0</v>
      </c>
      <c r="C1047" s="2">
        <v>1</v>
      </c>
      <c r="D1047" s="2">
        <v>11</v>
      </c>
      <c r="E1047" s="2">
        <v>5</v>
      </c>
      <c r="F1047" s="1">
        <v>20.255306149999999</v>
      </c>
      <c r="G1047" s="2">
        <v>56</v>
      </c>
      <c r="H1047" s="2">
        <v>97</v>
      </c>
      <c r="I1047" s="2">
        <v>49</v>
      </c>
      <c r="J1047" s="2">
        <v>2</v>
      </c>
      <c r="K1047" s="2">
        <v>0</v>
      </c>
      <c r="L104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47" s="2" t="str">
        <f>IF(Table1[[#This Row],[Experience Years]]&lt;=2,"Entry Level",IF(Table1[[#This Row],[Experience Years]]&lt;=7,"Mid Level",IF(Table1[[#This Row],[Experience Years]]&lt;=15,"Senior Level")))</f>
        <v>Senior Level</v>
      </c>
      <c r="N1047" s="1">
        <f>AVERAGE(Table1[[#This Row],[Interview Score]:[Personality Score]])</f>
        <v>67.333333333333329</v>
      </c>
      <c r="O10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47" s="2" t="str">
        <f t="shared" si="16"/>
        <v>20-30</v>
      </c>
    </row>
    <row r="1048" spans="1:16" x14ac:dyDescent="0.25">
      <c r="A1048">
        <v>21</v>
      </c>
      <c r="B1048" s="2">
        <v>0</v>
      </c>
      <c r="C1048" s="2">
        <v>2</v>
      </c>
      <c r="D1048" s="2">
        <v>13</v>
      </c>
      <c r="E1048" s="2">
        <v>3</v>
      </c>
      <c r="F1048" s="1">
        <v>21.894199830000002</v>
      </c>
      <c r="G1048" s="2">
        <v>8</v>
      </c>
      <c r="H1048" s="2">
        <v>78</v>
      </c>
      <c r="I1048" s="2">
        <v>51</v>
      </c>
      <c r="J1048" s="2">
        <v>2</v>
      </c>
      <c r="K1048" s="2">
        <v>0</v>
      </c>
      <c r="L104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48" s="2" t="str">
        <f>IF(Table1[[#This Row],[Experience Years]]&lt;=2,"Entry Level",IF(Table1[[#This Row],[Experience Years]]&lt;=7,"Mid Level",IF(Table1[[#This Row],[Experience Years]]&lt;=15,"Senior Level")))</f>
        <v>Senior Level</v>
      </c>
      <c r="N1048" s="1">
        <f>AVERAGE(Table1[[#This Row],[Interview Score]:[Personality Score]])</f>
        <v>45.666666666666664</v>
      </c>
      <c r="O10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48" s="2" t="str">
        <f t="shared" si="16"/>
        <v>20-30</v>
      </c>
    </row>
    <row r="1049" spans="1:16" x14ac:dyDescent="0.25">
      <c r="A1049">
        <v>47</v>
      </c>
      <c r="B1049" s="2">
        <v>1</v>
      </c>
      <c r="C1049" s="2">
        <v>3</v>
      </c>
      <c r="D1049" s="2">
        <v>15</v>
      </c>
      <c r="E1049" s="2">
        <v>2</v>
      </c>
      <c r="F1049" s="1">
        <v>3.2254519639999999</v>
      </c>
      <c r="G1049" s="2">
        <v>30</v>
      </c>
      <c r="H1049" s="2">
        <v>9</v>
      </c>
      <c r="I1049" s="2">
        <v>25</v>
      </c>
      <c r="J1049" s="2">
        <v>2</v>
      </c>
      <c r="K1049" s="2">
        <v>0</v>
      </c>
      <c r="L104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49" t="str">
        <f>IF(Table1[[#This Row],[Experience Years]]&lt;=2,"Entry Level",IF(Table1[[#This Row],[Experience Years]]&lt;=7,"Mid Level",IF(Table1[[#This Row],[Experience Years]]&lt;=15,"Senior Level")))</f>
        <v>Senior Level</v>
      </c>
      <c r="N1049" s="1">
        <f>AVERAGE(Table1[[#This Row],[Interview Score]:[Personality Score]])</f>
        <v>21.333333333333332</v>
      </c>
      <c r="O10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49" s="2" t="str">
        <f t="shared" si="16"/>
        <v>0-10</v>
      </c>
    </row>
    <row r="1050" spans="1:16" x14ac:dyDescent="0.25">
      <c r="A1050">
        <v>50</v>
      </c>
      <c r="B1050" s="2">
        <v>0</v>
      </c>
      <c r="C1050" s="2">
        <v>2</v>
      </c>
      <c r="D1050" s="2">
        <v>13</v>
      </c>
      <c r="E1050" s="2">
        <v>2</v>
      </c>
      <c r="F1050" s="1">
        <v>15.45683592</v>
      </c>
      <c r="G1050" s="2">
        <v>70</v>
      </c>
      <c r="H1050" s="2">
        <v>14</v>
      </c>
      <c r="I1050" s="2">
        <v>25</v>
      </c>
      <c r="J1050" s="2">
        <v>2</v>
      </c>
      <c r="K1050" s="2">
        <v>0</v>
      </c>
      <c r="L105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50" s="2" t="str">
        <f>IF(Table1[[#This Row],[Experience Years]]&lt;=2,"Entry Level",IF(Table1[[#This Row],[Experience Years]]&lt;=7,"Mid Level",IF(Table1[[#This Row],[Experience Years]]&lt;=15,"Senior Level")))</f>
        <v>Senior Level</v>
      </c>
      <c r="N1050" s="1">
        <f>AVERAGE(Table1[[#This Row],[Interview Score]:[Personality Score]])</f>
        <v>36.333333333333336</v>
      </c>
      <c r="O10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50" s="2" t="str">
        <f t="shared" si="16"/>
        <v>10-20</v>
      </c>
    </row>
    <row r="1051" spans="1:16" x14ac:dyDescent="0.25">
      <c r="A1051">
        <v>27</v>
      </c>
      <c r="B1051" s="2">
        <v>1</v>
      </c>
      <c r="C1051" s="2">
        <v>2</v>
      </c>
      <c r="D1051" s="2">
        <v>4</v>
      </c>
      <c r="E1051" s="2">
        <v>4</v>
      </c>
      <c r="F1051" s="1">
        <v>23.564258859999999</v>
      </c>
      <c r="G1051" s="2">
        <v>8</v>
      </c>
      <c r="H1051" s="2">
        <v>41</v>
      </c>
      <c r="I1051" s="2">
        <v>18</v>
      </c>
      <c r="J1051" s="2">
        <v>3</v>
      </c>
      <c r="K1051" s="2">
        <v>0</v>
      </c>
      <c r="L105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51" t="str">
        <f>IF(Table1[[#This Row],[Experience Years]]&lt;=2,"Entry Level",IF(Table1[[#This Row],[Experience Years]]&lt;=7,"Mid Level",IF(Table1[[#This Row],[Experience Years]]&lt;=15,"Senior Level")))</f>
        <v>Mid Level</v>
      </c>
      <c r="N1051" s="1">
        <f>AVERAGE(Table1[[#This Row],[Interview Score]:[Personality Score]])</f>
        <v>22.333333333333332</v>
      </c>
      <c r="O10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51" s="2" t="str">
        <f t="shared" si="16"/>
        <v>20-30</v>
      </c>
    </row>
    <row r="1052" spans="1:16" x14ac:dyDescent="0.25">
      <c r="A1052">
        <v>26</v>
      </c>
      <c r="B1052" s="2">
        <v>0</v>
      </c>
      <c r="C1052" s="2">
        <v>1</v>
      </c>
      <c r="D1052" s="2">
        <v>15</v>
      </c>
      <c r="E1052" s="2">
        <v>1</v>
      </c>
      <c r="F1052" s="1">
        <v>6.8491523189999999</v>
      </c>
      <c r="G1052" s="2">
        <v>12</v>
      </c>
      <c r="H1052" s="2">
        <v>92</v>
      </c>
      <c r="I1052" s="2">
        <v>8</v>
      </c>
      <c r="J1052" s="2">
        <v>1</v>
      </c>
      <c r="K1052" s="2">
        <v>1</v>
      </c>
      <c r="L105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52" s="2" t="str">
        <f>IF(Table1[[#This Row],[Experience Years]]&lt;=2,"Entry Level",IF(Table1[[#This Row],[Experience Years]]&lt;=7,"Mid Level",IF(Table1[[#This Row],[Experience Years]]&lt;=15,"Senior Level")))</f>
        <v>Senior Level</v>
      </c>
      <c r="N1052" s="1">
        <f>AVERAGE(Table1[[#This Row],[Interview Score]:[Personality Score]])</f>
        <v>37.333333333333336</v>
      </c>
      <c r="O10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52" s="2" t="str">
        <f t="shared" si="16"/>
        <v>0-10</v>
      </c>
    </row>
    <row r="1053" spans="1:16" x14ac:dyDescent="0.25">
      <c r="A1053">
        <v>45</v>
      </c>
      <c r="B1053" s="2">
        <v>0</v>
      </c>
      <c r="C1053" s="2">
        <v>2</v>
      </c>
      <c r="D1053" s="2">
        <v>5</v>
      </c>
      <c r="E1053" s="2">
        <v>2</v>
      </c>
      <c r="F1053" s="1">
        <v>23.66337304</v>
      </c>
      <c r="G1053" s="2">
        <v>57</v>
      </c>
      <c r="H1053" s="2">
        <v>56</v>
      </c>
      <c r="I1053" s="2">
        <v>60</v>
      </c>
      <c r="J1053" s="2">
        <v>3</v>
      </c>
      <c r="K1053" s="2">
        <v>0</v>
      </c>
      <c r="L105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53" s="2" t="str">
        <f>IF(Table1[[#This Row],[Experience Years]]&lt;=2,"Entry Level",IF(Table1[[#This Row],[Experience Years]]&lt;=7,"Mid Level",IF(Table1[[#This Row],[Experience Years]]&lt;=15,"Senior Level")))</f>
        <v>Mid Level</v>
      </c>
      <c r="N1053" s="1">
        <f>AVERAGE(Table1[[#This Row],[Interview Score]:[Personality Score]])</f>
        <v>57.666666666666664</v>
      </c>
      <c r="O10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53" s="2" t="str">
        <f t="shared" si="16"/>
        <v>20-30</v>
      </c>
    </row>
    <row r="1054" spans="1:16" x14ac:dyDescent="0.25">
      <c r="A1054">
        <v>45</v>
      </c>
      <c r="B1054" s="2">
        <v>0</v>
      </c>
      <c r="C1054" s="2">
        <v>2</v>
      </c>
      <c r="D1054" s="2">
        <v>9</v>
      </c>
      <c r="E1054" s="2">
        <v>5</v>
      </c>
      <c r="F1054" s="1">
        <v>43.658790609999997</v>
      </c>
      <c r="G1054" s="2">
        <v>2</v>
      </c>
      <c r="H1054" s="2">
        <v>86</v>
      </c>
      <c r="I1054" s="2">
        <v>19</v>
      </c>
      <c r="J1054" s="2">
        <v>2</v>
      </c>
      <c r="K1054" s="2">
        <v>0</v>
      </c>
      <c r="L105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54" s="2" t="str">
        <f>IF(Table1[[#This Row],[Experience Years]]&lt;=2,"Entry Level",IF(Table1[[#This Row],[Experience Years]]&lt;=7,"Mid Level",IF(Table1[[#This Row],[Experience Years]]&lt;=15,"Senior Level")))</f>
        <v>Senior Level</v>
      </c>
      <c r="N1054" s="1">
        <f>AVERAGE(Table1[[#This Row],[Interview Score]:[Personality Score]])</f>
        <v>35.666666666666664</v>
      </c>
      <c r="O10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54" s="2" t="str">
        <f t="shared" si="16"/>
        <v>40-50</v>
      </c>
    </row>
    <row r="1055" spans="1:16" x14ac:dyDescent="0.25">
      <c r="A1055">
        <v>21</v>
      </c>
      <c r="B1055" s="2">
        <v>1</v>
      </c>
      <c r="C1055" s="2">
        <v>3</v>
      </c>
      <c r="D1055" s="2">
        <v>7</v>
      </c>
      <c r="E1055" s="2">
        <v>1</v>
      </c>
      <c r="F1055" s="1">
        <v>30.066050990000001</v>
      </c>
      <c r="G1055" s="2">
        <v>34</v>
      </c>
      <c r="H1055" s="2">
        <v>16</v>
      </c>
      <c r="I1055" s="2">
        <v>49</v>
      </c>
      <c r="J1055" s="2">
        <v>1</v>
      </c>
      <c r="K1055" s="2">
        <v>1</v>
      </c>
      <c r="L105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55" t="str">
        <f>IF(Table1[[#This Row],[Experience Years]]&lt;=2,"Entry Level",IF(Table1[[#This Row],[Experience Years]]&lt;=7,"Mid Level",IF(Table1[[#This Row],[Experience Years]]&lt;=15,"Senior Level")))</f>
        <v>Mid Level</v>
      </c>
      <c r="N1055" s="1">
        <f>AVERAGE(Table1[[#This Row],[Interview Score]:[Personality Score]])</f>
        <v>33</v>
      </c>
      <c r="O10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55" s="2" t="str">
        <f t="shared" si="16"/>
        <v>30-40</v>
      </c>
    </row>
    <row r="1056" spans="1:16" x14ac:dyDescent="0.25">
      <c r="A1056">
        <v>41</v>
      </c>
      <c r="B1056" s="2">
        <v>0</v>
      </c>
      <c r="C1056" s="2">
        <v>1</v>
      </c>
      <c r="D1056" s="2">
        <v>15</v>
      </c>
      <c r="E1056" s="2">
        <v>1</v>
      </c>
      <c r="F1056" s="1">
        <v>4.9464927520000002</v>
      </c>
      <c r="G1056" s="2">
        <v>96</v>
      </c>
      <c r="H1056" s="2">
        <v>59</v>
      </c>
      <c r="I1056" s="2">
        <v>79</v>
      </c>
      <c r="J1056" s="2">
        <v>1</v>
      </c>
      <c r="K1056" s="2">
        <v>1</v>
      </c>
      <c r="L105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56" s="2" t="str">
        <f>IF(Table1[[#This Row],[Experience Years]]&lt;=2,"Entry Level",IF(Table1[[#This Row],[Experience Years]]&lt;=7,"Mid Level",IF(Table1[[#This Row],[Experience Years]]&lt;=15,"Senior Level")))</f>
        <v>Senior Level</v>
      </c>
      <c r="N1056" s="1">
        <f>AVERAGE(Table1[[#This Row],[Interview Score]:[Personality Score]])</f>
        <v>78</v>
      </c>
      <c r="O10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56" s="2" t="str">
        <f t="shared" si="16"/>
        <v>0-10</v>
      </c>
    </row>
    <row r="1057" spans="1:16" x14ac:dyDescent="0.25">
      <c r="A1057">
        <v>41</v>
      </c>
      <c r="B1057" s="2">
        <v>1</v>
      </c>
      <c r="C1057" s="2">
        <v>3</v>
      </c>
      <c r="D1057" s="2">
        <v>13</v>
      </c>
      <c r="E1057" s="2">
        <v>3</v>
      </c>
      <c r="F1057" s="1">
        <v>10.58356594</v>
      </c>
      <c r="G1057" s="2">
        <v>20</v>
      </c>
      <c r="H1057" s="2">
        <v>8</v>
      </c>
      <c r="I1057" s="2">
        <v>80</v>
      </c>
      <c r="J1057" s="2">
        <v>2</v>
      </c>
      <c r="K1057" s="2">
        <v>0</v>
      </c>
      <c r="L105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57" t="str">
        <f>IF(Table1[[#This Row],[Experience Years]]&lt;=2,"Entry Level",IF(Table1[[#This Row],[Experience Years]]&lt;=7,"Mid Level",IF(Table1[[#This Row],[Experience Years]]&lt;=15,"Senior Level")))</f>
        <v>Senior Level</v>
      </c>
      <c r="N1057" s="1">
        <f>AVERAGE(Table1[[#This Row],[Interview Score]:[Personality Score]])</f>
        <v>36</v>
      </c>
      <c r="O10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57" s="2" t="str">
        <f t="shared" si="16"/>
        <v>10-20</v>
      </c>
    </row>
    <row r="1058" spans="1:16" x14ac:dyDescent="0.25">
      <c r="A1058">
        <v>22</v>
      </c>
      <c r="B1058" s="2">
        <v>1</v>
      </c>
      <c r="C1058" s="2">
        <v>3</v>
      </c>
      <c r="D1058" s="2">
        <v>7</v>
      </c>
      <c r="E1058" s="2">
        <v>2</v>
      </c>
      <c r="F1058" s="1">
        <v>24.727217509999999</v>
      </c>
      <c r="G1058" s="2">
        <v>63</v>
      </c>
      <c r="H1058" s="2">
        <v>35</v>
      </c>
      <c r="I1058" s="2">
        <v>21</v>
      </c>
      <c r="J1058" s="2">
        <v>2</v>
      </c>
      <c r="K1058" s="2">
        <v>0</v>
      </c>
      <c r="L105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58" t="str">
        <f>IF(Table1[[#This Row],[Experience Years]]&lt;=2,"Entry Level",IF(Table1[[#This Row],[Experience Years]]&lt;=7,"Mid Level",IF(Table1[[#This Row],[Experience Years]]&lt;=15,"Senior Level")))</f>
        <v>Mid Level</v>
      </c>
      <c r="N1058" s="1">
        <f>AVERAGE(Table1[[#This Row],[Interview Score]:[Personality Score]])</f>
        <v>39.666666666666664</v>
      </c>
      <c r="O10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58" s="2" t="str">
        <f t="shared" si="16"/>
        <v>20-30</v>
      </c>
    </row>
    <row r="1059" spans="1:16" x14ac:dyDescent="0.25">
      <c r="A1059">
        <v>46</v>
      </c>
      <c r="B1059" s="2">
        <v>1</v>
      </c>
      <c r="C1059" s="2">
        <v>2</v>
      </c>
      <c r="D1059" s="2">
        <v>2</v>
      </c>
      <c r="E1059" s="2">
        <v>3</v>
      </c>
      <c r="F1059" s="1">
        <v>19.074357490000001</v>
      </c>
      <c r="G1059" s="2">
        <v>94</v>
      </c>
      <c r="H1059" s="2">
        <v>72</v>
      </c>
      <c r="I1059" s="2">
        <v>12</v>
      </c>
      <c r="J1059" s="2">
        <v>1</v>
      </c>
      <c r="K1059" s="2">
        <v>1</v>
      </c>
      <c r="L105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59" t="str">
        <f>IF(Table1[[#This Row],[Experience Years]]&lt;=2,"Entry Level",IF(Table1[[#This Row],[Experience Years]]&lt;=7,"Mid Level",IF(Table1[[#This Row],[Experience Years]]&lt;=15,"Senior Level")))</f>
        <v>Entry Level</v>
      </c>
      <c r="N1059" s="1">
        <f>AVERAGE(Table1[[#This Row],[Interview Score]:[Personality Score]])</f>
        <v>59.333333333333336</v>
      </c>
      <c r="O10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59" s="2" t="str">
        <f t="shared" si="16"/>
        <v>10-20</v>
      </c>
    </row>
    <row r="1060" spans="1:16" x14ac:dyDescent="0.25">
      <c r="A1060">
        <v>37</v>
      </c>
      <c r="B1060" s="2">
        <v>1</v>
      </c>
      <c r="C1060" s="2">
        <v>3</v>
      </c>
      <c r="D1060" s="2">
        <v>11</v>
      </c>
      <c r="E1060" s="2">
        <v>2</v>
      </c>
      <c r="F1060" s="1">
        <v>18.93635098</v>
      </c>
      <c r="G1060" s="2">
        <v>51</v>
      </c>
      <c r="H1060" s="2">
        <v>79</v>
      </c>
      <c r="I1060" s="2">
        <v>11</v>
      </c>
      <c r="J1060" s="2">
        <v>1</v>
      </c>
      <c r="K1060" s="2">
        <v>1</v>
      </c>
      <c r="L106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60" t="str">
        <f>IF(Table1[[#This Row],[Experience Years]]&lt;=2,"Entry Level",IF(Table1[[#This Row],[Experience Years]]&lt;=7,"Mid Level",IF(Table1[[#This Row],[Experience Years]]&lt;=15,"Senior Level")))</f>
        <v>Senior Level</v>
      </c>
      <c r="N1060" s="1">
        <f>AVERAGE(Table1[[#This Row],[Interview Score]:[Personality Score]])</f>
        <v>47</v>
      </c>
      <c r="O10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60" s="2" t="str">
        <f t="shared" si="16"/>
        <v>10-20</v>
      </c>
    </row>
    <row r="1061" spans="1:16" x14ac:dyDescent="0.25">
      <c r="A1061">
        <v>31</v>
      </c>
      <c r="B1061" s="2">
        <v>1</v>
      </c>
      <c r="C1061" s="2">
        <v>2</v>
      </c>
      <c r="D1061" s="2">
        <v>15</v>
      </c>
      <c r="E1061" s="2">
        <v>4</v>
      </c>
      <c r="F1061" s="1">
        <v>27.463372410000002</v>
      </c>
      <c r="G1061" s="2">
        <v>33</v>
      </c>
      <c r="H1061" s="2">
        <v>35</v>
      </c>
      <c r="I1061" s="2">
        <v>9</v>
      </c>
      <c r="J1061" s="2">
        <v>2</v>
      </c>
      <c r="K1061" s="2">
        <v>0</v>
      </c>
      <c r="L106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61" t="str">
        <f>IF(Table1[[#This Row],[Experience Years]]&lt;=2,"Entry Level",IF(Table1[[#This Row],[Experience Years]]&lt;=7,"Mid Level",IF(Table1[[#This Row],[Experience Years]]&lt;=15,"Senior Level")))</f>
        <v>Senior Level</v>
      </c>
      <c r="N1061" s="1">
        <f>AVERAGE(Table1[[#This Row],[Interview Score]:[Personality Score]])</f>
        <v>25.666666666666668</v>
      </c>
      <c r="O10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61" s="2" t="str">
        <f t="shared" si="16"/>
        <v>20-30</v>
      </c>
    </row>
    <row r="1062" spans="1:16" x14ac:dyDescent="0.25">
      <c r="A1062">
        <v>20</v>
      </c>
      <c r="B1062" s="2">
        <v>1</v>
      </c>
      <c r="C1062" s="2">
        <v>2</v>
      </c>
      <c r="D1062" s="2">
        <v>11</v>
      </c>
      <c r="E1062" s="2">
        <v>3</v>
      </c>
      <c r="F1062" s="1">
        <v>30.219796079999998</v>
      </c>
      <c r="G1062" s="2">
        <v>95</v>
      </c>
      <c r="H1062" s="2">
        <v>47</v>
      </c>
      <c r="I1062" s="2">
        <v>64</v>
      </c>
      <c r="J1062" s="2">
        <v>1</v>
      </c>
      <c r="K1062" s="2">
        <v>1</v>
      </c>
      <c r="L106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62" t="str">
        <f>IF(Table1[[#This Row],[Experience Years]]&lt;=2,"Entry Level",IF(Table1[[#This Row],[Experience Years]]&lt;=7,"Mid Level",IF(Table1[[#This Row],[Experience Years]]&lt;=15,"Senior Level")))</f>
        <v>Senior Level</v>
      </c>
      <c r="N1062" s="1">
        <f>AVERAGE(Table1[[#This Row],[Interview Score]:[Personality Score]])</f>
        <v>68.666666666666671</v>
      </c>
      <c r="O10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62" s="2" t="str">
        <f t="shared" si="16"/>
        <v>30-40</v>
      </c>
    </row>
    <row r="1063" spans="1:16" x14ac:dyDescent="0.25">
      <c r="A1063">
        <v>41</v>
      </c>
      <c r="B1063" s="2">
        <v>1</v>
      </c>
      <c r="C1063" s="2">
        <v>2</v>
      </c>
      <c r="D1063" s="2">
        <v>13</v>
      </c>
      <c r="E1063" s="2">
        <v>3</v>
      </c>
      <c r="F1063" s="1">
        <v>40.843078509999998</v>
      </c>
      <c r="G1063" s="2">
        <v>34</v>
      </c>
      <c r="H1063" s="2">
        <v>50</v>
      </c>
      <c r="I1063" s="2">
        <v>95</v>
      </c>
      <c r="J1063" s="2">
        <v>3</v>
      </c>
      <c r="K1063" s="2">
        <v>0</v>
      </c>
      <c r="L106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63" t="str">
        <f>IF(Table1[[#This Row],[Experience Years]]&lt;=2,"Entry Level",IF(Table1[[#This Row],[Experience Years]]&lt;=7,"Mid Level",IF(Table1[[#This Row],[Experience Years]]&lt;=15,"Senior Level")))</f>
        <v>Senior Level</v>
      </c>
      <c r="N1063" s="1">
        <f>AVERAGE(Table1[[#This Row],[Interview Score]:[Personality Score]])</f>
        <v>59.666666666666664</v>
      </c>
      <c r="O10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63" s="2" t="str">
        <f t="shared" si="16"/>
        <v>40-50</v>
      </c>
    </row>
    <row r="1064" spans="1:16" x14ac:dyDescent="0.25">
      <c r="A1064">
        <v>31</v>
      </c>
      <c r="B1064" s="2">
        <v>1</v>
      </c>
      <c r="C1064" s="2">
        <v>2</v>
      </c>
      <c r="D1064" s="2">
        <v>6</v>
      </c>
      <c r="E1064" s="2">
        <v>5</v>
      </c>
      <c r="F1064" s="1">
        <v>18.048328170000001</v>
      </c>
      <c r="G1064" s="2">
        <v>14</v>
      </c>
      <c r="H1064" s="2">
        <v>96</v>
      </c>
      <c r="I1064" s="2">
        <v>29</v>
      </c>
      <c r="J1064" s="2">
        <v>2</v>
      </c>
      <c r="K1064" s="2">
        <v>0</v>
      </c>
      <c r="L106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64" t="str">
        <f>IF(Table1[[#This Row],[Experience Years]]&lt;=2,"Entry Level",IF(Table1[[#This Row],[Experience Years]]&lt;=7,"Mid Level",IF(Table1[[#This Row],[Experience Years]]&lt;=15,"Senior Level")))</f>
        <v>Mid Level</v>
      </c>
      <c r="N1064" s="1">
        <f>AVERAGE(Table1[[#This Row],[Interview Score]:[Personality Score]])</f>
        <v>46.333333333333336</v>
      </c>
      <c r="O10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64" s="2" t="str">
        <f t="shared" si="16"/>
        <v>10-20</v>
      </c>
    </row>
    <row r="1065" spans="1:16" x14ac:dyDescent="0.25">
      <c r="A1065">
        <v>24</v>
      </c>
      <c r="B1065" s="2">
        <v>1</v>
      </c>
      <c r="C1065" s="2">
        <v>2</v>
      </c>
      <c r="D1065" s="2">
        <v>0</v>
      </c>
      <c r="E1065" s="2">
        <v>3</v>
      </c>
      <c r="F1065" s="1">
        <v>41.273314149999997</v>
      </c>
      <c r="G1065" s="2">
        <v>95</v>
      </c>
      <c r="H1065" s="2">
        <v>94</v>
      </c>
      <c r="I1065" s="2">
        <v>7</v>
      </c>
      <c r="J1065" s="2">
        <v>2</v>
      </c>
      <c r="K1065" s="2">
        <v>0</v>
      </c>
      <c r="L106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65" t="str">
        <f>IF(Table1[[#This Row],[Experience Years]]&lt;=2,"Entry Level",IF(Table1[[#This Row],[Experience Years]]&lt;=7,"Mid Level",IF(Table1[[#This Row],[Experience Years]]&lt;=15,"Senior Level")))</f>
        <v>Entry Level</v>
      </c>
      <c r="N1065" s="1">
        <f>AVERAGE(Table1[[#This Row],[Interview Score]:[Personality Score]])</f>
        <v>65.333333333333329</v>
      </c>
      <c r="O10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65" s="2" t="str">
        <f t="shared" si="16"/>
        <v>40-50</v>
      </c>
    </row>
    <row r="1066" spans="1:16" x14ac:dyDescent="0.25">
      <c r="A1066">
        <v>49</v>
      </c>
      <c r="B1066" s="2">
        <v>0</v>
      </c>
      <c r="C1066" s="2">
        <v>2</v>
      </c>
      <c r="D1066" s="2">
        <v>0</v>
      </c>
      <c r="E1066" s="2">
        <v>2</v>
      </c>
      <c r="F1066" s="1">
        <v>17.93056146</v>
      </c>
      <c r="G1066" s="2">
        <v>5</v>
      </c>
      <c r="H1066" s="2">
        <v>69</v>
      </c>
      <c r="I1066" s="2">
        <v>20</v>
      </c>
      <c r="J1066" s="2">
        <v>2</v>
      </c>
      <c r="K1066" s="2">
        <v>0</v>
      </c>
      <c r="L106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66" s="2" t="str">
        <f>IF(Table1[[#This Row],[Experience Years]]&lt;=2,"Entry Level",IF(Table1[[#This Row],[Experience Years]]&lt;=7,"Mid Level",IF(Table1[[#This Row],[Experience Years]]&lt;=15,"Senior Level")))</f>
        <v>Entry Level</v>
      </c>
      <c r="N1066" s="1">
        <f>AVERAGE(Table1[[#This Row],[Interview Score]:[Personality Score]])</f>
        <v>31.333333333333332</v>
      </c>
      <c r="O10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66" s="2" t="str">
        <f t="shared" si="16"/>
        <v>10-20</v>
      </c>
    </row>
    <row r="1067" spans="1:16" x14ac:dyDescent="0.25">
      <c r="A1067">
        <v>49</v>
      </c>
      <c r="B1067" s="2">
        <v>0</v>
      </c>
      <c r="C1067" s="2">
        <v>2</v>
      </c>
      <c r="D1067" s="2">
        <v>6</v>
      </c>
      <c r="E1067" s="2">
        <v>5</v>
      </c>
      <c r="F1067" s="1">
        <v>3.7716494470000002</v>
      </c>
      <c r="G1067" s="2">
        <v>84</v>
      </c>
      <c r="H1067" s="2">
        <v>73</v>
      </c>
      <c r="I1067" s="2">
        <v>21</v>
      </c>
      <c r="J1067" s="2">
        <v>1</v>
      </c>
      <c r="K1067" s="2">
        <v>1</v>
      </c>
      <c r="L106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67" s="2" t="str">
        <f>IF(Table1[[#This Row],[Experience Years]]&lt;=2,"Entry Level",IF(Table1[[#This Row],[Experience Years]]&lt;=7,"Mid Level",IF(Table1[[#This Row],[Experience Years]]&lt;=15,"Senior Level")))</f>
        <v>Mid Level</v>
      </c>
      <c r="N1067" s="1">
        <f>AVERAGE(Table1[[#This Row],[Interview Score]:[Personality Score]])</f>
        <v>59.333333333333336</v>
      </c>
      <c r="O10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67" s="2" t="str">
        <f t="shared" si="16"/>
        <v>0-10</v>
      </c>
    </row>
    <row r="1068" spans="1:16" x14ac:dyDescent="0.25">
      <c r="A1068">
        <v>46</v>
      </c>
      <c r="B1068" s="2">
        <v>0</v>
      </c>
      <c r="C1068" s="2">
        <v>2</v>
      </c>
      <c r="D1068" s="2">
        <v>14</v>
      </c>
      <c r="E1068" s="2">
        <v>3</v>
      </c>
      <c r="F1068" s="1">
        <v>28.709382550000001</v>
      </c>
      <c r="G1068" s="2">
        <v>96</v>
      </c>
      <c r="H1068" s="2">
        <v>79</v>
      </c>
      <c r="I1068" s="2">
        <v>17</v>
      </c>
      <c r="J1068" s="2">
        <v>3</v>
      </c>
      <c r="K1068" s="2">
        <v>0</v>
      </c>
      <c r="L106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68" s="2" t="str">
        <f>IF(Table1[[#This Row],[Experience Years]]&lt;=2,"Entry Level",IF(Table1[[#This Row],[Experience Years]]&lt;=7,"Mid Level",IF(Table1[[#This Row],[Experience Years]]&lt;=15,"Senior Level")))</f>
        <v>Senior Level</v>
      </c>
      <c r="N1068" s="1">
        <f>AVERAGE(Table1[[#This Row],[Interview Score]:[Personality Score]])</f>
        <v>64</v>
      </c>
      <c r="O10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68" s="2" t="str">
        <f t="shared" si="16"/>
        <v>20-30</v>
      </c>
    </row>
    <row r="1069" spans="1:16" x14ac:dyDescent="0.25">
      <c r="A1069">
        <v>44</v>
      </c>
      <c r="B1069" s="2">
        <v>0</v>
      </c>
      <c r="C1069" s="2">
        <v>1</v>
      </c>
      <c r="D1069" s="2">
        <v>14</v>
      </c>
      <c r="E1069" s="2">
        <v>3</v>
      </c>
      <c r="F1069" s="1">
        <v>30.39511624</v>
      </c>
      <c r="G1069" s="2">
        <v>31</v>
      </c>
      <c r="H1069" s="2">
        <v>67</v>
      </c>
      <c r="I1069" s="2">
        <v>65</v>
      </c>
      <c r="J1069" s="2">
        <v>1</v>
      </c>
      <c r="K1069" s="2">
        <v>1</v>
      </c>
      <c r="L106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69" s="2" t="str">
        <f>IF(Table1[[#This Row],[Experience Years]]&lt;=2,"Entry Level",IF(Table1[[#This Row],[Experience Years]]&lt;=7,"Mid Level",IF(Table1[[#This Row],[Experience Years]]&lt;=15,"Senior Level")))</f>
        <v>Senior Level</v>
      </c>
      <c r="N1069" s="1">
        <f>AVERAGE(Table1[[#This Row],[Interview Score]:[Personality Score]])</f>
        <v>54.333333333333336</v>
      </c>
      <c r="O10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69" s="2" t="str">
        <f t="shared" si="16"/>
        <v>30-40</v>
      </c>
    </row>
    <row r="1070" spans="1:16" x14ac:dyDescent="0.25">
      <c r="A1070">
        <v>36</v>
      </c>
      <c r="B1070" s="2">
        <v>0</v>
      </c>
      <c r="C1070" s="2">
        <v>4</v>
      </c>
      <c r="D1070" s="2">
        <v>9</v>
      </c>
      <c r="E1070" s="2">
        <v>4</v>
      </c>
      <c r="F1070" s="1">
        <v>47.727012279999997</v>
      </c>
      <c r="G1070" s="2">
        <v>51</v>
      </c>
      <c r="H1070" s="2">
        <v>21</v>
      </c>
      <c r="I1070" s="2">
        <v>47</v>
      </c>
      <c r="J1070" s="2">
        <v>2</v>
      </c>
      <c r="K1070" s="2">
        <v>0</v>
      </c>
      <c r="L107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70" s="2" t="str">
        <f>IF(Table1[[#This Row],[Experience Years]]&lt;=2,"Entry Level",IF(Table1[[#This Row],[Experience Years]]&lt;=7,"Mid Level",IF(Table1[[#This Row],[Experience Years]]&lt;=15,"Senior Level")))</f>
        <v>Senior Level</v>
      </c>
      <c r="N1070" s="1">
        <f>AVERAGE(Table1[[#This Row],[Interview Score]:[Personality Score]])</f>
        <v>39.666666666666664</v>
      </c>
      <c r="O10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70" s="2" t="str">
        <f t="shared" si="16"/>
        <v>40-50</v>
      </c>
    </row>
    <row r="1071" spans="1:16" x14ac:dyDescent="0.25">
      <c r="A1071">
        <v>35</v>
      </c>
      <c r="B1071" s="2">
        <v>1</v>
      </c>
      <c r="C1071" s="2">
        <v>3</v>
      </c>
      <c r="D1071" s="2">
        <v>8</v>
      </c>
      <c r="E1071" s="2">
        <v>3</v>
      </c>
      <c r="F1071" s="1">
        <v>37.303066299999998</v>
      </c>
      <c r="G1071" s="2">
        <v>82</v>
      </c>
      <c r="H1071" s="2">
        <v>76</v>
      </c>
      <c r="I1071" s="2">
        <v>43</v>
      </c>
      <c r="J1071" s="2">
        <v>2</v>
      </c>
      <c r="K1071" s="2">
        <v>1</v>
      </c>
      <c r="L107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71" t="str">
        <f>IF(Table1[[#This Row],[Experience Years]]&lt;=2,"Entry Level",IF(Table1[[#This Row],[Experience Years]]&lt;=7,"Mid Level",IF(Table1[[#This Row],[Experience Years]]&lt;=15,"Senior Level")))</f>
        <v>Senior Level</v>
      </c>
      <c r="N1071" s="1">
        <f>AVERAGE(Table1[[#This Row],[Interview Score]:[Personality Score]])</f>
        <v>67</v>
      </c>
      <c r="O10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71" s="2" t="str">
        <f t="shared" si="16"/>
        <v>30-40</v>
      </c>
    </row>
    <row r="1072" spans="1:16" x14ac:dyDescent="0.25">
      <c r="A1072">
        <v>50</v>
      </c>
      <c r="B1072" s="2">
        <v>1</v>
      </c>
      <c r="C1072" s="2">
        <v>2</v>
      </c>
      <c r="D1072" s="2">
        <v>6</v>
      </c>
      <c r="E1072" s="2">
        <v>1</v>
      </c>
      <c r="F1072" s="1">
        <v>46.888632620000003</v>
      </c>
      <c r="G1072" s="2">
        <v>96</v>
      </c>
      <c r="H1072" s="2">
        <v>79</v>
      </c>
      <c r="I1072" s="2">
        <v>8</v>
      </c>
      <c r="J1072" s="2">
        <v>1</v>
      </c>
      <c r="K1072" s="2">
        <v>1</v>
      </c>
      <c r="L107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72" t="str">
        <f>IF(Table1[[#This Row],[Experience Years]]&lt;=2,"Entry Level",IF(Table1[[#This Row],[Experience Years]]&lt;=7,"Mid Level",IF(Table1[[#This Row],[Experience Years]]&lt;=15,"Senior Level")))</f>
        <v>Mid Level</v>
      </c>
      <c r="N1072" s="1">
        <f>AVERAGE(Table1[[#This Row],[Interview Score]:[Personality Score]])</f>
        <v>61</v>
      </c>
      <c r="O10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72" s="2" t="str">
        <f t="shared" si="16"/>
        <v>40-50</v>
      </c>
    </row>
    <row r="1073" spans="1:16" x14ac:dyDescent="0.25">
      <c r="A1073">
        <v>34</v>
      </c>
      <c r="B1073" s="2">
        <v>1</v>
      </c>
      <c r="C1073" s="2">
        <v>1</v>
      </c>
      <c r="D1073" s="2">
        <v>9</v>
      </c>
      <c r="E1073" s="2">
        <v>5</v>
      </c>
      <c r="F1073" s="1">
        <v>46.417360510000002</v>
      </c>
      <c r="G1073" s="2">
        <v>27</v>
      </c>
      <c r="H1073" s="2">
        <v>92</v>
      </c>
      <c r="I1073" s="2">
        <v>66</v>
      </c>
      <c r="J1073" s="2">
        <v>2</v>
      </c>
      <c r="K1073" s="2">
        <v>0</v>
      </c>
      <c r="L107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73" t="str">
        <f>IF(Table1[[#This Row],[Experience Years]]&lt;=2,"Entry Level",IF(Table1[[#This Row],[Experience Years]]&lt;=7,"Mid Level",IF(Table1[[#This Row],[Experience Years]]&lt;=15,"Senior Level")))</f>
        <v>Senior Level</v>
      </c>
      <c r="N1073" s="1">
        <f>AVERAGE(Table1[[#This Row],[Interview Score]:[Personality Score]])</f>
        <v>61.666666666666664</v>
      </c>
      <c r="O10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73" s="2" t="str">
        <f t="shared" si="16"/>
        <v>40-50</v>
      </c>
    </row>
    <row r="1074" spans="1:16" x14ac:dyDescent="0.25">
      <c r="A1074">
        <v>42</v>
      </c>
      <c r="B1074" s="2">
        <v>1</v>
      </c>
      <c r="C1074" s="2">
        <v>3</v>
      </c>
      <c r="D1074" s="2">
        <v>4</v>
      </c>
      <c r="E1074" s="2">
        <v>1</v>
      </c>
      <c r="F1074" s="1">
        <v>31.228705510000001</v>
      </c>
      <c r="G1074" s="2">
        <v>94</v>
      </c>
      <c r="H1074" s="2">
        <v>5</v>
      </c>
      <c r="I1074" s="2">
        <v>53</v>
      </c>
      <c r="J1074" s="2">
        <v>3</v>
      </c>
      <c r="K1074" s="2">
        <v>0</v>
      </c>
      <c r="L107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74" t="str">
        <f>IF(Table1[[#This Row],[Experience Years]]&lt;=2,"Entry Level",IF(Table1[[#This Row],[Experience Years]]&lt;=7,"Mid Level",IF(Table1[[#This Row],[Experience Years]]&lt;=15,"Senior Level")))</f>
        <v>Mid Level</v>
      </c>
      <c r="N1074" s="1">
        <f>AVERAGE(Table1[[#This Row],[Interview Score]:[Personality Score]])</f>
        <v>50.666666666666664</v>
      </c>
      <c r="O10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74" s="2" t="str">
        <f t="shared" si="16"/>
        <v>30-40</v>
      </c>
    </row>
    <row r="1075" spans="1:16" x14ac:dyDescent="0.25">
      <c r="A1075">
        <v>34</v>
      </c>
      <c r="B1075" s="2">
        <v>1</v>
      </c>
      <c r="C1075" s="2">
        <v>3</v>
      </c>
      <c r="D1075" s="2">
        <v>7</v>
      </c>
      <c r="E1075" s="2">
        <v>5</v>
      </c>
      <c r="F1075" s="1">
        <v>27.388103269999998</v>
      </c>
      <c r="G1075" s="2">
        <v>84</v>
      </c>
      <c r="H1075" s="2">
        <v>25</v>
      </c>
      <c r="I1075" s="2">
        <v>25</v>
      </c>
      <c r="J1075" s="2">
        <v>2</v>
      </c>
      <c r="K1075" s="2">
        <v>0</v>
      </c>
      <c r="L107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75" t="str">
        <f>IF(Table1[[#This Row],[Experience Years]]&lt;=2,"Entry Level",IF(Table1[[#This Row],[Experience Years]]&lt;=7,"Mid Level",IF(Table1[[#This Row],[Experience Years]]&lt;=15,"Senior Level")))</f>
        <v>Mid Level</v>
      </c>
      <c r="N1075" s="1">
        <f>AVERAGE(Table1[[#This Row],[Interview Score]:[Personality Score]])</f>
        <v>44.666666666666664</v>
      </c>
      <c r="O10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75" s="2" t="str">
        <f t="shared" si="16"/>
        <v>20-30</v>
      </c>
    </row>
    <row r="1076" spans="1:16" x14ac:dyDescent="0.25">
      <c r="A1076">
        <v>24</v>
      </c>
      <c r="B1076" s="2">
        <v>1</v>
      </c>
      <c r="C1076" s="2">
        <v>3</v>
      </c>
      <c r="D1076" s="2">
        <v>1</v>
      </c>
      <c r="E1076" s="2">
        <v>4</v>
      </c>
      <c r="F1076" s="1">
        <v>28.872048360000001</v>
      </c>
      <c r="G1076" s="2">
        <v>97</v>
      </c>
      <c r="H1076" s="2">
        <v>74</v>
      </c>
      <c r="I1076" s="2">
        <v>84</v>
      </c>
      <c r="J1076" s="2">
        <v>3</v>
      </c>
      <c r="K1076" s="2">
        <v>1</v>
      </c>
      <c r="L107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76" t="str">
        <f>IF(Table1[[#This Row],[Experience Years]]&lt;=2,"Entry Level",IF(Table1[[#This Row],[Experience Years]]&lt;=7,"Mid Level",IF(Table1[[#This Row],[Experience Years]]&lt;=15,"Senior Level")))</f>
        <v>Entry Level</v>
      </c>
      <c r="N1076" s="1">
        <f>AVERAGE(Table1[[#This Row],[Interview Score]:[Personality Score]])</f>
        <v>85</v>
      </c>
      <c r="O10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076" s="2" t="str">
        <f t="shared" si="16"/>
        <v>20-30</v>
      </c>
    </row>
    <row r="1077" spans="1:16" x14ac:dyDescent="0.25">
      <c r="A1077">
        <v>40</v>
      </c>
      <c r="B1077" s="2">
        <v>1</v>
      </c>
      <c r="C1077" s="2">
        <v>2</v>
      </c>
      <c r="D1077" s="2">
        <v>8</v>
      </c>
      <c r="E1077" s="2">
        <v>3</v>
      </c>
      <c r="F1077" s="1">
        <v>49.916540380000001</v>
      </c>
      <c r="G1077" s="2">
        <v>63</v>
      </c>
      <c r="H1077" s="2">
        <v>87</v>
      </c>
      <c r="I1077" s="2">
        <v>93</v>
      </c>
      <c r="J1077" s="2">
        <v>3</v>
      </c>
      <c r="K1077" s="2">
        <v>0</v>
      </c>
      <c r="L107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77" t="str">
        <f>IF(Table1[[#This Row],[Experience Years]]&lt;=2,"Entry Level",IF(Table1[[#This Row],[Experience Years]]&lt;=7,"Mid Level",IF(Table1[[#This Row],[Experience Years]]&lt;=15,"Senior Level")))</f>
        <v>Senior Level</v>
      </c>
      <c r="N1077" s="1">
        <f>AVERAGE(Table1[[#This Row],[Interview Score]:[Personality Score]])</f>
        <v>81</v>
      </c>
      <c r="O10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077" s="2" t="str">
        <f t="shared" si="16"/>
        <v>40-50</v>
      </c>
    </row>
    <row r="1078" spans="1:16" x14ac:dyDescent="0.25">
      <c r="A1078">
        <v>33</v>
      </c>
      <c r="B1078" s="2">
        <v>0</v>
      </c>
      <c r="C1078" s="2">
        <v>2</v>
      </c>
      <c r="D1078" s="2">
        <v>5</v>
      </c>
      <c r="E1078" s="2">
        <v>3</v>
      </c>
      <c r="F1078" s="1">
        <v>39.658384589999997</v>
      </c>
      <c r="G1078" s="2">
        <v>78</v>
      </c>
      <c r="H1078" s="2">
        <v>92</v>
      </c>
      <c r="I1078" s="2">
        <v>91</v>
      </c>
      <c r="J1078" s="2">
        <v>2</v>
      </c>
      <c r="K1078" s="2">
        <v>0</v>
      </c>
      <c r="L107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78" s="2" t="str">
        <f>IF(Table1[[#This Row],[Experience Years]]&lt;=2,"Entry Level",IF(Table1[[#This Row],[Experience Years]]&lt;=7,"Mid Level",IF(Table1[[#This Row],[Experience Years]]&lt;=15,"Senior Level")))</f>
        <v>Mid Level</v>
      </c>
      <c r="N1078" s="1">
        <f>AVERAGE(Table1[[#This Row],[Interview Score]:[Personality Score]])</f>
        <v>87</v>
      </c>
      <c r="O10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078" s="2" t="str">
        <f t="shared" si="16"/>
        <v>30-40</v>
      </c>
    </row>
    <row r="1079" spans="1:16" x14ac:dyDescent="0.25">
      <c r="A1079">
        <v>21</v>
      </c>
      <c r="B1079" s="2">
        <v>0</v>
      </c>
      <c r="C1079" s="2">
        <v>1</v>
      </c>
      <c r="D1079" s="2">
        <v>12</v>
      </c>
      <c r="E1079" s="2">
        <v>3</v>
      </c>
      <c r="F1079" s="1">
        <v>6.3132952400000004</v>
      </c>
      <c r="G1079" s="2">
        <v>77</v>
      </c>
      <c r="H1079" s="2">
        <v>2</v>
      </c>
      <c r="I1079" s="2">
        <v>99</v>
      </c>
      <c r="J1079" s="2">
        <v>2</v>
      </c>
      <c r="K1079" s="2">
        <v>0</v>
      </c>
      <c r="L107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79" s="2" t="str">
        <f>IF(Table1[[#This Row],[Experience Years]]&lt;=2,"Entry Level",IF(Table1[[#This Row],[Experience Years]]&lt;=7,"Mid Level",IF(Table1[[#This Row],[Experience Years]]&lt;=15,"Senior Level")))</f>
        <v>Senior Level</v>
      </c>
      <c r="N1079" s="1">
        <f>AVERAGE(Table1[[#This Row],[Interview Score]:[Personality Score]])</f>
        <v>59.333333333333336</v>
      </c>
      <c r="O10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79" s="2" t="str">
        <f t="shared" si="16"/>
        <v>0-10</v>
      </c>
    </row>
    <row r="1080" spans="1:16" x14ac:dyDescent="0.25">
      <c r="A1080">
        <v>30</v>
      </c>
      <c r="B1080" s="2">
        <v>0</v>
      </c>
      <c r="C1080" s="2">
        <v>1</v>
      </c>
      <c r="D1080" s="2">
        <v>8</v>
      </c>
      <c r="E1080" s="2">
        <v>5</v>
      </c>
      <c r="F1080" s="1">
        <v>39.921420339999997</v>
      </c>
      <c r="G1080" s="2">
        <v>18</v>
      </c>
      <c r="H1080" s="2">
        <v>51</v>
      </c>
      <c r="I1080" s="2">
        <v>25</v>
      </c>
      <c r="J1080" s="2">
        <v>2</v>
      </c>
      <c r="K1080" s="2">
        <v>0</v>
      </c>
      <c r="L108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80" s="2" t="str">
        <f>IF(Table1[[#This Row],[Experience Years]]&lt;=2,"Entry Level",IF(Table1[[#This Row],[Experience Years]]&lt;=7,"Mid Level",IF(Table1[[#This Row],[Experience Years]]&lt;=15,"Senior Level")))</f>
        <v>Senior Level</v>
      </c>
      <c r="N1080" s="1">
        <f>AVERAGE(Table1[[#This Row],[Interview Score]:[Personality Score]])</f>
        <v>31.333333333333332</v>
      </c>
      <c r="O10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80" s="2" t="str">
        <f t="shared" si="16"/>
        <v>30-40</v>
      </c>
    </row>
    <row r="1081" spans="1:16" x14ac:dyDescent="0.25">
      <c r="A1081">
        <v>38</v>
      </c>
      <c r="B1081" s="2">
        <v>0</v>
      </c>
      <c r="C1081" s="2">
        <v>3</v>
      </c>
      <c r="D1081" s="2">
        <v>15</v>
      </c>
      <c r="E1081" s="2">
        <v>3</v>
      </c>
      <c r="F1081" s="1">
        <v>9.5269024449999993</v>
      </c>
      <c r="G1081" s="2">
        <v>14</v>
      </c>
      <c r="H1081" s="2">
        <v>73</v>
      </c>
      <c r="I1081" s="2">
        <v>33</v>
      </c>
      <c r="J1081" s="2">
        <v>2</v>
      </c>
      <c r="K1081" s="2">
        <v>0</v>
      </c>
      <c r="L108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81" s="2" t="str">
        <f>IF(Table1[[#This Row],[Experience Years]]&lt;=2,"Entry Level",IF(Table1[[#This Row],[Experience Years]]&lt;=7,"Mid Level",IF(Table1[[#This Row],[Experience Years]]&lt;=15,"Senior Level")))</f>
        <v>Senior Level</v>
      </c>
      <c r="N1081" s="1">
        <f>AVERAGE(Table1[[#This Row],[Interview Score]:[Personality Score]])</f>
        <v>40</v>
      </c>
      <c r="O10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81" s="2" t="str">
        <f t="shared" si="16"/>
        <v>0-10</v>
      </c>
    </row>
    <row r="1082" spans="1:16" x14ac:dyDescent="0.25">
      <c r="A1082">
        <v>26</v>
      </c>
      <c r="B1082" s="2">
        <v>1</v>
      </c>
      <c r="C1082" s="2">
        <v>3</v>
      </c>
      <c r="D1082" s="2">
        <v>1</v>
      </c>
      <c r="E1082" s="2">
        <v>1</v>
      </c>
      <c r="F1082" s="1">
        <v>23.367527450000001</v>
      </c>
      <c r="G1082" s="2">
        <v>5</v>
      </c>
      <c r="H1082" s="2">
        <v>59</v>
      </c>
      <c r="I1082" s="2">
        <v>7</v>
      </c>
      <c r="J1082" s="2">
        <v>1</v>
      </c>
      <c r="K1082" s="2">
        <v>1</v>
      </c>
      <c r="L108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082" t="str">
        <f>IF(Table1[[#This Row],[Experience Years]]&lt;=2,"Entry Level",IF(Table1[[#This Row],[Experience Years]]&lt;=7,"Mid Level",IF(Table1[[#This Row],[Experience Years]]&lt;=15,"Senior Level")))</f>
        <v>Entry Level</v>
      </c>
      <c r="N1082" s="1">
        <f>AVERAGE(Table1[[#This Row],[Interview Score]:[Personality Score]])</f>
        <v>23.666666666666668</v>
      </c>
      <c r="O10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82" s="2" t="str">
        <f t="shared" si="16"/>
        <v>20-30</v>
      </c>
    </row>
    <row r="1083" spans="1:16" x14ac:dyDescent="0.25">
      <c r="A1083">
        <v>25</v>
      </c>
      <c r="B1083" s="2">
        <v>1</v>
      </c>
      <c r="C1083" s="2">
        <v>2</v>
      </c>
      <c r="D1083" s="2">
        <v>2</v>
      </c>
      <c r="E1083" s="2">
        <v>3</v>
      </c>
      <c r="F1083" s="1">
        <v>11.522983610000001</v>
      </c>
      <c r="G1083" s="2">
        <v>72</v>
      </c>
      <c r="H1083" s="2">
        <v>62</v>
      </c>
      <c r="I1083" s="2">
        <v>9</v>
      </c>
      <c r="J1083" s="2">
        <v>3</v>
      </c>
      <c r="K1083" s="2">
        <v>0</v>
      </c>
      <c r="L108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83" t="str">
        <f>IF(Table1[[#This Row],[Experience Years]]&lt;=2,"Entry Level",IF(Table1[[#This Row],[Experience Years]]&lt;=7,"Mid Level",IF(Table1[[#This Row],[Experience Years]]&lt;=15,"Senior Level")))</f>
        <v>Entry Level</v>
      </c>
      <c r="N1083" s="1">
        <f>AVERAGE(Table1[[#This Row],[Interview Score]:[Personality Score]])</f>
        <v>47.666666666666664</v>
      </c>
      <c r="O10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83" s="2" t="str">
        <f t="shared" si="16"/>
        <v>10-20</v>
      </c>
    </row>
    <row r="1084" spans="1:16" x14ac:dyDescent="0.25">
      <c r="A1084">
        <v>47</v>
      </c>
      <c r="B1084" s="2">
        <v>1</v>
      </c>
      <c r="C1084" s="2">
        <v>3</v>
      </c>
      <c r="D1084" s="2">
        <v>11</v>
      </c>
      <c r="E1084" s="2">
        <v>4</v>
      </c>
      <c r="F1084" s="1">
        <v>35.479153279999998</v>
      </c>
      <c r="G1084" s="2">
        <v>100</v>
      </c>
      <c r="H1084" s="2">
        <v>64</v>
      </c>
      <c r="I1084" s="2">
        <v>47</v>
      </c>
      <c r="J1084" s="2">
        <v>2</v>
      </c>
      <c r="K1084" s="2">
        <v>1</v>
      </c>
      <c r="L108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84" t="str">
        <f>IF(Table1[[#This Row],[Experience Years]]&lt;=2,"Entry Level",IF(Table1[[#This Row],[Experience Years]]&lt;=7,"Mid Level",IF(Table1[[#This Row],[Experience Years]]&lt;=15,"Senior Level")))</f>
        <v>Senior Level</v>
      </c>
      <c r="N1084" s="1">
        <f>AVERAGE(Table1[[#This Row],[Interview Score]:[Personality Score]])</f>
        <v>70.333333333333329</v>
      </c>
      <c r="O10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84" s="2" t="str">
        <f t="shared" si="16"/>
        <v>30-40</v>
      </c>
    </row>
    <row r="1085" spans="1:16" x14ac:dyDescent="0.25">
      <c r="A1085">
        <v>21</v>
      </c>
      <c r="B1085" s="2">
        <v>0</v>
      </c>
      <c r="C1085" s="2">
        <v>2</v>
      </c>
      <c r="D1085" s="2">
        <v>7</v>
      </c>
      <c r="E1085" s="2">
        <v>1</v>
      </c>
      <c r="F1085" s="1">
        <v>44.86548681</v>
      </c>
      <c r="G1085" s="2">
        <v>83</v>
      </c>
      <c r="H1085" s="2">
        <v>51</v>
      </c>
      <c r="I1085" s="2">
        <v>54</v>
      </c>
      <c r="J1085" s="2">
        <v>2</v>
      </c>
      <c r="K1085" s="2">
        <v>0</v>
      </c>
      <c r="L108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85" s="2" t="str">
        <f>IF(Table1[[#This Row],[Experience Years]]&lt;=2,"Entry Level",IF(Table1[[#This Row],[Experience Years]]&lt;=7,"Mid Level",IF(Table1[[#This Row],[Experience Years]]&lt;=15,"Senior Level")))</f>
        <v>Mid Level</v>
      </c>
      <c r="N1085" s="1">
        <f>AVERAGE(Table1[[#This Row],[Interview Score]:[Personality Score]])</f>
        <v>62.666666666666664</v>
      </c>
      <c r="O10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85" s="2" t="str">
        <f t="shared" si="16"/>
        <v>40-50</v>
      </c>
    </row>
    <row r="1086" spans="1:16" x14ac:dyDescent="0.25">
      <c r="A1086">
        <v>25</v>
      </c>
      <c r="B1086" s="2">
        <v>1</v>
      </c>
      <c r="C1086" s="2">
        <v>2</v>
      </c>
      <c r="D1086" s="2">
        <v>0</v>
      </c>
      <c r="E1086" s="2">
        <v>3</v>
      </c>
      <c r="F1086" s="1">
        <v>15.518094270000001</v>
      </c>
      <c r="G1086" s="2">
        <v>97</v>
      </c>
      <c r="H1086" s="2">
        <v>89</v>
      </c>
      <c r="I1086" s="2">
        <v>53</v>
      </c>
      <c r="J1086" s="2">
        <v>2</v>
      </c>
      <c r="K1086" s="2">
        <v>0</v>
      </c>
      <c r="L108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86" t="str">
        <f>IF(Table1[[#This Row],[Experience Years]]&lt;=2,"Entry Level",IF(Table1[[#This Row],[Experience Years]]&lt;=7,"Mid Level",IF(Table1[[#This Row],[Experience Years]]&lt;=15,"Senior Level")))</f>
        <v>Entry Level</v>
      </c>
      <c r="N1086" s="1">
        <f>AVERAGE(Table1[[#This Row],[Interview Score]:[Personality Score]])</f>
        <v>79.666666666666671</v>
      </c>
      <c r="O10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86" s="2" t="str">
        <f t="shared" si="16"/>
        <v>10-20</v>
      </c>
    </row>
    <row r="1087" spans="1:16" x14ac:dyDescent="0.25">
      <c r="A1087">
        <v>37</v>
      </c>
      <c r="B1087" s="2">
        <v>1</v>
      </c>
      <c r="C1087" s="2">
        <v>2</v>
      </c>
      <c r="D1087" s="2">
        <v>14</v>
      </c>
      <c r="E1087" s="2">
        <v>3</v>
      </c>
      <c r="F1087" s="1">
        <v>5.1005370599999997</v>
      </c>
      <c r="G1087" s="2">
        <v>37</v>
      </c>
      <c r="H1087" s="2">
        <v>75</v>
      </c>
      <c r="I1087" s="2">
        <v>77</v>
      </c>
      <c r="J1087" s="2">
        <v>2</v>
      </c>
      <c r="K1087" s="2">
        <v>0</v>
      </c>
      <c r="L108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87" t="str">
        <f>IF(Table1[[#This Row],[Experience Years]]&lt;=2,"Entry Level",IF(Table1[[#This Row],[Experience Years]]&lt;=7,"Mid Level",IF(Table1[[#This Row],[Experience Years]]&lt;=15,"Senior Level")))</f>
        <v>Senior Level</v>
      </c>
      <c r="N1087" s="1">
        <f>AVERAGE(Table1[[#This Row],[Interview Score]:[Personality Score]])</f>
        <v>63</v>
      </c>
      <c r="O10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87" s="2" t="str">
        <f t="shared" si="16"/>
        <v>0-10</v>
      </c>
    </row>
    <row r="1088" spans="1:16" x14ac:dyDescent="0.25">
      <c r="A1088">
        <v>21</v>
      </c>
      <c r="B1088" s="2">
        <v>1</v>
      </c>
      <c r="C1088" s="2">
        <v>4</v>
      </c>
      <c r="D1088" s="2">
        <v>9</v>
      </c>
      <c r="E1088" s="2">
        <v>2</v>
      </c>
      <c r="F1088" s="1">
        <v>15.9246549</v>
      </c>
      <c r="G1088" s="2">
        <v>25</v>
      </c>
      <c r="H1088" s="2">
        <v>13</v>
      </c>
      <c r="I1088" s="2">
        <v>39</v>
      </c>
      <c r="J1088" s="2">
        <v>3</v>
      </c>
      <c r="K1088" s="2">
        <v>0</v>
      </c>
      <c r="L108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88" t="str">
        <f>IF(Table1[[#This Row],[Experience Years]]&lt;=2,"Entry Level",IF(Table1[[#This Row],[Experience Years]]&lt;=7,"Mid Level",IF(Table1[[#This Row],[Experience Years]]&lt;=15,"Senior Level")))</f>
        <v>Senior Level</v>
      </c>
      <c r="N1088" s="1">
        <f>AVERAGE(Table1[[#This Row],[Interview Score]:[Personality Score]])</f>
        <v>25.666666666666668</v>
      </c>
      <c r="O10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88" s="2" t="str">
        <f t="shared" si="16"/>
        <v>10-20</v>
      </c>
    </row>
    <row r="1089" spans="1:16" x14ac:dyDescent="0.25">
      <c r="A1089">
        <v>37</v>
      </c>
      <c r="B1089" s="2">
        <v>0</v>
      </c>
      <c r="C1089" s="2">
        <v>1</v>
      </c>
      <c r="D1089" s="2">
        <v>14</v>
      </c>
      <c r="E1089" s="2">
        <v>5</v>
      </c>
      <c r="F1089" s="1">
        <v>34.618092900000001</v>
      </c>
      <c r="G1089" s="2">
        <v>81</v>
      </c>
      <c r="H1089" s="2">
        <v>88</v>
      </c>
      <c r="I1089" s="2">
        <v>14</v>
      </c>
      <c r="J1089" s="2">
        <v>2</v>
      </c>
      <c r="K1089" s="2">
        <v>0</v>
      </c>
      <c r="L108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89" s="2" t="str">
        <f>IF(Table1[[#This Row],[Experience Years]]&lt;=2,"Entry Level",IF(Table1[[#This Row],[Experience Years]]&lt;=7,"Mid Level",IF(Table1[[#This Row],[Experience Years]]&lt;=15,"Senior Level")))</f>
        <v>Senior Level</v>
      </c>
      <c r="N1089" s="1">
        <f>AVERAGE(Table1[[#This Row],[Interview Score]:[Personality Score]])</f>
        <v>61</v>
      </c>
      <c r="O10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89" s="2" t="str">
        <f t="shared" si="16"/>
        <v>30-40</v>
      </c>
    </row>
    <row r="1090" spans="1:16" x14ac:dyDescent="0.25">
      <c r="A1090">
        <v>49</v>
      </c>
      <c r="B1090" s="2">
        <v>1</v>
      </c>
      <c r="C1090" s="2">
        <v>4</v>
      </c>
      <c r="D1090" s="2">
        <v>14</v>
      </c>
      <c r="E1090" s="2">
        <v>1</v>
      </c>
      <c r="F1090" s="1">
        <v>17.438006380000001</v>
      </c>
      <c r="G1090" s="2">
        <v>91</v>
      </c>
      <c r="H1090" s="2">
        <v>71</v>
      </c>
      <c r="I1090" s="2">
        <v>80</v>
      </c>
      <c r="J1090" s="2">
        <v>1</v>
      </c>
      <c r="K1090" s="2">
        <v>1</v>
      </c>
      <c r="L109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90" t="str">
        <f>IF(Table1[[#This Row],[Experience Years]]&lt;=2,"Entry Level",IF(Table1[[#This Row],[Experience Years]]&lt;=7,"Mid Level",IF(Table1[[#This Row],[Experience Years]]&lt;=15,"Senior Level")))</f>
        <v>Senior Level</v>
      </c>
      <c r="N1090" s="1">
        <f>AVERAGE(Table1[[#This Row],[Interview Score]:[Personality Score]])</f>
        <v>80.666666666666671</v>
      </c>
      <c r="O10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090" s="2" t="str">
        <f t="shared" ref="P1090:P1153" si="17">IF(F1090&lt;10,"0-10",IF(F1090&lt;20,"10-20",IF(F1090&lt;30,"20-30",IF(F1090&lt;40,"30-40",IF(F1090&lt;50,"40-50","50+")))))</f>
        <v>10-20</v>
      </c>
    </row>
    <row r="1091" spans="1:16" x14ac:dyDescent="0.25">
      <c r="A1091">
        <v>34</v>
      </c>
      <c r="B1091" s="2">
        <v>0</v>
      </c>
      <c r="C1091" s="2">
        <v>3</v>
      </c>
      <c r="D1091" s="2">
        <v>14</v>
      </c>
      <c r="E1091" s="2">
        <v>2</v>
      </c>
      <c r="F1091" s="1">
        <v>14.90560838</v>
      </c>
      <c r="G1091" s="2">
        <v>50</v>
      </c>
      <c r="H1091" s="2">
        <v>67</v>
      </c>
      <c r="I1091" s="2">
        <v>17</v>
      </c>
      <c r="J1091" s="2">
        <v>1</v>
      </c>
      <c r="K1091" s="2">
        <v>1</v>
      </c>
      <c r="L109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091" s="2" t="str">
        <f>IF(Table1[[#This Row],[Experience Years]]&lt;=2,"Entry Level",IF(Table1[[#This Row],[Experience Years]]&lt;=7,"Mid Level",IF(Table1[[#This Row],[Experience Years]]&lt;=15,"Senior Level")))</f>
        <v>Senior Level</v>
      </c>
      <c r="N1091" s="1">
        <f>AVERAGE(Table1[[#This Row],[Interview Score]:[Personality Score]])</f>
        <v>44.666666666666664</v>
      </c>
      <c r="O10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91" s="2" t="str">
        <f t="shared" si="17"/>
        <v>10-20</v>
      </c>
    </row>
    <row r="1092" spans="1:16" x14ac:dyDescent="0.25">
      <c r="A1092">
        <v>46</v>
      </c>
      <c r="B1092" s="2">
        <v>0</v>
      </c>
      <c r="C1092" s="2">
        <v>1</v>
      </c>
      <c r="D1092" s="2">
        <v>6</v>
      </c>
      <c r="E1092" s="2">
        <v>4</v>
      </c>
      <c r="F1092" s="1">
        <v>10.22175953</v>
      </c>
      <c r="G1092" s="2">
        <v>72</v>
      </c>
      <c r="H1092" s="2">
        <v>27</v>
      </c>
      <c r="I1092" s="2">
        <v>95</v>
      </c>
      <c r="J1092" s="2">
        <v>3</v>
      </c>
      <c r="K1092" s="2">
        <v>0</v>
      </c>
      <c r="L109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92" s="2" t="str">
        <f>IF(Table1[[#This Row],[Experience Years]]&lt;=2,"Entry Level",IF(Table1[[#This Row],[Experience Years]]&lt;=7,"Mid Level",IF(Table1[[#This Row],[Experience Years]]&lt;=15,"Senior Level")))</f>
        <v>Mid Level</v>
      </c>
      <c r="N1092" s="1">
        <f>AVERAGE(Table1[[#This Row],[Interview Score]:[Personality Score]])</f>
        <v>64.666666666666671</v>
      </c>
      <c r="O10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92" s="2" t="str">
        <f t="shared" si="17"/>
        <v>10-20</v>
      </c>
    </row>
    <row r="1093" spans="1:16" x14ac:dyDescent="0.25">
      <c r="A1093">
        <v>38</v>
      </c>
      <c r="B1093" s="2">
        <v>0</v>
      </c>
      <c r="C1093" s="2">
        <v>2</v>
      </c>
      <c r="D1093" s="2">
        <v>6</v>
      </c>
      <c r="E1093" s="2">
        <v>5</v>
      </c>
      <c r="F1093" s="1">
        <v>25.875821340000002</v>
      </c>
      <c r="G1093" s="2">
        <v>95</v>
      </c>
      <c r="H1093" s="2">
        <v>70</v>
      </c>
      <c r="I1093" s="2">
        <v>22</v>
      </c>
      <c r="J1093" s="2">
        <v>2</v>
      </c>
      <c r="K1093" s="2">
        <v>0</v>
      </c>
      <c r="L109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93" s="2" t="str">
        <f>IF(Table1[[#This Row],[Experience Years]]&lt;=2,"Entry Level",IF(Table1[[#This Row],[Experience Years]]&lt;=7,"Mid Level",IF(Table1[[#This Row],[Experience Years]]&lt;=15,"Senior Level")))</f>
        <v>Mid Level</v>
      </c>
      <c r="N1093" s="1">
        <f>AVERAGE(Table1[[#This Row],[Interview Score]:[Personality Score]])</f>
        <v>62.333333333333336</v>
      </c>
      <c r="O10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93" s="2" t="str">
        <f t="shared" si="17"/>
        <v>20-30</v>
      </c>
    </row>
    <row r="1094" spans="1:16" x14ac:dyDescent="0.25">
      <c r="A1094">
        <v>50</v>
      </c>
      <c r="B1094" s="2">
        <v>0</v>
      </c>
      <c r="C1094" s="2">
        <v>3</v>
      </c>
      <c r="D1094" s="2">
        <v>12</v>
      </c>
      <c r="E1094" s="2">
        <v>1</v>
      </c>
      <c r="F1094" s="1">
        <v>14.797441409999999</v>
      </c>
      <c r="G1094" s="2">
        <v>52</v>
      </c>
      <c r="H1094" s="2">
        <v>9</v>
      </c>
      <c r="I1094" s="2">
        <v>61</v>
      </c>
      <c r="J1094" s="2">
        <v>3</v>
      </c>
      <c r="K1094" s="2">
        <v>0</v>
      </c>
      <c r="L109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094" s="2" t="str">
        <f>IF(Table1[[#This Row],[Experience Years]]&lt;=2,"Entry Level",IF(Table1[[#This Row],[Experience Years]]&lt;=7,"Mid Level",IF(Table1[[#This Row],[Experience Years]]&lt;=15,"Senior Level")))</f>
        <v>Senior Level</v>
      </c>
      <c r="N1094" s="1">
        <f>AVERAGE(Table1[[#This Row],[Interview Score]:[Personality Score]])</f>
        <v>40.666666666666664</v>
      </c>
      <c r="O10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094" s="2" t="str">
        <f t="shared" si="17"/>
        <v>10-20</v>
      </c>
    </row>
    <row r="1095" spans="1:16" x14ac:dyDescent="0.25">
      <c r="A1095">
        <v>21</v>
      </c>
      <c r="B1095" s="2">
        <v>1</v>
      </c>
      <c r="C1095" s="2">
        <v>2</v>
      </c>
      <c r="D1095" s="2">
        <v>0</v>
      </c>
      <c r="E1095" s="2">
        <v>3</v>
      </c>
      <c r="F1095" s="1">
        <v>37.550517460000002</v>
      </c>
      <c r="G1095" s="2">
        <v>55</v>
      </c>
      <c r="H1095" s="2">
        <v>56</v>
      </c>
      <c r="I1095" s="2">
        <v>45</v>
      </c>
      <c r="J1095" s="2">
        <v>1</v>
      </c>
      <c r="K1095" s="2">
        <v>0</v>
      </c>
      <c r="L109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95" t="str">
        <f>IF(Table1[[#This Row],[Experience Years]]&lt;=2,"Entry Level",IF(Table1[[#This Row],[Experience Years]]&lt;=7,"Mid Level",IF(Table1[[#This Row],[Experience Years]]&lt;=15,"Senior Level")))</f>
        <v>Entry Level</v>
      </c>
      <c r="N1095" s="1">
        <f>AVERAGE(Table1[[#This Row],[Interview Score]:[Personality Score]])</f>
        <v>52</v>
      </c>
      <c r="O10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95" s="2" t="str">
        <f t="shared" si="17"/>
        <v>30-40</v>
      </c>
    </row>
    <row r="1096" spans="1:16" x14ac:dyDescent="0.25">
      <c r="A1096">
        <v>39</v>
      </c>
      <c r="B1096" s="2">
        <v>0</v>
      </c>
      <c r="C1096" s="2">
        <v>4</v>
      </c>
      <c r="D1096" s="2">
        <v>15</v>
      </c>
      <c r="E1096" s="2">
        <v>1</v>
      </c>
      <c r="F1096" s="1">
        <v>4.8311200999999997</v>
      </c>
      <c r="G1096" s="2">
        <v>58</v>
      </c>
      <c r="H1096" s="2">
        <v>99</v>
      </c>
      <c r="I1096" s="2">
        <v>86</v>
      </c>
      <c r="J1096" s="2">
        <v>1</v>
      </c>
      <c r="K1096" s="2">
        <v>1</v>
      </c>
      <c r="L109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096" s="2" t="str">
        <f>IF(Table1[[#This Row],[Experience Years]]&lt;=2,"Entry Level",IF(Table1[[#This Row],[Experience Years]]&lt;=7,"Mid Level",IF(Table1[[#This Row],[Experience Years]]&lt;=15,"Senior Level")))</f>
        <v>Senior Level</v>
      </c>
      <c r="N1096" s="1">
        <f>AVERAGE(Table1[[#This Row],[Interview Score]:[Personality Score]])</f>
        <v>81</v>
      </c>
      <c r="O10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096" s="2" t="str">
        <f t="shared" si="17"/>
        <v>0-10</v>
      </c>
    </row>
    <row r="1097" spans="1:16" x14ac:dyDescent="0.25">
      <c r="A1097">
        <v>44</v>
      </c>
      <c r="B1097" s="2">
        <v>0</v>
      </c>
      <c r="C1097" s="2">
        <v>4</v>
      </c>
      <c r="D1097" s="2">
        <v>8</v>
      </c>
      <c r="E1097" s="2">
        <v>3</v>
      </c>
      <c r="F1097" s="1">
        <v>34.201651660000003</v>
      </c>
      <c r="G1097" s="2">
        <v>69</v>
      </c>
      <c r="H1097" s="2">
        <v>65</v>
      </c>
      <c r="I1097" s="2">
        <v>98</v>
      </c>
      <c r="J1097" s="2">
        <v>1</v>
      </c>
      <c r="K1097" s="2">
        <v>1</v>
      </c>
      <c r="L109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097" s="2" t="str">
        <f>IF(Table1[[#This Row],[Experience Years]]&lt;=2,"Entry Level",IF(Table1[[#This Row],[Experience Years]]&lt;=7,"Mid Level",IF(Table1[[#This Row],[Experience Years]]&lt;=15,"Senior Level")))</f>
        <v>Senior Level</v>
      </c>
      <c r="N1097" s="1">
        <f>AVERAGE(Table1[[#This Row],[Interview Score]:[Personality Score]])</f>
        <v>77.333333333333329</v>
      </c>
      <c r="O10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097" s="2" t="str">
        <f t="shared" si="17"/>
        <v>30-40</v>
      </c>
    </row>
    <row r="1098" spans="1:16" x14ac:dyDescent="0.25">
      <c r="A1098">
        <v>25</v>
      </c>
      <c r="B1098" s="2">
        <v>1</v>
      </c>
      <c r="C1098" s="2">
        <v>2</v>
      </c>
      <c r="D1098" s="2">
        <v>7</v>
      </c>
      <c r="E1098" s="2">
        <v>5</v>
      </c>
      <c r="F1098" s="1">
        <v>12.87800073</v>
      </c>
      <c r="G1098" s="2">
        <v>77</v>
      </c>
      <c r="H1098" s="2">
        <v>89</v>
      </c>
      <c r="I1098" s="2">
        <v>38</v>
      </c>
      <c r="J1098" s="2">
        <v>2</v>
      </c>
      <c r="K1098" s="2">
        <v>0</v>
      </c>
      <c r="L109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98" t="str">
        <f>IF(Table1[[#This Row],[Experience Years]]&lt;=2,"Entry Level",IF(Table1[[#This Row],[Experience Years]]&lt;=7,"Mid Level",IF(Table1[[#This Row],[Experience Years]]&lt;=15,"Senior Level")))</f>
        <v>Mid Level</v>
      </c>
      <c r="N1098" s="1">
        <f>AVERAGE(Table1[[#This Row],[Interview Score]:[Personality Score]])</f>
        <v>68</v>
      </c>
      <c r="O10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098" s="2" t="str">
        <f t="shared" si="17"/>
        <v>10-20</v>
      </c>
    </row>
    <row r="1099" spans="1:16" x14ac:dyDescent="0.25">
      <c r="A1099">
        <v>20</v>
      </c>
      <c r="B1099" s="2">
        <v>1</v>
      </c>
      <c r="C1099" s="2">
        <v>2</v>
      </c>
      <c r="D1099" s="2">
        <v>3</v>
      </c>
      <c r="E1099" s="2">
        <v>3</v>
      </c>
      <c r="F1099" s="1">
        <v>25.46396305</v>
      </c>
      <c r="G1099" s="2">
        <v>91</v>
      </c>
      <c r="H1099" s="2">
        <v>49</v>
      </c>
      <c r="I1099" s="2">
        <v>14</v>
      </c>
      <c r="J1099" s="2">
        <v>2</v>
      </c>
      <c r="K1099" s="2">
        <v>0</v>
      </c>
      <c r="L109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099" t="str">
        <f>IF(Table1[[#This Row],[Experience Years]]&lt;=2,"Entry Level",IF(Table1[[#This Row],[Experience Years]]&lt;=7,"Mid Level",IF(Table1[[#This Row],[Experience Years]]&lt;=15,"Senior Level")))</f>
        <v>Mid Level</v>
      </c>
      <c r="N1099" s="1">
        <f>AVERAGE(Table1[[#This Row],[Interview Score]:[Personality Score]])</f>
        <v>51.333333333333336</v>
      </c>
      <c r="O10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099" s="2" t="str">
        <f t="shared" si="17"/>
        <v>20-30</v>
      </c>
    </row>
    <row r="1100" spans="1:16" x14ac:dyDescent="0.25">
      <c r="A1100">
        <v>43</v>
      </c>
      <c r="B1100" s="2">
        <v>0</v>
      </c>
      <c r="C1100" s="2">
        <v>4</v>
      </c>
      <c r="D1100" s="2">
        <v>9</v>
      </c>
      <c r="E1100" s="2">
        <v>4</v>
      </c>
      <c r="F1100" s="1">
        <v>15.3044961</v>
      </c>
      <c r="G1100" s="2">
        <v>57</v>
      </c>
      <c r="H1100" s="2">
        <v>13</v>
      </c>
      <c r="I1100" s="2">
        <v>52</v>
      </c>
      <c r="J1100" s="2">
        <v>1</v>
      </c>
      <c r="K1100" s="2">
        <v>1</v>
      </c>
      <c r="L110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00" s="2" t="str">
        <f>IF(Table1[[#This Row],[Experience Years]]&lt;=2,"Entry Level",IF(Table1[[#This Row],[Experience Years]]&lt;=7,"Mid Level",IF(Table1[[#This Row],[Experience Years]]&lt;=15,"Senior Level")))</f>
        <v>Senior Level</v>
      </c>
      <c r="N1100" s="1">
        <f>AVERAGE(Table1[[#This Row],[Interview Score]:[Personality Score]])</f>
        <v>40.666666666666664</v>
      </c>
      <c r="O11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00" s="2" t="str">
        <f t="shared" si="17"/>
        <v>10-20</v>
      </c>
    </row>
    <row r="1101" spans="1:16" x14ac:dyDescent="0.25">
      <c r="A1101">
        <v>34</v>
      </c>
      <c r="B1101" s="2">
        <v>1</v>
      </c>
      <c r="C1101" s="2">
        <v>2</v>
      </c>
      <c r="D1101" s="2">
        <v>10</v>
      </c>
      <c r="E1101" s="2">
        <v>3</v>
      </c>
      <c r="F1101" s="1">
        <v>37.138433800000001</v>
      </c>
      <c r="G1101" s="2">
        <v>87</v>
      </c>
      <c r="H1101" s="2">
        <v>15</v>
      </c>
      <c r="I1101" s="2">
        <v>87</v>
      </c>
      <c r="J1101" s="2">
        <v>2</v>
      </c>
      <c r="K1101" s="2">
        <v>0</v>
      </c>
      <c r="L110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01" t="str">
        <f>IF(Table1[[#This Row],[Experience Years]]&lt;=2,"Entry Level",IF(Table1[[#This Row],[Experience Years]]&lt;=7,"Mid Level",IF(Table1[[#This Row],[Experience Years]]&lt;=15,"Senior Level")))</f>
        <v>Senior Level</v>
      </c>
      <c r="N1101" s="1">
        <f>AVERAGE(Table1[[#This Row],[Interview Score]:[Personality Score]])</f>
        <v>63</v>
      </c>
      <c r="O11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01" s="2" t="str">
        <f t="shared" si="17"/>
        <v>30-40</v>
      </c>
    </row>
    <row r="1102" spans="1:16" x14ac:dyDescent="0.25">
      <c r="A1102">
        <v>47</v>
      </c>
      <c r="B1102" s="2">
        <v>0</v>
      </c>
      <c r="C1102" s="2">
        <v>1</v>
      </c>
      <c r="D1102" s="2">
        <v>4</v>
      </c>
      <c r="E1102" s="2">
        <v>4</v>
      </c>
      <c r="F1102" s="1">
        <v>48.265352010000001</v>
      </c>
      <c r="G1102" s="2">
        <v>12</v>
      </c>
      <c r="H1102" s="2">
        <v>53</v>
      </c>
      <c r="I1102" s="2">
        <v>63</v>
      </c>
      <c r="J1102" s="2">
        <v>2</v>
      </c>
      <c r="K1102" s="2">
        <v>0</v>
      </c>
      <c r="L110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02" s="2" t="str">
        <f>IF(Table1[[#This Row],[Experience Years]]&lt;=2,"Entry Level",IF(Table1[[#This Row],[Experience Years]]&lt;=7,"Mid Level",IF(Table1[[#This Row],[Experience Years]]&lt;=15,"Senior Level")))</f>
        <v>Mid Level</v>
      </c>
      <c r="N1102" s="1">
        <f>AVERAGE(Table1[[#This Row],[Interview Score]:[Personality Score]])</f>
        <v>42.666666666666664</v>
      </c>
      <c r="O11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02" s="2" t="str">
        <f t="shared" si="17"/>
        <v>40-50</v>
      </c>
    </row>
    <row r="1103" spans="1:16" x14ac:dyDescent="0.25">
      <c r="A1103">
        <v>49</v>
      </c>
      <c r="B1103" s="2">
        <v>0</v>
      </c>
      <c r="C1103" s="2">
        <v>1</v>
      </c>
      <c r="D1103" s="2">
        <v>1</v>
      </c>
      <c r="E1103" s="2">
        <v>5</v>
      </c>
      <c r="F1103" s="1">
        <v>46.853838969999998</v>
      </c>
      <c r="G1103" s="2">
        <v>42</v>
      </c>
      <c r="H1103" s="2">
        <v>42</v>
      </c>
      <c r="I1103" s="2">
        <v>62</v>
      </c>
      <c r="J1103" s="2">
        <v>1</v>
      </c>
      <c r="K1103" s="2">
        <v>0</v>
      </c>
      <c r="L110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03" s="2" t="str">
        <f>IF(Table1[[#This Row],[Experience Years]]&lt;=2,"Entry Level",IF(Table1[[#This Row],[Experience Years]]&lt;=7,"Mid Level",IF(Table1[[#This Row],[Experience Years]]&lt;=15,"Senior Level")))</f>
        <v>Entry Level</v>
      </c>
      <c r="N1103" s="1">
        <f>AVERAGE(Table1[[#This Row],[Interview Score]:[Personality Score]])</f>
        <v>48.666666666666664</v>
      </c>
      <c r="O11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03" s="2" t="str">
        <f t="shared" si="17"/>
        <v>40-50</v>
      </c>
    </row>
    <row r="1104" spans="1:16" x14ac:dyDescent="0.25">
      <c r="A1104">
        <v>42</v>
      </c>
      <c r="B1104" s="2">
        <v>0</v>
      </c>
      <c r="C1104" s="2">
        <v>2</v>
      </c>
      <c r="D1104" s="2">
        <v>12</v>
      </c>
      <c r="E1104" s="2">
        <v>5</v>
      </c>
      <c r="F1104" s="1">
        <v>30.171310760000001</v>
      </c>
      <c r="G1104" s="2">
        <v>75</v>
      </c>
      <c r="H1104" s="2">
        <v>41</v>
      </c>
      <c r="I1104" s="2">
        <v>91</v>
      </c>
      <c r="J1104" s="2">
        <v>2</v>
      </c>
      <c r="K1104" s="2">
        <v>0</v>
      </c>
      <c r="L110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04" s="2" t="str">
        <f>IF(Table1[[#This Row],[Experience Years]]&lt;=2,"Entry Level",IF(Table1[[#This Row],[Experience Years]]&lt;=7,"Mid Level",IF(Table1[[#This Row],[Experience Years]]&lt;=15,"Senior Level")))</f>
        <v>Senior Level</v>
      </c>
      <c r="N1104" s="1">
        <f>AVERAGE(Table1[[#This Row],[Interview Score]:[Personality Score]])</f>
        <v>69</v>
      </c>
      <c r="O11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04" s="2" t="str">
        <f t="shared" si="17"/>
        <v>30-40</v>
      </c>
    </row>
    <row r="1105" spans="1:16" x14ac:dyDescent="0.25">
      <c r="A1105">
        <v>29</v>
      </c>
      <c r="B1105" s="2">
        <v>0</v>
      </c>
      <c r="C1105" s="2">
        <v>4</v>
      </c>
      <c r="D1105" s="2">
        <v>15</v>
      </c>
      <c r="E1105" s="2">
        <v>1</v>
      </c>
      <c r="F1105" s="1">
        <v>24.130515160000002</v>
      </c>
      <c r="G1105" s="2">
        <v>50</v>
      </c>
      <c r="H1105" s="2">
        <v>80</v>
      </c>
      <c r="I1105" s="2">
        <v>79</v>
      </c>
      <c r="J1105" s="2">
        <v>2</v>
      </c>
      <c r="K1105" s="2">
        <v>1</v>
      </c>
      <c r="L110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05" s="2" t="str">
        <f>IF(Table1[[#This Row],[Experience Years]]&lt;=2,"Entry Level",IF(Table1[[#This Row],[Experience Years]]&lt;=7,"Mid Level",IF(Table1[[#This Row],[Experience Years]]&lt;=15,"Senior Level")))</f>
        <v>Senior Level</v>
      </c>
      <c r="N1105" s="1">
        <f>AVERAGE(Table1[[#This Row],[Interview Score]:[Personality Score]])</f>
        <v>69.666666666666671</v>
      </c>
      <c r="O11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05" s="2" t="str">
        <f t="shared" si="17"/>
        <v>20-30</v>
      </c>
    </row>
    <row r="1106" spans="1:16" x14ac:dyDescent="0.25">
      <c r="A1106">
        <v>38</v>
      </c>
      <c r="B1106" s="2">
        <v>1</v>
      </c>
      <c r="C1106" s="2">
        <v>3</v>
      </c>
      <c r="D1106" s="2">
        <v>8</v>
      </c>
      <c r="E1106" s="2">
        <v>4</v>
      </c>
      <c r="F1106" s="1">
        <v>41.915025470000003</v>
      </c>
      <c r="G1106" s="2">
        <v>18</v>
      </c>
      <c r="H1106" s="2">
        <v>21</v>
      </c>
      <c r="I1106" s="2">
        <v>15</v>
      </c>
      <c r="J1106" s="2">
        <v>1</v>
      </c>
      <c r="K1106" s="2">
        <v>1</v>
      </c>
      <c r="L110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06" t="str">
        <f>IF(Table1[[#This Row],[Experience Years]]&lt;=2,"Entry Level",IF(Table1[[#This Row],[Experience Years]]&lt;=7,"Mid Level",IF(Table1[[#This Row],[Experience Years]]&lt;=15,"Senior Level")))</f>
        <v>Senior Level</v>
      </c>
      <c r="N1106" s="1">
        <f>AVERAGE(Table1[[#This Row],[Interview Score]:[Personality Score]])</f>
        <v>18</v>
      </c>
      <c r="O11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06" s="2" t="str">
        <f t="shared" si="17"/>
        <v>40-50</v>
      </c>
    </row>
    <row r="1107" spans="1:16" x14ac:dyDescent="0.25">
      <c r="A1107">
        <v>36</v>
      </c>
      <c r="B1107" s="2">
        <v>0</v>
      </c>
      <c r="C1107" s="2">
        <v>2</v>
      </c>
      <c r="D1107" s="2">
        <v>14</v>
      </c>
      <c r="E1107" s="2">
        <v>4</v>
      </c>
      <c r="F1107" s="1">
        <v>35.166318130000001</v>
      </c>
      <c r="G1107" s="2">
        <v>20</v>
      </c>
      <c r="H1107" s="2">
        <v>67</v>
      </c>
      <c r="I1107" s="2">
        <v>69</v>
      </c>
      <c r="J1107" s="2">
        <v>1</v>
      </c>
      <c r="K1107" s="2">
        <v>1</v>
      </c>
      <c r="L110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07" s="2" t="str">
        <f>IF(Table1[[#This Row],[Experience Years]]&lt;=2,"Entry Level",IF(Table1[[#This Row],[Experience Years]]&lt;=7,"Mid Level",IF(Table1[[#This Row],[Experience Years]]&lt;=15,"Senior Level")))</f>
        <v>Senior Level</v>
      </c>
      <c r="N1107" s="1">
        <f>AVERAGE(Table1[[#This Row],[Interview Score]:[Personality Score]])</f>
        <v>52</v>
      </c>
      <c r="O11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07" s="2" t="str">
        <f t="shared" si="17"/>
        <v>30-40</v>
      </c>
    </row>
    <row r="1108" spans="1:16" x14ac:dyDescent="0.25">
      <c r="A1108">
        <v>24</v>
      </c>
      <c r="B1108" s="2">
        <v>1</v>
      </c>
      <c r="C1108" s="2">
        <v>1</v>
      </c>
      <c r="D1108" s="2">
        <v>11</v>
      </c>
      <c r="E1108" s="2">
        <v>2</v>
      </c>
      <c r="F1108" s="1">
        <v>10.17820571</v>
      </c>
      <c r="G1108" s="2">
        <v>90</v>
      </c>
      <c r="H1108" s="2">
        <v>18</v>
      </c>
      <c r="I1108" s="2">
        <v>65</v>
      </c>
      <c r="J1108" s="2">
        <v>2</v>
      </c>
      <c r="K1108" s="2">
        <v>0</v>
      </c>
      <c r="L110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08" t="str">
        <f>IF(Table1[[#This Row],[Experience Years]]&lt;=2,"Entry Level",IF(Table1[[#This Row],[Experience Years]]&lt;=7,"Mid Level",IF(Table1[[#This Row],[Experience Years]]&lt;=15,"Senior Level")))</f>
        <v>Senior Level</v>
      </c>
      <c r="N1108" s="1">
        <f>AVERAGE(Table1[[#This Row],[Interview Score]:[Personality Score]])</f>
        <v>57.666666666666664</v>
      </c>
      <c r="O11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08" s="2" t="str">
        <f t="shared" si="17"/>
        <v>10-20</v>
      </c>
    </row>
    <row r="1109" spans="1:16" x14ac:dyDescent="0.25">
      <c r="A1109">
        <v>48</v>
      </c>
      <c r="B1109" s="2">
        <v>1</v>
      </c>
      <c r="C1109" s="2">
        <v>2</v>
      </c>
      <c r="D1109" s="2">
        <v>11</v>
      </c>
      <c r="E1109" s="2">
        <v>2</v>
      </c>
      <c r="F1109" s="1">
        <v>42.04596068</v>
      </c>
      <c r="G1109" s="2">
        <v>82</v>
      </c>
      <c r="H1109" s="2">
        <v>65</v>
      </c>
      <c r="I1109" s="2">
        <v>12</v>
      </c>
      <c r="J1109" s="2">
        <v>2</v>
      </c>
      <c r="K1109" s="2">
        <v>0</v>
      </c>
      <c r="L110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09" t="str">
        <f>IF(Table1[[#This Row],[Experience Years]]&lt;=2,"Entry Level",IF(Table1[[#This Row],[Experience Years]]&lt;=7,"Mid Level",IF(Table1[[#This Row],[Experience Years]]&lt;=15,"Senior Level")))</f>
        <v>Senior Level</v>
      </c>
      <c r="N1109" s="1">
        <f>AVERAGE(Table1[[#This Row],[Interview Score]:[Personality Score]])</f>
        <v>53</v>
      </c>
      <c r="O11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09" s="2" t="str">
        <f t="shared" si="17"/>
        <v>40-50</v>
      </c>
    </row>
    <row r="1110" spans="1:16" x14ac:dyDescent="0.25">
      <c r="A1110">
        <v>23</v>
      </c>
      <c r="B1110" s="2">
        <v>1</v>
      </c>
      <c r="C1110" s="2">
        <v>3</v>
      </c>
      <c r="D1110" s="2">
        <v>5</v>
      </c>
      <c r="E1110" s="2">
        <v>2</v>
      </c>
      <c r="F1110" s="1">
        <v>22.44421947</v>
      </c>
      <c r="G1110" s="2">
        <v>23</v>
      </c>
      <c r="H1110" s="2">
        <v>38</v>
      </c>
      <c r="I1110" s="2">
        <v>46</v>
      </c>
      <c r="J1110" s="2">
        <v>3</v>
      </c>
      <c r="K1110" s="2">
        <v>0</v>
      </c>
      <c r="L111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10" t="str">
        <f>IF(Table1[[#This Row],[Experience Years]]&lt;=2,"Entry Level",IF(Table1[[#This Row],[Experience Years]]&lt;=7,"Mid Level",IF(Table1[[#This Row],[Experience Years]]&lt;=15,"Senior Level")))</f>
        <v>Mid Level</v>
      </c>
      <c r="N1110" s="1">
        <f>AVERAGE(Table1[[#This Row],[Interview Score]:[Personality Score]])</f>
        <v>35.666666666666664</v>
      </c>
      <c r="O11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10" s="2" t="str">
        <f t="shared" si="17"/>
        <v>20-30</v>
      </c>
    </row>
    <row r="1111" spans="1:16" x14ac:dyDescent="0.25">
      <c r="A1111">
        <v>29</v>
      </c>
      <c r="B1111" s="2">
        <v>1</v>
      </c>
      <c r="C1111" s="2">
        <v>1</v>
      </c>
      <c r="D1111" s="2">
        <v>2</v>
      </c>
      <c r="E1111" s="2">
        <v>3</v>
      </c>
      <c r="F1111" s="1">
        <v>10.449282999999999</v>
      </c>
      <c r="G1111" s="2">
        <v>25</v>
      </c>
      <c r="H1111" s="2">
        <v>72</v>
      </c>
      <c r="I1111" s="2">
        <v>8</v>
      </c>
      <c r="J1111" s="2">
        <v>2</v>
      </c>
      <c r="K1111" s="2">
        <v>0</v>
      </c>
      <c r="L111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11" t="str">
        <f>IF(Table1[[#This Row],[Experience Years]]&lt;=2,"Entry Level",IF(Table1[[#This Row],[Experience Years]]&lt;=7,"Mid Level",IF(Table1[[#This Row],[Experience Years]]&lt;=15,"Senior Level")))</f>
        <v>Entry Level</v>
      </c>
      <c r="N1111" s="1">
        <f>AVERAGE(Table1[[#This Row],[Interview Score]:[Personality Score]])</f>
        <v>35</v>
      </c>
      <c r="O11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11" s="2" t="str">
        <f t="shared" si="17"/>
        <v>10-20</v>
      </c>
    </row>
    <row r="1112" spans="1:16" x14ac:dyDescent="0.25">
      <c r="A1112">
        <v>43</v>
      </c>
      <c r="B1112" s="2">
        <v>0</v>
      </c>
      <c r="C1112" s="2">
        <v>2</v>
      </c>
      <c r="D1112" s="2">
        <v>11</v>
      </c>
      <c r="E1112" s="2">
        <v>2</v>
      </c>
      <c r="F1112" s="1">
        <v>15.08986752</v>
      </c>
      <c r="G1112" s="2">
        <v>44</v>
      </c>
      <c r="H1112" s="2">
        <v>18</v>
      </c>
      <c r="I1112" s="2">
        <v>62</v>
      </c>
      <c r="J1112" s="2">
        <v>1</v>
      </c>
      <c r="K1112" s="2">
        <v>1</v>
      </c>
      <c r="L111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12" s="2" t="str">
        <f>IF(Table1[[#This Row],[Experience Years]]&lt;=2,"Entry Level",IF(Table1[[#This Row],[Experience Years]]&lt;=7,"Mid Level",IF(Table1[[#This Row],[Experience Years]]&lt;=15,"Senior Level")))</f>
        <v>Senior Level</v>
      </c>
      <c r="N1112" s="1">
        <f>AVERAGE(Table1[[#This Row],[Interview Score]:[Personality Score]])</f>
        <v>41.333333333333336</v>
      </c>
      <c r="O11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12" s="2" t="str">
        <f t="shared" si="17"/>
        <v>10-20</v>
      </c>
    </row>
    <row r="1113" spans="1:16" x14ac:dyDescent="0.25">
      <c r="A1113">
        <v>36</v>
      </c>
      <c r="B1113" s="2">
        <v>1</v>
      </c>
      <c r="C1113" s="2">
        <v>1</v>
      </c>
      <c r="D1113" s="2">
        <v>6</v>
      </c>
      <c r="E1113" s="2">
        <v>4</v>
      </c>
      <c r="F1113" s="1">
        <v>14.376351509999999</v>
      </c>
      <c r="G1113" s="2">
        <v>27</v>
      </c>
      <c r="H1113" s="2">
        <v>15</v>
      </c>
      <c r="I1113" s="2">
        <v>33</v>
      </c>
      <c r="J1113" s="2">
        <v>3</v>
      </c>
      <c r="K1113" s="2">
        <v>0</v>
      </c>
      <c r="L111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13" t="str">
        <f>IF(Table1[[#This Row],[Experience Years]]&lt;=2,"Entry Level",IF(Table1[[#This Row],[Experience Years]]&lt;=7,"Mid Level",IF(Table1[[#This Row],[Experience Years]]&lt;=15,"Senior Level")))</f>
        <v>Mid Level</v>
      </c>
      <c r="N1113" s="1">
        <f>AVERAGE(Table1[[#This Row],[Interview Score]:[Personality Score]])</f>
        <v>25</v>
      </c>
      <c r="O11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13" s="2" t="str">
        <f t="shared" si="17"/>
        <v>10-20</v>
      </c>
    </row>
    <row r="1114" spans="1:16" x14ac:dyDescent="0.25">
      <c r="A1114">
        <v>29</v>
      </c>
      <c r="B1114" s="2">
        <v>0</v>
      </c>
      <c r="C1114" s="2">
        <v>2</v>
      </c>
      <c r="D1114" s="2">
        <v>8</v>
      </c>
      <c r="E1114" s="2">
        <v>3</v>
      </c>
      <c r="F1114" s="1">
        <v>26.96034873</v>
      </c>
      <c r="G1114" s="2">
        <v>81</v>
      </c>
      <c r="H1114" s="2">
        <v>53</v>
      </c>
      <c r="I1114" s="2">
        <v>80</v>
      </c>
      <c r="J1114" s="2">
        <v>3</v>
      </c>
      <c r="K1114" s="2">
        <v>1</v>
      </c>
      <c r="L111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14" s="2" t="str">
        <f>IF(Table1[[#This Row],[Experience Years]]&lt;=2,"Entry Level",IF(Table1[[#This Row],[Experience Years]]&lt;=7,"Mid Level",IF(Table1[[#This Row],[Experience Years]]&lt;=15,"Senior Level")))</f>
        <v>Senior Level</v>
      </c>
      <c r="N1114" s="1">
        <f>AVERAGE(Table1[[#This Row],[Interview Score]:[Personality Score]])</f>
        <v>71.333333333333329</v>
      </c>
      <c r="O11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114" s="2" t="str">
        <f t="shared" si="17"/>
        <v>20-30</v>
      </c>
    </row>
    <row r="1115" spans="1:16" x14ac:dyDescent="0.25">
      <c r="A1115">
        <v>36</v>
      </c>
      <c r="B1115" s="2">
        <v>1</v>
      </c>
      <c r="C1115" s="2">
        <v>4</v>
      </c>
      <c r="D1115" s="2">
        <v>2</v>
      </c>
      <c r="E1115" s="2">
        <v>5</v>
      </c>
      <c r="F1115" s="1">
        <v>12.718504530000001</v>
      </c>
      <c r="G1115" s="2">
        <v>99</v>
      </c>
      <c r="H1115" s="2">
        <v>24</v>
      </c>
      <c r="I1115" s="2">
        <v>90</v>
      </c>
      <c r="J1115" s="2">
        <v>2</v>
      </c>
      <c r="K1115" s="2">
        <v>0</v>
      </c>
      <c r="L111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15" t="str">
        <f>IF(Table1[[#This Row],[Experience Years]]&lt;=2,"Entry Level",IF(Table1[[#This Row],[Experience Years]]&lt;=7,"Mid Level",IF(Table1[[#This Row],[Experience Years]]&lt;=15,"Senior Level")))</f>
        <v>Entry Level</v>
      </c>
      <c r="N1115" s="1">
        <f>AVERAGE(Table1[[#This Row],[Interview Score]:[Personality Score]])</f>
        <v>71</v>
      </c>
      <c r="O11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115" s="2" t="str">
        <f t="shared" si="17"/>
        <v>10-20</v>
      </c>
    </row>
    <row r="1116" spans="1:16" x14ac:dyDescent="0.25">
      <c r="A1116">
        <v>47</v>
      </c>
      <c r="B1116" s="2">
        <v>1</v>
      </c>
      <c r="C1116" s="2">
        <v>2</v>
      </c>
      <c r="D1116" s="2">
        <v>15</v>
      </c>
      <c r="E1116" s="2">
        <v>1</v>
      </c>
      <c r="F1116" s="1">
        <v>7.1783243700000003</v>
      </c>
      <c r="G1116" s="2">
        <v>28</v>
      </c>
      <c r="H1116" s="2">
        <v>17</v>
      </c>
      <c r="I1116" s="2">
        <v>28</v>
      </c>
      <c r="J1116" s="2">
        <v>3</v>
      </c>
      <c r="K1116" s="2">
        <v>0</v>
      </c>
      <c r="L111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16" t="str">
        <f>IF(Table1[[#This Row],[Experience Years]]&lt;=2,"Entry Level",IF(Table1[[#This Row],[Experience Years]]&lt;=7,"Mid Level",IF(Table1[[#This Row],[Experience Years]]&lt;=15,"Senior Level")))</f>
        <v>Senior Level</v>
      </c>
      <c r="N1116" s="1">
        <f>AVERAGE(Table1[[#This Row],[Interview Score]:[Personality Score]])</f>
        <v>24.333333333333332</v>
      </c>
      <c r="O11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16" s="2" t="str">
        <f t="shared" si="17"/>
        <v>0-10</v>
      </c>
    </row>
    <row r="1117" spans="1:16" x14ac:dyDescent="0.25">
      <c r="A1117">
        <v>39</v>
      </c>
      <c r="B1117" s="2">
        <v>0</v>
      </c>
      <c r="C1117" s="2">
        <v>2</v>
      </c>
      <c r="D1117" s="2">
        <v>1</v>
      </c>
      <c r="E1117" s="2">
        <v>2</v>
      </c>
      <c r="F1117" s="1">
        <v>7.184542531</v>
      </c>
      <c r="G1117" s="2">
        <v>16</v>
      </c>
      <c r="H1117" s="2">
        <v>22</v>
      </c>
      <c r="I1117" s="2">
        <v>36</v>
      </c>
      <c r="J1117" s="2">
        <v>2</v>
      </c>
      <c r="K1117" s="2">
        <v>0</v>
      </c>
      <c r="L111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17" s="2" t="str">
        <f>IF(Table1[[#This Row],[Experience Years]]&lt;=2,"Entry Level",IF(Table1[[#This Row],[Experience Years]]&lt;=7,"Mid Level",IF(Table1[[#This Row],[Experience Years]]&lt;=15,"Senior Level")))</f>
        <v>Entry Level</v>
      </c>
      <c r="N1117" s="1">
        <f>AVERAGE(Table1[[#This Row],[Interview Score]:[Personality Score]])</f>
        <v>24.666666666666668</v>
      </c>
      <c r="O11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17" s="2" t="str">
        <f t="shared" si="17"/>
        <v>0-10</v>
      </c>
    </row>
    <row r="1118" spans="1:16" x14ac:dyDescent="0.25">
      <c r="A1118">
        <v>43</v>
      </c>
      <c r="B1118" s="2">
        <v>0</v>
      </c>
      <c r="C1118" s="2">
        <v>2</v>
      </c>
      <c r="D1118" s="2">
        <v>15</v>
      </c>
      <c r="E1118" s="2">
        <v>5</v>
      </c>
      <c r="F1118" s="1">
        <v>30.163809860000001</v>
      </c>
      <c r="G1118" s="2">
        <v>67</v>
      </c>
      <c r="H1118" s="2">
        <v>84</v>
      </c>
      <c r="I1118" s="2">
        <v>42</v>
      </c>
      <c r="J1118" s="2">
        <v>2</v>
      </c>
      <c r="K1118" s="2">
        <v>0</v>
      </c>
      <c r="L111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18" s="2" t="str">
        <f>IF(Table1[[#This Row],[Experience Years]]&lt;=2,"Entry Level",IF(Table1[[#This Row],[Experience Years]]&lt;=7,"Mid Level",IF(Table1[[#This Row],[Experience Years]]&lt;=15,"Senior Level")))</f>
        <v>Senior Level</v>
      </c>
      <c r="N1118" s="1">
        <f>AVERAGE(Table1[[#This Row],[Interview Score]:[Personality Score]])</f>
        <v>64.333333333333329</v>
      </c>
      <c r="O11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18" s="2" t="str">
        <f t="shared" si="17"/>
        <v>30-40</v>
      </c>
    </row>
    <row r="1119" spans="1:16" x14ac:dyDescent="0.25">
      <c r="A1119">
        <v>24</v>
      </c>
      <c r="B1119" s="2">
        <v>0</v>
      </c>
      <c r="C1119" s="2">
        <v>4</v>
      </c>
      <c r="D1119" s="2">
        <v>6</v>
      </c>
      <c r="E1119" s="2">
        <v>4</v>
      </c>
      <c r="F1119" s="1">
        <v>37.737964439999999</v>
      </c>
      <c r="G1119" s="2">
        <v>43</v>
      </c>
      <c r="H1119" s="2">
        <v>10</v>
      </c>
      <c r="I1119" s="2">
        <v>85</v>
      </c>
      <c r="J1119" s="2">
        <v>2</v>
      </c>
      <c r="K1119" s="2">
        <v>0</v>
      </c>
      <c r="L111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19" s="2" t="str">
        <f>IF(Table1[[#This Row],[Experience Years]]&lt;=2,"Entry Level",IF(Table1[[#This Row],[Experience Years]]&lt;=7,"Mid Level",IF(Table1[[#This Row],[Experience Years]]&lt;=15,"Senior Level")))</f>
        <v>Mid Level</v>
      </c>
      <c r="N1119" s="1">
        <f>AVERAGE(Table1[[#This Row],[Interview Score]:[Personality Score]])</f>
        <v>46</v>
      </c>
      <c r="O11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19" s="2" t="str">
        <f t="shared" si="17"/>
        <v>30-40</v>
      </c>
    </row>
    <row r="1120" spans="1:16" x14ac:dyDescent="0.25">
      <c r="A1120">
        <v>21</v>
      </c>
      <c r="B1120" s="2">
        <v>1</v>
      </c>
      <c r="C1120" s="2">
        <v>1</v>
      </c>
      <c r="D1120" s="2">
        <v>6</v>
      </c>
      <c r="E1120" s="2">
        <v>1</v>
      </c>
      <c r="F1120" s="1">
        <v>17.076650440000002</v>
      </c>
      <c r="G1120" s="2">
        <v>60</v>
      </c>
      <c r="H1120" s="2">
        <v>38</v>
      </c>
      <c r="I1120" s="2">
        <v>63</v>
      </c>
      <c r="J1120" s="2">
        <v>2</v>
      </c>
      <c r="K1120" s="2">
        <v>0</v>
      </c>
      <c r="L112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20" t="str">
        <f>IF(Table1[[#This Row],[Experience Years]]&lt;=2,"Entry Level",IF(Table1[[#This Row],[Experience Years]]&lt;=7,"Mid Level",IF(Table1[[#This Row],[Experience Years]]&lt;=15,"Senior Level")))</f>
        <v>Mid Level</v>
      </c>
      <c r="N1120" s="1">
        <f>AVERAGE(Table1[[#This Row],[Interview Score]:[Personality Score]])</f>
        <v>53.666666666666664</v>
      </c>
      <c r="O11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20" s="2" t="str">
        <f t="shared" si="17"/>
        <v>10-20</v>
      </c>
    </row>
    <row r="1121" spans="1:16" x14ac:dyDescent="0.25">
      <c r="A1121">
        <v>25</v>
      </c>
      <c r="B1121" s="2">
        <v>1</v>
      </c>
      <c r="C1121" s="2">
        <v>2</v>
      </c>
      <c r="D1121" s="2">
        <v>3</v>
      </c>
      <c r="E1121" s="2">
        <v>5</v>
      </c>
      <c r="F1121" s="1">
        <v>2.7325354910000001</v>
      </c>
      <c r="G1121" s="2">
        <v>92</v>
      </c>
      <c r="H1121" s="2">
        <v>67</v>
      </c>
      <c r="I1121" s="2">
        <v>23</v>
      </c>
      <c r="J1121" s="2">
        <v>1</v>
      </c>
      <c r="K1121" s="2">
        <v>1</v>
      </c>
      <c r="L112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21" t="str">
        <f>IF(Table1[[#This Row],[Experience Years]]&lt;=2,"Entry Level",IF(Table1[[#This Row],[Experience Years]]&lt;=7,"Mid Level",IF(Table1[[#This Row],[Experience Years]]&lt;=15,"Senior Level")))</f>
        <v>Mid Level</v>
      </c>
      <c r="N1121" s="1">
        <f>AVERAGE(Table1[[#This Row],[Interview Score]:[Personality Score]])</f>
        <v>60.666666666666664</v>
      </c>
      <c r="O11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21" s="2" t="str">
        <f t="shared" si="17"/>
        <v>0-10</v>
      </c>
    </row>
    <row r="1122" spans="1:16" x14ac:dyDescent="0.25">
      <c r="A1122">
        <v>40</v>
      </c>
      <c r="B1122" s="2">
        <v>0</v>
      </c>
      <c r="C1122" s="2">
        <v>2</v>
      </c>
      <c r="D1122" s="2">
        <v>10</v>
      </c>
      <c r="E1122" s="2">
        <v>1</v>
      </c>
      <c r="F1122" s="1">
        <v>7.3612443470000004</v>
      </c>
      <c r="G1122" s="2">
        <v>67</v>
      </c>
      <c r="H1122" s="2">
        <v>24</v>
      </c>
      <c r="I1122" s="2">
        <v>70</v>
      </c>
      <c r="J1122" s="2">
        <v>3</v>
      </c>
      <c r="K1122" s="2">
        <v>0</v>
      </c>
      <c r="L112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22" s="2" t="str">
        <f>IF(Table1[[#This Row],[Experience Years]]&lt;=2,"Entry Level",IF(Table1[[#This Row],[Experience Years]]&lt;=7,"Mid Level",IF(Table1[[#This Row],[Experience Years]]&lt;=15,"Senior Level")))</f>
        <v>Senior Level</v>
      </c>
      <c r="N1122" s="1">
        <f>AVERAGE(Table1[[#This Row],[Interview Score]:[Personality Score]])</f>
        <v>53.666666666666664</v>
      </c>
      <c r="O11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22" s="2" t="str">
        <f t="shared" si="17"/>
        <v>0-10</v>
      </c>
    </row>
    <row r="1123" spans="1:16" x14ac:dyDescent="0.25">
      <c r="A1123">
        <v>21</v>
      </c>
      <c r="B1123" s="2">
        <v>0</v>
      </c>
      <c r="C1123" s="2">
        <v>3</v>
      </c>
      <c r="D1123" s="2">
        <v>8</v>
      </c>
      <c r="E1123" s="2">
        <v>2</v>
      </c>
      <c r="F1123" s="1">
        <v>46.734728019999999</v>
      </c>
      <c r="G1123" s="2">
        <v>73</v>
      </c>
      <c r="H1123" s="2">
        <v>62</v>
      </c>
      <c r="I1123" s="2">
        <v>33</v>
      </c>
      <c r="J1123" s="2">
        <v>3</v>
      </c>
      <c r="K1123" s="2">
        <v>1</v>
      </c>
      <c r="L112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23" s="2" t="str">
        <f>IF(Table1[[#This Row],[Experience Years]]&lt;=2,"Entry Level",IF(Table1[[#This Row],[Experience Years]]&lt;=7,"Mid Level",IF(Table1[[#This Row],[Experience Years]]&lt;=15,"Senior Level")))</f>
        <v>Senior Level</v>
      </c>
      <c r="N1123" s="1">
        <f>AVERAGE(Table1[[#This Row],[Interview Score]:[Personality Score]])</f>
        <v>56</v>
      </c>
      <c r="O11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23" s="2" t="str">
        <f t="shared" si="17"/>
        <v>40-50</v>
      </c>
    </row>
    <row r="1124" spans="1:16" x14ac:dyDescent="0.25">
      <c r="A1124">
        <v>32</v>
      </c>
      <c r="B1124" s="2">
        <v>0</v>
      </c>
      <c r="C1124" s="2">
        <v>2</v>
      </c>
      <c r="D1124" s="2">
        <v>15</v>
      </c>
      <c r="E1124" s="2">
        <v>4</v>
      </c>
      <c r="F1124" s="1">
        <v>25.677182980000001</v>
      </c>
      <c r="G1124" s="2">
        <v>24</v>
      </c>
      <c r="H1124" s="2">
        <v>95</v>
      </c>
      <c r="I1124" s="2">
        <v>47</v>
      </c>
      <c r="J1124" s="2">
        <v>2</v>
      </c>
      <c r="K1124" s="2">
        <v>0</v>
      </c>
      <c r="L112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24" s="2" t="str">
        <f>IF(Table1[[#This Row],[Experience Years]]&lt;=2,"Entry Level",IF(Table1[[#This Row],[Experience Years]]&lt;=7,"Mid Level",IF(Table1[[#This Row],[Experience Years]]&lt;=15,"Senior Level")))</f>
        <v>Senior Level</v>
      </c>
      <c r="N1124" s="1">
        <f>AVERAGE(Table1[[#This Row],[Interview Score]:[Personality Score]])</f>
        <v>55.333333333333336</v>
      </c>
      <c r="O11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24" s="2" t="str">
        <f t="shared" si="17"/>
        <v>20-30</v>
      </c>
    </row>
    <row r="1125" spans="1:16" x14ac:dyDescent="0.25">
      <c r="A1125">
        <v>49</v>
      </c>
      <c r="B1125" s="2">
        <v>0</v>
      </c>
      <c r="C1125" s="2">
        <v>1</v>
      </c>
      <c r="D1125" s="2">
        <v>13</v>
      </c>
      <c r="E1125" s="2">
        <v>1</v>
      </c>
      <c r="F1125" s="1">
        <v>23.678640479999999</v>
      </c>
      <c r="G1125" s="2">
        <v>94</v>
      </c>
      <c r="H1125" s="2">
        <v>29</v>
      </c>
      <c r="I1125" s="2">
        <v>11</v>
      </c>
      <c r="J1125" s="2">
        <v>2</v>
      </c>
      <c r="K1125" s="2">
        <v>0</v>
      </c>
      <c r="L112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25" s="2" t="str">
        <f>IF(Table1[[#This Row],[Experience Years]]&lt;=2,"Entry Level",IF(Table1[[#This Row],[Experience Years]]&lt;=7,"Mid Level",IF(Table1[[#This Row],[Experience Years]]&lt;=15,"Senior Level")))</f>
        <v>Senior Level</v>
      </c>
      <c r="N1125" s="1">
        <f>AVERAGE(Table1[[#This Row],[Interview Score]:[Personality Score]])</f>
        <v>44.666666666666664</v>
      </c>
      <c r="O11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25" s="2" t="str">
        <f t="shared" si="17"/>
        <v>20-30</v>
      </c>
    </row>
    <row r="1126" spans="1:16" x14ac:dyDescent="0.25">
      <c r="A1126">
        <v>30</v>
      </c>
      <c r="B1126" s="2">
        <v>1</v>
      </c>
      <c r="C1126" s="2">
        <v>2</v>
      </c>
      <c r="D1126" s="2">
        <v>7</v>
      </c>
      <c r="E1126" s="2">
        <v>5</v>
      </c>
      <c r="F1126" s="1">
        <v>2.9024589160000001</v>
      </c>
      <c r="G1126" s="2">
        <v>66</v>
      </c>
      <c r="H1126" s="2">
        <v>44</v>
      </c>
      <c r="I1126" s="2">
        <v>22</v>
      </c>
      <c r="J1126" s="2">
        <v>1</v>
      </c>
      <c r="K1126" s="2">
        <v>0</v>
      </c>
      <c r="L112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26" t="str">
        <f>IF(Table1[[#This Row],[Experience Years]]&lt;=2,"Entry Level",IF(Table1[[#This Row],[Experience Years]]&lt;=7,"Mid Level",IF(Table1[[#This Row],[Experience Years]]&lt;=15,"Senior Level")))</f>
        <v>Mid Level</v>
      </c>
      <c r="N1126" s="1">
        <f>AVERAGE(Table1[[#This Row],[Interview Score]:[Personality Score]])</f>
        <v>44</v>
      </c>
      <c r="O11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26" s="2" t="str">
        <f t="shared" si="17"/>
        <v>0-10</v>
      </c>
    </row>
    <row r="1127" spans="1:16" x14ac:dyDescent="0.25">
      <c r="A1127">
        <v>30</v>
      </c>
      <c r="B1127" s="2">
        <v>0</v>
      </c>
      <c r="C1127" s="2">
        <v>3</v>
      </c>
      <c r="D1127" s="2">
        <v>12</v>
      </c>
      <c r="E1127" s="2">
        <v>2</v>
      </c>
      <c r="F1127" s="1">
        <v>37.431851119999997</v>
      </c>
      <c r="G1127" s="2">
        <v>1</v>
      </c>
      <c r="H1127" s="2">
        <v>89</v>
      </c>
      <c r="I1127" s="2">
        <v>78</v>
      </c>
      <c r="J1127" s="2">
        <v>1</v>
      </c>
      <c r="K1127" s="2">
        <v>1</v>
      </c>
      <c r="L112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27" s="2" t="str">
        <f>IF(Table1[[#This Row],[Experience Years]]&lt;=2,"Entry Level",IF(Table1[[#This Row],[Experience Years]]&lt;=7,"Mid Level",IF(Table1[[#This Row],[Experience Years]]&lt;=15,"Senior Level")))</f>
        <v>Senior Level</v>
      </c>
      <c r="N1127" s="1">
        <f>AVERAGE(Table1[[#This Row],[Interview Score]:[Personality Score]])</f>
        <v>56</v>
      </c>
      <c r="O11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27" s="2" t="str">
        <f t="shared" si="17"/>
        <v>30-40</v>
      </c>
    </row>
    <row r="1128" spans="1:16" x14ac:dyDescent="0.25">
      <c r="A1128">
        <v>35</v>
      </c>
      <c r="B1128" s="2">
        <v>0</v>
      </c>
      <c r="C1128" s="2">
        <v>1</v>
      </c>
      <c r="D1128" s="2">
        <v>12</v>
      </c>
      <c r="E1128" s="2">
        <v>2</v>
      </c>
      <c r="F1128" s="1">
        <v>27.403404049999999</v>
      </c>
      <c r="G1128" s="2">
        <v>88</v>
      </c>
      <c r="H1128" s="2">
        <v>60</v>
      </c>
      <c r="I1128" s="2">
        <v>96</v>
      </c>
      <c r="J1128" s="2">
        <v>1</v>
      </c>
      <c r="K1128" s="2">
        <v>1</v>
      </c>
      <c r="L112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28" s="2" t="str">
        <f>IF(Table1[[#This Row],[Experience Years]]&lt;=2,"Entry Level",IF(Table1[[#This Row],[Experience Years]]&lt;=7,"Mid Level",IF(Table1[[#This Row],[Experience Years]]&lt;=15,"Senior Level")))</f>
        <v>Senior Level</v>
      </c>
      <c r="N1128" s="1">
        <f>AVERAGE(Table1[[#This Row],[Interview Score]:[Personality Score]])</f>
        <v>81.333333333333329</v>
      </c>
      <c r="O11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128" s="2" t="str">
        <f t="shared" si="17"/>
        <v>20-30</v>
      </c>
    </row>
    <row r="1129" spans="1:16" x14ac:dyDescent="0.25">
      <c r="A1129">
        <v>30</v>
      </c>
      <c r="B1129" s="2">
        <v>0</v>
      </c>
      <c r="C1129" s="2">
        <v>3</v>
      </c>
      <c r="D1129" s="2">
        <v>0</v>
      </c>
      <c r="E1129" s="2">
        <v>5</v>
      </c>
      <c r="F1129" s="1">
        <v>11.104046800000001</v>
      </c>
      <c r="G1129" s="2">
        <v>48</v>
      </c>
      <c r="H1129" s="2">
        <v>99</v>
      </c>
      <c r="I1129" s="2">
        <v>12</v>
      </c>
      <c r="J1129" s="2">
        <v>2</v>
      </c>
      <c r="K1129" s="2">
        <v>0</v>
      </c>
      <c r="L112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29" s="2" t="str">
        <f>IF(Table1[[#This Row],[Experience Years]]&lt;=2,"Entry Level",IF(Table1[[#This Row],[Experience Years]]&lt;=7,"Mid Level",IF(Table1[[#This Row],[Experience Years]]&lt;=15,"Senior Level")))</f>
        <v>Entry Level</v>
      </c>
      <c r="N1129" s="1">
        <f>AVERAGE(Table1[[#This Row],[Interview Score]:[Personality Score]])</f>
        <v>53</v>
      </c>
      <c r="O11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29" s="2" t="str">
        <f t="shared" si="17"/>
        <v>10-20</v>
      </c>
    </row>
    <row r="1130" spans="1:16" x14ac:dyDescent="0.25">
      <c r="A1130">
        <v>38</v>
      </c>
      <c r="B1130" s="2">
        <v>0</v>
      </c>
      <c r="C1130" s="2">
        <v>1</v>
      </c>
      <c r="D1130" s="2">
        <v>0</v>
      </c>
      <c r="E1130" s="2">
        <v>5</v>
      </c>
      <c r="F1130" s="1">
        <v>6.5036880090000002</v>
      </c>
      <c r="G1130" s="2">
        <v>69</v>
      </c>
      <c r="H1130" s="2">
        <v>50</v>
      </c>
      <c r="I1130" s="2">
        <v>86</v>
      </c>
      <c r="J1130" s="2">
        <v>3</v>
      </c>
      <c r="K1130" s="2">
        <v>0</v>
      </c>
      <c r="L113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30" s="2" t="str">
        <f>IF(Table1[[#This Row],[Experience Years]]&lt;=2,"Entry Level",IF(Table1[[#This Row],[Experience Years]]&lt;=7,"Mid Level",IF(Table1[[#This Row],[Experience Years]]&lt;=15,"Senior Level")))</f>
        <v>Entry Level</v>
      </c>
      <c r="N1130" s="1">
        <f>AVERAGE(Table1[[#This Row],[Interview Score]:[Personality Score]])</f>
        <v>68.333333333333329</v>
      </c>
      <c r="O11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30" s="2" t="str">
        <f t="shared" si="17"/>
        <v>0-10</v>
      </c>
    </row>
    <row r="1131" spans="1:16" x14ac:dyDescent="0.25">
      <c r="A1131">
        <v>34</v>
      </c>
      <c r="B1131" s="2">
        <v>1</v>
      </c>
      <c r="C1131" s="2">
        <v>2</v>
      </c>
      <c r="D1131" s="2">
        <v>4</v>
      </c>
      <c r="E1131" s="2">
        <v>1</v>
      </c>
      <c r="F1131" s="1">
        <v>20.16939318</v>
      </c>
      <c r="G1131" s="2">
        <v>25</v>
      </c>
      <c r="H1131" s="2">
        <v>97</v>
      </c>
      <c r="I1131" s="2">
        <v>95</v>
      </c>
      <c r="J1131" s="2">
        <v>1</v>
      </c>
      <c r="K1131" s="2">
        <v>1</v>
      </c>
      <c r="L113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31" t="str">
        <f>IF(Table1[[#This Row],[Experience Years]]&lt;=2,"Entry Level",IF(Table1[[#This Row],[Experience Years]]&lt;=7,"Mid Level",IF(Table1[[#This Row],[Experience Years]]&lt;=15,"Senior Level")))</f>
        <v>Mid Level</v>
      </c>
      <c r="N1131" s="1">
        <f>AVERAGE(Table1[[#This Row],[Interview Score]:[Personality Score]])</f>
        <v>72.333333333333329</v>
      </c>
      <c r="O11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131" s="2" t="str">
        <f t="shared" si="17"/>
        <v>20-30</v>
      </c>
    </row>
    <row r="1132" spans="1:16" x14ac:dyDescent="0.25">
      <c r="A1132">
        <v>44</v>
      </c>
      <c r="B1132" s="2">
        <v>0</v>
      </c>
      <c r="C1132" s="2">
        <v>2</v>
      </c>
      <c r="D1132" s="2">
        <v>5</v>
      </c>
      <c r="E1132" s="2">
        <v>3</v>
      </c>
      <c r="F1132" s="1">
        <v>42.858098210000001</v>
      </c>
      <c r="G1132" s="2">
        <v>71</v>
      </c>
      <c r="H1132" s="2">
        <v>8</v>
      </c>
      <c r="I1132" s="2">
        <v>44</v>
      </c>
      <c r="J1132" s="2">
        <v>1</v>
      </c>
      <c r="K1132" s="2">
        <v>0</v>
      </c>
      <c r="L113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32" s="2" t="str">
        <f>IF(Table1[[#This Row],[Experience Years]]&lt;=2,"Entry Level",IF(Table1[[#This Row],[Experience Years]]&lt;=7,"Mid Level",IF(Table1[[#This Row],[Experience Years]]&lt;=15,"Senior Level")))</f>
        <v>Mid Level</v>
      </c>
      <c r="N1132" s="1">
        <f>AVERAGE(Table1[[#This Row],[Interview Score]:[Personality Score]])</f>
        <v>41</v>
      </c>
      <c r="O11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32" s="2" t="str">
        <f t="shared" si="17"/>
        <v>40-50</v>
      </c>
    </row>
    <row r="1133" spans="1:16" x14ac:dyDescent="0.25">
      <c r="A1133">
        <v>42</v>
      </c>
      <c r="B1133" s="2">
        <v>1</v>
      </c>
      <c r="C1133" s="2">
        <v>3</v>
      </c>
      <c r="D1133" s="2">
        <v>2</v>
      </c>
      <c r="E1133" s="2">
        <v>2</v>
      </c>
      <c r="F1133" s="1">
        <v>44.264727960000002</v>
      </c>
      <c r="G1133" s="2">
        <v>98</v>
      </c>
      <c r="H1133" s="2">
        <v>75</v>
      </c>
      <c r="I1133" s="2">
        <v>98</v>
      </c>
      <c r="J1133" s="2">
        <v>2</v>
      </c>
      <c r="K1133" s="2">
        <v>1</v>
      </c>
      <c r="L113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33" t="str">
        <f>IF(Table1[[#This Row],[Experience Years]]&lt;=2,"Entry Level",IF(Table1[[#This Row],[Experience Years]]&lt;=7,"Mid Level",IF(Table1[[#This Row],[Experience Years]]&lt;=15,"Senior Level")))</f>
        <v>Entry Level</v>
      </c>
      <c r="N1133" s="1">
        <f>AVERAGE(Table1[[#This Row],[Interview Score]:[Personality Score]])</f>
        <v>90.333333333333329</v>
      </c>
      <c r="O11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90-100</v>
      </c>
      <c r="P1133" s="2" t="str">
        <f t="shared" si="17"/>
        <v>40-50</v>
      </c>
    </row>
    <row r="1134" spans="1:16" x14ac:dyDescent="0.25">
      <c r="A1134">
        <v>42</v>
      </c>
      <c r="B1134" s="2">
        <v>0</v>
      </c>
      <c r="C1134" s="2">
        <v>2</v>
      </c>
      <c r="D1134" s="2">
        <v>12</v>
      </c>
      <c r="E1134" s="2">
        <v>1</v>
      </c>
      <c r="F1134" s="1">
        <v>31.142319019999999</v>
      </c>
      <c r="G1134" s="2">
        <v>26</v>
      </c>
      <c r="H1134" s="2">
        <v>1</v>
      </c>
      <c r="I1134" s="2">
        <v>64</v>
      </c>
      <c r="J1134" s="2">
        <v>1</v>
      </c>
      <c r="K1134" s="2">
        <v>1</v>
      </c>
      <c r="L113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34" s="2" t="str">
        <f>IF(Table1[[#This Row],[Experience Years]]&lt;=2,"Entry Level",IF(Table1[[#This Row],[Experience Years]]&lt;=7,"Mid Level",IF(Table1[[#This Row],[Experience Years]]&lt;=15,"Senior Level")))</f>
        <v>Senior Level</v>
      </c>
      <c r="N1134" s="1">
        <f>AVERAGE(Table1[[#This Row],[Interview Score]:[Personality Score]])</f>
        <v>30.333333333333332</v>
      </c>
      <c r="O11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34" s="2" t="str">
        <f t="shared" si="17"/>
        <v>30-40</v>
      </c>
    </row>
    <row r="1135" spans="1:16" x14ac:dyDescent="0.25">
      <c r="A1135">
        <v>35</v>
      </c>
      <c r="B1135" s="2">
        <v>0</v>
      </c>
      <c r="C1135" s="2">
        <v>3</v>
      </c>
      <c r="D1135" s="2">
        <v>8</v>
      </c>
      <c r="E1135" s="2">
        <v>5</v>
      </c>
      <c r="F1135" s="1">
        <v>37.376821360000001</v>
      </c>
      <c r="G1135" s="2">
        <v>88</v>
      </c>
      <c r="H1135" s="2">
        <v>4</v>
      </c>
      <c r="I1135" s="2">
        <v>46</v>
      </c>
      <c r="J1135" s="2">
        <v>3</v>
      </c>
      <c r="K1135" s="2">
        <v>0</v>
      </c>
      <c r="L113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35" s="2" t="str">
        <f>IF(Table1[[#This Row],[Experience Years]]&lt;=2,"Entry Level",IF(Table1[[#This Row],[Experience Years]]&lt;=7,"Mid Level",IF(Table1[[#This Row],[Experience Years]]&lt;=15,"Senior Level")))</f>
        <v>Senior Level</v>
      </c>
      <c r="N1135" s="1">
        <f>AVERAGE(Table1[[#This Row],[Interview Score]:[Personality Score]])</f>
        <v>46</v>
      </c>
      <c r="O11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35" s="2" t="str">
        <f t="shared" si="17"/>
        <v>30-40</v>
      </c>
    </row>
    <row r="1136" spans="1:16" x14ac:dyDescent="0.25">
      <c r="A1136">
        <v>50</v>
      </c>
      <c r="B1136" s="2">
        <v>1</v>
      </c>
      <c r="C1136" s="2">
        <v>3</v>
      </c>
      <c r="D1136" s="2">
        <v>11</v>
      </c>
      <c r="E1136" s="2">
        <v>1</v>
      </c>
      <c r="F1136" s="1">
        <v>6.7577893700000002</v>
      </c>
      <c r="G1136" s="2">
        <v>17</v>
      </c>
      <c r="H1136" s="2">
        <v>61</v>
      </c>
      <c r="I1136" s="2">
        <v>57</v>
      </c>
      <c r="J1136" s="2">
        <v>2</v>
      </c>
      <c r="K1136" s="2">
        <v>0</v>
      </c>
      <c r="L113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36" t="str">
        <f>IF(Table1[[#This Row],[Experience Years]]&lt;=2,"Entry Level",IF(Table1[[#This Row],[Experience Years]]&lt;=7,"Mid Level",IF(Table1[[#This Row],[Experience Years]]&lt;=15,"Senior Level")))</f>
        <v>Senior Level</v>
      </c>
      <c r="N1136" s="1">
        <f>AVERAGE(Table1[[#This Row],[Interview Score]:[Personality Score]])</f>
        <v>45</v>
      </c>
      <c r="O11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36" s="2" t="str">
        <f t="shared" si="17"/>
        <v>0-10</v>
      </c>
    </row>
    <row r="1137" spans="1:16" x14ac:dyDescent="0.25">
      <c r="A1137">
        <v>30</v>
      </c>
      <c r="B1137" s="2">
        <v>0</v>
      </c>
      <c r="C1137" s="2">
        <v>2</v>
      </c>
      <c r="D1137" s="2">
        <v>9</v>
      </c>
      <c r="E1137" s="2">
        <v>5</v>
      </c>
      <c r="F1137" s="1">
        <v>30.406303269999999</v>
      </c>
      <c r="G1137" s="2">
        <v>53</v>
      </c>
      <c r="H1137" s="2">
        <v>68</v>
      </c>
      <c r="I1137" s="2">
        <v>4</v>
      </c>
      <c r="J1137" s="2">
        <v>1</v>
      </c>
      <c r="K1137" s="2">
        <v>1</v>
      </c>
      <c r="L113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37" s="2" t="str">
        <f>IF(Table1[[#This Row],[Experience Years]]&lt;=2,"Entry Level",IF(Table1[[#This Row],[Experience Years]]&lt;=7,"Mid Level",IF(Table1[[#This Row],[Experience Years]]&lt;=15,"Senior Level")))</f>
        <v>Senior Level</v>
      </c>
      <c r="N1137" s="1">
        <f>AVERAGE(Table1[[#This Row],[Interview Score]:[Personality Score]])</f>
        <v>41.666666666666664</v>
      </c>
      <c r="O11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37" s="2" t="str">
        <f t="shared" si="17"/>
        <v>30-40</v>
      </c>
    </row>
    <row r="1138" spans="1:16" x14ac:dyDescent="0.25">
      <c r="A1138">
        <v>41</v>
      </c>
      <c r="B1138" s="2">
        <v>1</v>
      </c>
      <c r="C1138" s="2">
        <v>3</v>
      </c>
      <c r="D1138" s="2">
        <v>13</v>
      </c>
      <c r="E1138" s="2">
        <v>4</v>
      </c>
      <c r="F1138" s="1">
        <v>34.348285169999997</v>
      </c>
      <c r="G1138" s="2">
        <v>0</v>
      </c>
      <c r="H1138" s="2">
        <v>51</v>
      </c>
      <c r="I1138" s="2">
        <v>76</v>
      </c>
      <c r="J1138" s="2">
        <v>1</v>
      </c>
      <c r="K1138" s="2">
        <v>1</v>
      </c>
      <c r="L113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38" t="str">
        <f>IF(Table1[[#This Row],[Experience Years]]&lt;=2,"Entry Level",IF(Table1[[#This Row],[Experience Years]]&lt;=7,"Mid Level",IF(Table1[[#This Row],[Experience Years]]&lt;=15,"Senior Level")))</f>
        <v>Senior Level</v>
      </c>
      <c r="N1138" s="1">
        <f>AVERAGE(Table1[[#This Row],[Interview Score]:[Personality Score]])</f>
        <v>42.333333333333336</v>
      </c>
      <c r="O11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38" s="2" t="str">
        <f t="shared" si="17"/>
        <v>30-40</v>
      </c>
    </row>
    <row r="1139" spans="1:16" x14ac:dyDescent="0.25">
      <c r="A1139">
        <v>35</v>
      </c>
      <c r="B1139" s="2">
        <v>1</v>
      </c>
      <c r="C1139" s="2">
        <v>3</v>
      </c>
      <c r="D1139" s="2">
        <v>14</v>
      </c>
      <c r="E1139" s="2">
        <v>5</v>
      </c>
      <c r="F1139" s="1">
        <v>11.035642149999999</v>
      </c>
      <c r="G1139" s="2">
        <v>60</v>
      </c>
      <c r="H1139" s="2">
        <v>85</v>
      </c>
      <c r="I1139" s="2">
        <v>4</v>
      </c>
      <c r="J1139" s="2">
        <v>1</v>
      </c>
      <c r="K1139" s="2">
        <v>1</v>
      </c>
      <c r="L113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39" t="str">
        <f>IF(Table1[[#This Row],[Experience Years]]&lt;=2,"Entry Level",IF(Table1[[#This Row],[Experience Years]]&lt;=7,"Mid Level",IF(Table1[[#This Row],[Experience Years]]&lt;=15,"Senior Level")))</f>
        <v>Senior Level</v>
      </c>
      <c r="N1139" s="1">
        <f>AVERAGE(Table1[[#This Row],[Interview Score]:[Personality Score]])</f>
        <v>49.666666666666664</v>
      </c>
      <c r="O11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39" s="2" t="str">
        <f t="shared" si="17"/>
        <v>10-20</v>
      </c>
    </row>
    <row r="1140" spans="1:16" x14ac:dyDescent="0.25">
      <c r="A1140">
        <v>27</v>
      </c>
      <c r="B1140" s="2">
        <v>0</v>
      </c>
      <c r="C1140" s="2">
        <v>1</v>
      </c>
      <c r="D1140" s="2">
        <v>5</v>
      </c>
      <c r="E1140" s="2">
        <v>5</v>
      </c>
      <c r="F1140" s="1">
        <v>45.007736649999998</v>
      </c>
      <c r="G1140" s="2">
        <v>2</v>
      </c>
      <c r="H1140" s="2">
        <v>4</v>
      </c>
      <c r="I1140" s="2">
        <v>59</v>
      </c>
      <c r="J1140" s="2">
        <v>2</v>
      </c>
      <c r="K1140" s="2">
        <v>0</v>
      </c>
      <c r="L114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40" s="2" t="str">
        <f>IF(Table1[[#This Row],[Experience Years]]&lt;=2,"Entry Level",IF(Table1[[#This Row],[Experience Years]]&lt;=7,"Mid Level",IF(Table1[[#This Row],[Experience Years]]&lt;=15,"Senior Level")))</f>
        <v>Mid Level</v>
      </c>
      <c r="N1140" s="1">
        <f>AVERAGE(Table1[[#This Row],[Interview Score]:[Personality Score]])</f>
        <v>21.666666666666668</v>
      </c>
      <c r="O11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40" s="2" t="str">
        <f t="shared" si="17"/>
        <v>40-50</v>
      </c>
    </row>
    <row r="1141" spans="1:16" x14ac:dyDescent="0.25">
      <c r="A1141">
        <v>23</v>
      </c>
      <c r="B1141" s="2">
        <v>1</v>
      </c>
      <c r="C1141" s="2">
        <v>2</v>
      </c>
      <c r="D1141" s="2">
        <v>3</v>
      </c>
      <c r="E1141" s="2">
        <v>5</v>
      </c>
      <c r="F1141" s="1">
        <v>10.74983688</v>
      </c>
      <c r="G1141" s="2">
        <v>67</v>
      </c>
      <c r="H1141" s="2">
        <v>58</v>
      </c>
      <c r="I1141" s="2">
        <v>95</v>
      </c>
      <c r="J1141" s="2">
        <v>1</v>
      </c>
      <c r="K1141" s="2">
        <v>1</v>
      </c>
      <c r="L114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41" t="str">
        <f>IF(Table1[[#This Row],[Experience Years]]&lt;=2,"Entry Level",IF(Table1[[#This Row],[Experience Years]]&lt;=7,"Mid Level",IF(Table1[[#This Row],[Experience Years]]&lt;=15,"Senior Level")))</f>
        <v>Mid Level</v>
      </c>
      <c r="N1141" s="1">
        <f>AVERAGE(Table1[[#This Row],[Interview Score]:[Personality Score]])</f>
        <v>73.333333333333329</v>
      </c>
      <c r="O11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141" s="2" t="str">
        <f t="shared" si="17"/>
        <v>10-20</v>
      </c>
    </row>
    <row r="1142" spans="1:16" x14ac:dyDescent="0.25">
      <c r="A1142">
        <v>27</v>
      </c>
      <c r="B1142" s="2">
        <v>1</v>
      </c>
      <c r="C1142" s="2">
        <v>4</v>
      </c>
      <c r="D1142" s="2">
        <v>11</v>
      </c>
      <c r="E1142" s="2">
        <v>3</v>
      </c>
      <c r="F1142" s="1">
        <v>16.673867990000002</v>
      </c>
      <c r="G1142" s="2">
        <v>40</v>
      </c>
      <c r="H1142" s="2">
        <v>67</v>
      </c>
      <c r="I1142" s="2">
        <v>20</v>
      </c>
      <c r="J1142" s="2">
        <v>2</v>
      </c>
      <c r="K1142" s="2">
        <v>0</v>
      </c>
      <c r="L114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42" t="str">
        <f>IF(Table1[[#This Row],[Experience Years]]&lt;=2,"Entry Level",IF(Table1[[#This Row],[Experience Years]]&lt;=7,"Mid Level",IF(Table1[[#This Row],[Experience Years]]&lt;=15,"Senior Level")))</f>
        <v>Senior Level</v>
      </c>
      <c r="N1142" s="1">
        <f>AVERAGE(Table1[[#This Row],[Interview Score]:[Personality Score]])</f>
        <v>42.333333333333336</v>
      </c>
      <c r="O11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42" s="2" t="str">
        <f t="shared" si="17"/>
        <v>10-20</v>
      </c>
    </row>
    <row r="1143" spans="1:16" x14ac:dyDescent="0.25">
      <c r="A1143">
        <v>23</v>
      </c>
      <c r="B1143" s="2">
        <v>1</v>
      </c>
      <c r="C1143" s="2">
        <v>1</v>
      </c>
      <c r="D1143" s="2">
        <v>6</v>
      </c>
      <c r="E1143" s="2">
        <v>5</v>
      </c>
      <c r="F1143" s="1">
        <v>32.02784235</v>
      </c>
      <c r="G1143" s="2">
        <v>36</v>
      </c>
      <c r="H1143" s="2">
        <v>8</v>
      </c>
      <c r="I1143" s="2">
        <v>23</v>
      </c>
      <c r="J1143" s="2">
        <v>2</v>
      </c>
      <c r="K1143" s="2">
        <v>0</v>
      </c>
      <c r="L114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43" t="str">
        <f>IF(Table1[[#This Row],[Experience Years]]&lt;=2,"Entry Level",IF(Table1[[#This Row],[Experience Years]]&lt;=7,"Mid Level",IF(Table1[[#This Row],[Experience Years]]&lt;=15,"Senior Level")))</f>
        <v>Mid Level</v>
      </c>
      <c r="N1143" s="1">
        <f>AVERAGE(Table1[[#This Row],[Interview Score]:[Personality Score]])</f>
        <v>22.333333333333332</v>
      </c>
      <c r="O11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43" s="2" t="str">
        <f t="shared" si="17"/>
        <v>30-40</v>
      </c>
    </row>
    <row r="1144" spans="1:16" x14ac:dyDescent="0.25">
      <c r="A1144">
        <v>43</v>
      </c>
      <c r="B1144" s="2">
        <v>1</v>
      </c>
      <c r="C1144" s="2">
        <v>3</v>
      </c>
      <c r="D1144" s="2">
        <v>7</v>
      </c>
      <c r="E1144" s="2">
        <v>2</v>
      </c>
      <c r="F1144" s="1">
        <v>32.917503259999997</v>
      </c>
      <c r="G1144" s="2">
        <v>50</v>
      </c>
      <c r="H1144" s="2">
        <v>92</v>
      </c>
      <c r="I1144" s="2">
        <v>17</v>
      </c>
      <c r="J1144" s="2">
        <v>1</v>
      </c>
      <c r="K1144" s="2">
        <v>1</v>
      </c>
      <c r="L114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44" t="str">
        <f>IF(Table1[[#This Row],[Experience Years]]&lt;=2,"Entry Level",IF(Table1[[#This Row],[Experience Years]]&lt;=7,"Mid Level",IF(Table1[[#This Row],[Experience Years]]&lt;=15,"Senior Level")))</f>
        <v>Mid Level</v>
      </c>
      <c r="N1144" s="1">
        <f>AVERAGE(Table1[[#This Row],[Interview Score]:[Personality Score]])</f>
        <v>53</v>
      </c>
      <c r="O11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44" s="2" t="str">
        <f t="shared" si="17"/>
        <v>30-40</v>
      </c>
    </row>
    <row r="1145" spans="1:16" x14ac:dyDescent="0.25">
      <c r="A1145">
        <v>44</v>
      </c>
      <c r="B1145" s="2">
        <v>1</v>
      </c>
      <c r="C1145" s="2">
        <v>4</v>
      </c>
      <c r="D1145" s="2">
        <v>8</v>
      </c>
      <c r="E1145" s="2">
        <v>2</v>
      </c>
      <c r="F1145" s="1">
        <v>35.969237049999997</v>
      </c>
      <c r="G1145" s="2">
        <v>14</v>
      </c>
      <c r="H1145" s="2">
        <v>21</v>
      </c>
      <c r="I1145" s="2">
        <v>20</v>
      </c>
      <c r="J1145" s="2">
        <v>1</v>
      </c>
      <c r="K1145" s="2">
        <v>1</v>
      </c>
      <c r="L114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45" t="str">
        <f>IF(Table1[[#This Row],[Experience Years]]&lt;=2,"Entry Level",IF(Table1[[#This Row],[Experience Years]]&lt;=7,"Mid Level",IF(Table1[[#This Row],[Experience Years]]&lt;=15,"Senior Level")))</f>
        <v>Senior Level</v>
      </c>
      <c r="N1145" s="1">
        <f>AVERAGE(Table1[[#This Row],[Interview Score]:[Personality Score]])</f>
        <v>18.333333333333332</v>
      </c>
      <c r="O11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45" s="2" t="str">
        <f t="shared" si="17"/>
        <v>30-40</v>
      </c>
    </row>
    <row r="1146" spans="1:16" x14ac:dyDescent="0.25">
      <c r="A1146">
        <v>22</v>
      </c>
      <c r="B1146" s="2">
        <v>1</v>
      </c>
      <c r="C1146" s="2">
        <v>1</v>
      </c>
      <c r="D1146" s="2">
        <v>12</v>
      </c>
      <c r="E1146" s="2">
        <v>1</v>
      </c>
      <c r="F1146" s="1">
        <v>6.6005856530000004</v>
      </c>
      <c r="G1146" s="2">
        <v>7</v>
      </c>
      <c r="H1146" s="2">
        <v>26</v>
      </c>
      <c r="I1146" s="2">
        <v>53</v>
      </c>
      <c r="J1146" s="2">
        <v>2</v>
      </c>
      <c r="K1146" s="2">
        <v>0</v>
      </c>
      <c r="L114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46" t="str">
        <f>IF(Table1[[#This Row],[Experience Years]]&lt;=2,"Entry Level",IF(Table1[[#This Row],[Experience Years]]&lt;=7,"Mid Level",IF(Table1[[#This Row],[Experience Years]]&lt;=15,"Senior Level")))</f>
        <v>Senior Level</v>
      </c>
      <c r="N1146" s="1">
        <f>AVERAGE(Table1[[#This Row],[Interview Score]:[Personality Score]])</f>
        <v>28.666666666666668</v>
      </c>
      <c r="O11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46" s="2" t="str">
        <f t="shared" si="17"/>
        <v>0-10</v>
      </c>
    </row>
    <row r="1147" spans="1:16" x14ac:dyDescent="0.25">
      <c r="A1147">
        <v>22</v>
      </c>
      <c r="B1147" s="2">
        <v>1</v>
      </c>
      <c r="C1147" s="2">
        <v>2</v>
      </c>
      <c r="D1147" s="2">
        <v>15</v>
      </c>
      <c r="E1147" s="2">
        <v>3</v>
      </c>
      <c r="F1147" s="1">
        <v>43.473221500000001</v>
      </c>
      <c r="G1147" s="2">
        <v>37</v>
      </c>
      <c r="H1147" s="2">
        <v>9</v>
      </c>
      <c r="I1147" s="2">
        <v>9</v>
      </c>
      <c r="J1147" s="2">
        <v>2</v>
      </c>
      <c r="K1147" s="2">
        <v>0</v>
      </c>
      <c r="L114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47" t="str">
        <f>IF(Table1[[#This Row],[Experience Years]]&lt;=2,"Entry Level",IF(Table1[[#This Row],[Experience Years]]&lt;=7,"Mid Level",IF(Table1[[#This Row],[Experience Years]]&lt;=15,"Senior Level")))</f>
        <v>Senior Level</v>
      </c>
      <c r="N1147" s="1">
        <f>AVERAGE(Table1[[#This Row],[Interview Score]:[Personality Score]])</f>
        <v>18.333333333333332</v>
      </c>
      <c r="O11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47" s="2" t="str">
        <f t="shared" si="17"/>
        <v>40-50</v>
      </c>
    </row>
    <row r="1148" spans="1:16" x14ac:dyDescent="0.25">
      <c r="A1148">
        <v>46</v>
      </c>
      <c r="B1148" s="2">
        <v>1</v>
      </c>
      <c r="C1148" s="2">
        <v>2</v>
      </c>
      <c r="D1148" s="2">
        <v>10</v>
      </c>
      <c r="E1148" s="2">
        <v>1</v>
      </c>
      <c r="F1148" s="1">
        <v>27.64235661</v>
      </c>
      <c r="G1148" s="2">
        <v>82</v>
      </c>
      <c r="H1148" s="2">
        <v>79</v>
      </c>
      <c r="I1148" s="2">
        <v>23</v>
      </c>
      <c r="J1148" s="2">
        <v>3</v>
      </c>
      <c r="K1148" s="2">
        <v>0</v>
      </c>
      <c r="L114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48" t="str">
        <f>IF(Table1[[#This Row],[Experience Years]]&lt;=2,"Entry Level",IF(Table1[[#This Row],[Experience Years]]&lt;=7,"Mid Level",IF(Table1[[#This Row],[Experience Years]]&lt;=15,"Senior Level")))</f>
        <v>Senior Level</v>
      </c>
      <c r="N1148" s="1">
        <f>AVERAGE(Table1[[#This Row],[Interview Score]:[Personality Score]])</f>
        <v>61.333333333333336</v>
      </c>
      <c r="O11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48" s="2" t="str">
        <f t="shared" si="17"/>
        <v>20-30</v>
      </c>
    </row>
    <row r="1149" spans="1:16" x14ac:dyDescent="0.25">
      <c r="A1149">
        <v>48</v>
      </c>
      <c r="B1149" s="2">
        <v>0</v>
      </c>
      <c r="C1149" s="2">
        <v>2</v>
      </c>
      <c r="D1149" s="2">
        <v>5</v>
      </c>
      <c r="E1149" s="2">
        <v>2</v>
      </c>
      <c r="F1149" s="1">
        <v>24.56608971</v>
      </c>
      <c r="G1149" s="2">
        <v>55</v>
      </c>
      <c r="H1149" s="2">
        <v>60</v>
      </c>
      <c r="I1149" s="2">
        <v>84</v>
      </c>
      <c r="J1149" s="2">
        <v>1</v>
      </c>
      <c r="K1149" s="2">
        <v>1</v>
      </c>
      <c r="L114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49" s="2" t="str">
        <f>IF(Table1[[#This Row],[Experience Years]]&lt;=2,"Entry Level",IF(Table1[[#This Row],[Experience Years]]&lt;=7,"Mid Level",IF(Table1[[#This Row],[Experience Years]]&lt;=15,"Senior Level")))</f>
        <v>Mid Level</v>
      </c>
      <c r="N1149" s="1">
        <f>AVERAGE(Table1[[#This Row],[Interview Score]:[Personality Score]])</f>
        <v>66.333333333333329</v>
      </c>
      <c r="O11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49" s="2" t="str">
        <f t="shared" si="17"/>
        <v>20-30</v>
      </c>
    </row>
    <row r="1150" spans="1:16" x14ac:dyDescent="0.25">
      <c r="A1150">
        <v>37</v>
      </c>
      <c r="B1150" s="2">
        <v>0</v>
      </c>
      <c r="C1150" s="2">
        <v>1</v>
      </c>
      <c r="D1150" s="2">
        <v>14</v>
      </c>
      <c r="E1150" s="2">
        <v>2</v>
      </c>
      <c r="F1150" s="1">
        <v>50.054881229999999</v>
      </c>
      <c r="G1150" s="2">
        <v>46</v>
      </c>
      <c r="H1150" s="2">
        <v>50</v>
      </c>
      <c r="I1150" s="2">
        <v>88</v>
      </c>
      <c r="J1150" s="2">
        <v>1</v>
      </c>
      <c r="K1150" s="2">
        <v>1</v>
      </c>
      <c r="L115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50" s="2" t="str">
        <f>IF(Table1[[#This Row],[Experience Years]]&lt;=2,"Entry Level",IF(Table1[[#This Row],[Experience Years]]&lt;=7,"Mid Level",IF(Table1[[#This Row],[Experience Years]]&lt;=15,"Senior Level")))</f>
        <v>Senior Level</v>
      </c>
      <c r="N1150" s="1">
        <f>AVERAGE(Table1[[#This Row],[Interview Score]:[Personality Score]])</f>
        <v>61.333333333333336</v>
      </c>
      <c r="O11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50" s="2" t="str">
        <f t="shared" si="17"/>
        <v>50+</v>
      </c>
    </row>
    <row r="1151" spans="1:16" x14ac:dyDescent="0.25">
      <c r="A1151">
        <v>48</v>
      </c>
      <c r="B1151" s="2">
        <v>1</v>
      </c>
      <c r="C1151" s="2">
        <v>1</v>
      </c>
      <c r="D1151" s="2">
        <v>5</v>
      </c>
      <c r="E1151" s="2">
        <v>4</v>
      </c>
      <c r="F1151" s="1">
        <v>38.018914850000002</v>
      </c>
      <c r="G1151" s="2">
        <v>89</v>
      </c>
      <c r="H1151" s="2">
        <v>9</v>
      </c>
      <c r="I1151" s="2">
        <v>59</v>
      </c>
      <c r="J1151" s="2">
        <v>1</v>
      </c>
      <c r="K1151" s="2">
        <v>0</v>
      </c>
      <c r="L115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51" t="str">
        <f>IF(Table1[[#This Row],[Experience Years]]&lt;=2,"Entry Level",IF(Table1[[#This Row],[Experience Years]]&lt;=7,"Mid Level",IF(Table1[[#This Row],[Experience Years]]&lt;=15,"Senior Level")))</f>
        <v>Mid Level</v>
      </c>
      <c r="N1151" s="1">
        <f>AVERAGE(Table1[[#This Row],[Interview Score]:[Personality Score]])</f>
        <v>52.333333333333336</v>
      </c>
      <c r="O11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51" s="2" t="str">
        <f t="shared" si="17"/>
        <v>30-40</v>
      </c>
    </row>
    <row r="1152" spans="1:16" x14ac:dyDescent="0.25">
      <c r="A1152">
        <v>45</v>
      </c>
      <c r="B1152" s="2">
        <v>0</v>
      </c>
      <c r="C1152" s="2">
        <v>2</v>
      </c>
      <c r="D1152" s="2">
        <v>7</v>
      </c>
      <c r="E1152" s="2">
        <v>5</v>
      </c>
      <c r="F1152" s="1">
        <v>6.9003013309999996</v>
      </c>
      <c r="G1152" s="2">
        <v>9</v>
      </c>
      <c r="H1152" s="2">
        <v>5</v>
      </c>
      <c r="I1152" s="2">
        <v>56</v>
      </c>
      <c r="J1152" s="2">
        <v>2</v>
      </c>
      <c r="K1152" s="2">
        <v>0</v>
      </c>
      <c r="L115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52" s="2" t="str">
        <f>IF(Table1[[#This Row],[Experience Years]]&lt;=2,"Entry Level",IF(Table1[[#This Row],[Experience Years]]&lt;=7,"Mid Level",IF(Table1[[#This Row],[Experience Years]]&lt;=15,"Senior Level")))</f>
        <v>Mid Level</v>
      </c>
      <c r="N1152" s="1">
        <f>AVERAGE(Table1[[#This Row],[Interview Score]:[Personality Score]])</f>
        <v>23.333333333333332</v>
      </c>
      <c r="O11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52" s="2" t="str">
        <f t="shared" si="17"/>
        <v>0-10</v>
      </c>
    </row>
    <row r="1153" spans="1:16" x14ac:dyDescent="0.25">
      <c r="A1153">
        <v>38</v>
      </c>
      <c r="B1153" s="2">
        <v>1</v>
      </c>
      <c r="C1153" s="2">
        <v>3</v>
      </c>
      <c r="D1153" s="2">
        <v>11</v>
      </c>
      <c r="E1153" s="2">
        <v>2</v>
      </c>
      <c r="F1153" s="1">
        <v>38.826958359999999</v>
      </c>
      <c r="G1153" s="2">
        <v>77</v>
      </c>
      <c r="H1153" s="2">
        <v>61</v>
      </c>
      <c r="I1153" s="2">
        <v>22</v>
      </c>
      <c r="J1153" s="2">
        <v>2</v>
      </c>
      <c r="K1153" s="2">
        <v>1</v>
      </c>
      <c r="L115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53" t="str">
        <f>IF(Table1[[#This Row],[Experience Years]]&lt;=2,"Entry Level",IF(Table1[[#This Row],[Experience Years]]&lt;=7,"Mid Level",IF(Table1[[#This Row],[Experience Years]]&lt;=15,"Senior Level")))</f>
        <v>Senior Level</v>
      </c>
      <c r="N1153" s="1">
        <f>AVERAGE(Table1[[#This Row],[Interview Score]:[Personality Score]])</f>
        <v>53.333333333333336</v>
      </c>
      <c r="O11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53" s="2" t="str">
        <f t="shared" si="17"/>
        <v>30-40</v>
      </c>
    </row>
    <row r="1154" spans="1:16" x14ac:dyDescent="0.25">
      <c r="A1154">
        <v>38</v>
      </c>
      <c r="B1154" s="2">
        <v>1</v>
      </c>
      <c r="C1154" s="2">
        <v>3</v>
      </c>
      <c r="D1154" s="2">
        <v>4</v>
      </c>
      <c r="E1154" s="2">
        <v>1</v>
      </c>
      <c r="F1154" s="1">
        <v>5.7624466989999998</v>
      </c>
      <c r="G1154" s="2">
        <v>48</v>
      </c>
      <c r="H1154" s="2">
        <v>4</v>
      </c>
      <c r="I1154" s="2">
        <v>21</v>
      </c>
      <c r="J1154" s="2">
        <v>3</v>
      </c>
      <c r="K1154" s="2">
        <v>0</v>
      </c>
      <c r="L115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54" t="str">
        <f>IF(Table1[[#This Row],[Experience Years]]&lt;=2,"Entry Level",IF(Table1[[#This Row],[Experience Years]]&lt;=7,"Mid Level",IF(Table1[[#This Row],[Experience Years]]&lt;=15,"Senior Level")))</f>
        <v>Mid Level</v>
      </c>
      <c r="N1154" s="1">
        <f>AVERAGE(Table1[[#This Row],[Interview Score]:[Personality Score]])</f>
        <v>24.333333333333332</v>
      </c>
      <c r="O11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54" s="2" t="str">
        <f t="shared" ref="P1154:P1217" si="18">IF(F1154&lt;10,"0-10",IF(F1154&lt;20,"10-20",IF(F1154&lt;30,"20-30",IF(F1154&lt;40,"30-40",IF(F1154&lt;50,"40-50","50+")))))</f>
        <v>0-10</v>
      </c>
    </row>
    <row r="1155" spans="1:16" x14ac:dyDescent="0.25">
      <c r="A1155">
        <v>40</v>
      </c>
      <c r="B1155" s="2">
        <v>0</v>
      </c>
      <c r="C1155" s="2">
        <v>2</v>
      </c>
      <c r="D1155" s="2">
        <v>13</v>
      </c>
      <c r="E1155" s="2">
        <v>1</v>
      </c>
      <c r="F1155" s="1">
        <v>2.3735281260000001</v>
      </c>
      <c r="G1155" s="2">
        <v>40</v>
      </c>
      <c r="H1155" s="2">
        <v>69</v>
      </c>
      <c r="I1155" s="2">
        <v>67</v>
      </c>
      <c r="J1155" s="2">
        <v>2</v>
      </c>
      <c r="K1155" s="2">
        <v>0</v>
      </c>
      <c r="L115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55" s="2" t="str">
        <f>IF(Table1[[#This Row],[Experience Years]]&lt;=2,"Entry Level",IF(Table1[[#This Row],[Experience Years]]&lt;=7,"Mid Level",IF(Table1[[#This Row],[Experience Years]]&lt;=15,"Senior Level")))</f>
        <v>Senior Level</v>
      </c>
      <c r="N1155" s="1">
        <f>AVERAGE(Table1[[#This Row],[Interview Score]:[Personality Score]])</f>
        <v>58.666666666666664</v>
      </c>
      <c r="O11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55" s="2" t="str">
        <f t="shared" si="18"/>
        <v>0-10</v>
      </c>
    </row>
    <row r="1156" spans="1:16" x14ac:dyDescent="0.25">
      <c r="A1156">
        <v>24</v>
      </c>
      <c r="B1156" s="2">
        <v>1</v>
      </c>
      <c r="C1156" s="2">
        <v>1</v>
      </c>
      <c r="D1156" s="2">
        <v>2</v>
      </c>
      <c r="E1156" s="2">
        <v>5</v>
      </c>
      <c r="F1156" s="1">
        <v>21.18129476</v>
      </c>
      <c r="G1156" s="2">
        <v>82</v>
      </c>
      <c r="H1156" s="2">
        <v>62</v>
      </c>
      <c r="I1156" s="2">
        <v>33</v>
      </c>
      <c r="J1156" s="2">
        <v>1</v>
      </c>
      <c r="K1156" s="2">
        <v>1</v>
      </c>
      <c r="L115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56" t="str">
        <f>IF(Table1[[#This Row],[Experience Years]]&lt;=2,"Entry Level",IF(Table1[[#This Row],[Experience Years]]&lt;=7,"Mid Level",IF(Table1[[#This Row],[Experience Years]]&lt;=15,"Senior Level")))</f>
        <v>Entry Level</v>
      </c>
      <c r="N1156" s="1">
        <f>AVERAGE(Table1[[#This Row],[Interview Score]:[Personality Score]])</f>
        <v>59</v>
      </c>
      <c r="O11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56" s="2" t="str">
        <f t="shared" si="18"/>
        <v>20-30</v>
      </c>
    </row>
    <row r="1157" spans="1:16" x14ac:dyDescent="0.25">
      <c r="A1157">
        <v>37</v>
      </c>
      <c r="B1157" s="2">
        <v>1</v>
      </c>
      <c r="C1157" s="2">
        <v>2</v>
      </c>
      <c r="D1157" s="2">
        <v>11</v>
      </c>
      <c r="E1157" s="2">
        <v>5</v>
      </c>
      <c r="F1157" s="1">
        <v>50.678908640000003</v>
      </c>
      <c r="G1157" s="2">
        <v>29</v>
      </c>
      <c r="H1157" s="2">
        <v>55</v>
      </c>
      <c r="I1157" s="2">
        <v>69</v>
      </c>
      <c r="J1157" s="2">
        <v>2</v>
      </c>
      <c r="K1157" s="2">
        <v>0</v>
      </c>
      <c r="L115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57" t="str">
        <f>IF(Table1[[#This Row],[Experience Years]]&lt;=2,"Entry Level",IF(Table1[[#This Row],[Experience Years]]&lt;=7,"Mid Level",IF(Table1[[#This Row],[Experience Years]]&lt;=15,"Senior Level")))</f>
        <v>Senior Level</v>
      </c>
      <c r="N1157" s="1">
        <f>AVERAGE(Table1[[#This Row],[Interview Score]:[Personality Score]])</f>
        <v>51</v>
      </c>
      <c r="O11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57" s="2" t="str">
        <f t="shared" si="18"/>
        <v>50+</v>
      </c>
    </row>
    <row r="1158" spans="1:16" x14ac:dyDescent="0.25">
      <c r="A1158">
        <v>47</v>
      </c>
      <c r="B1158" s="2">
        <v>1</v>
      </c>
      <c r="C1158" s="2">
        <v>2</v>
      </c>
      <c r="D1158" s="2">
        <v>2</v>
      </c>
      <c r="E1158" s="2">
        <v>4</v>
      </c>
      <c r="F1158" s="1">
        <v>9.74419681</v>
      </c>
      <c r="G1158" s="2">
        <v>4</v>
      </c>
      <c r="H1158" s="2">
        <v>58</v>
      </c>
      <c r="I1158" s="2">
        <v>27</v>
      </c>
      <c r="J1158" s="2">
        <v>3</v>
      </c>
      <c r="K1158" s="2">
        <v>0</v>
      </c>
      <c r="L115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58" t="str">
        <f>IF(Table1[[#This Row],[Experience Years]]&lt;=2,"Entry Level",IF(Table1[[#This Row],[Experience Years]]&lt;=7,"Mid Level",IF(Table1[[#This Row],[Experience Years]]&lt;=15,"Senior Level")))</f>
        <v>Entry Level</v>
      </c>
      <c r="N1158" s="1">
        <f>AVERAGE(Table1[[#This Row],[Interview Score]:[Personality Score]])</f>
        <v>29.666666666666668</v>
      </c>
      <c r="O11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58" s="2" t="str">
        <f t="shared" si="18"/>
        <v>0-10</v>
      </c>
    </row>
    <row r="1159" spans="1:16" x14ac:dyDescent="0.25">
      <c r="A1159">
        <v>29</v>
      </c>
      <c r="B1159" s="2">
        <v>1</v>
      </c>
      <c r="C1159" s="2">
        <v>4</v>
      </c>
      <c r="D1159" s="2">
        <v>12</v>
      </c>
      <c r="E1159" s="2">
        <v>3</v>
      </c>
      <c r="F1159" s="1">
        <v>34.632217179999998</v>
      </c>
      <c r="G1159" s="2">
        <v>94</v>
      </c>
      <c r="H1159" s="2">
        <v>62</v>
      </c>
      <c r="I1159" s="2">
        <v>94</v>
      </c>
      <c r="J1159" s="2">
        <v>2</v>
      </c>
      <c r="K1159" s="2">
        <v>1</v>
      </c>
      <c r="L115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59" t="str">
        <f>IF(Table1[[#This Row],[Experience Years]]&lt;=2,"Entry Level",IF(Table1[[#This Row],[Experience Years]]&lt;=7,"Mid Level",IF(Table1[[#This Row],[Experience Years]]&lt;=15,"Senior Level")))</f>
        <v>Senior Level</v>
      </c>
      <c r="N1159" s="1">
        <f>AVERAGE(Table1[[#This Row],[Interview Score]:[Personality Score]])</f>
        <v>83.333333333333329</v>
      </c>
      <c r="O11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159" s="2" t="str">
        <f t="shared" si="18"/>
        <v>30-40</v>
      </c>
    </row>
    <row r="1160" spans="1:16" x14ac:dyDescent="0.25">
      <c r="A1160">
        <v>48</v>
      </c>
      <c r="B1160" s="2">
        <v>0</v>
      </c>
      <c r="C1160" s="2">
        <v>3</v>
      </c>
      <c r="D1160" s="2">
        <v>5</v>
      </c>
      <c r="E1160" s="2">
        <v>1</v>
      </c>
      <c r="F1160" s="1">
        <v>9.6698033100000007</v>
      </c>
      <c r="G1160" s="2">
        <v>70</v>
      </c>
      <c r="H1160" s="2">
        <v>88</v>
      </c>
      <c r="I1160" s="2">
        <v>98</v>
      </c>
      <c r="J1160" s="2">
        <v>2</v>
      </c>
      <c r="K1160" s="2">
        <v>0</v>
      </c>
      <c r="L116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60" s="2" t="str">
        <f>IF(Table1[[#This Row],[Experience Years]]&lt;=2,"Entry Level",IF(Table1[[#This Row],[Experience Years]]&lt;=7,"Mid Level",IF(Table1[[#This Row],[Experience Years]]&lt;=15,"Senior Level")))</f>
        <v>Mid Level</v>
      </c>
      <c r="N1160" s="1">
        <f>AVERAGE(Table1[[#This Row],[Interview Score]:[Personality Score]])</f>
        <v>85.333333333333329</v>
      </c>
      <c r="O11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160" s="2" t="str">
        <f t="shared" si="18"/>
        <v>0-10</v>
      </c>
    </row>
    <row r="1161" spans="1:16" x14ac:dyDescent="0.25">
      <c r="A1161">
        <v>41</v>
      </c>
      <c r="B1161" s="2">
        <v>1</v>
      </c>
      <c r="C1161" s="2">
        <v>3</v>
      </c>
      <c r="D1161" s="2">
        <v>1</v>
      </c>
      <c r="E1161" s="2">
        <v>5</v>
      </c>
      <c r="F1161" s="1">
        <v>37.239348749999998</v>
      </c>
      <c r="G1161" s="2">
        <v>82</v>
      </c>
      <c r="H1161" s="2">
        <v>58</v>
      </c>
      <c r="I1161" s="2">
        <v>38</v>
      </c>
      <c r="J1161" s="2">
        <v>3</v>
      </c>
      <c r="K1161" s="2">
        <v>0</v>
      </c>
      <c r="L116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61" t="str">
        <f>IF(Table1[[#This Row],[Experience Years]]&lt;=2,"Entry Level",IF(Table1[[#This Row],[Experience Years]]&lt;=7,"Mid Level",IF(Table1[[#This Row],[Experience Years]]&lt;=15,"Senior Level")))</f>
        <v>Entry Level</v>
      </c>
      <c r="N1161" s="1">
        <f>AVERAGE(Table1[[#This Row],[Interview Score]:[Personality Score]])</f>
        <v>59.333333333333336</v>
      </c>
      <c r="O11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61" s="2" t="str">
        <f t="shared" si="18"/>
        <v>30-40</v>
      </c>
    </row>
    <row r="1162" spans="1:16" x14ac:dyDescent="0.25">
      <c r="A1162">
        <v>40</v>
      </c>
      <c r="B1162" s="2">
        <v>1</v>
      </c>
      <c r="C1162" s="2">
        <v>4</v>
      </c>
      <c r="D1162" s="2">
        <v>15</v>
      </c>
      <c r="E1162" s="2">
        <v>1</v>
      </c>
      <c r="F1162" s="1">
        <v>26.26768341</v>
      </c>
      <c r="G1162" s="2">
        <v>30</v>
      </c>
      <c r="H1162" s="2">
        <v>50</v>
      </c>
      <c r="I1162" s="2">
        <v>41</v>
      </c>
      <c r="J1162" s="2">
        <v>2</v>
      </c>
      <c r="K1162" s="2">
        <v>0</v>
      </c>
      <c r="L1162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62" t="str">
        <f>IF(Table1[[#This Row],[Experience Years]]&lt;=2,"Entry Level",IF(Table1[[#This Row],[Experience Years]]&lt;=7,"Mid Level",IF(Table1[[#This Row],[Experience Years]]&lt;=15,"Senior Level")))</f>
        <v>Senior Level</v>
      </c>
      <c r="N1162" s="1">
        <f>AVERAGE(Table1[[#This Row],[Interview Score]:[Personality Score]])</f>
        <v>40.333333333333336</v>
      </c>
      <c r="O11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62" s="2" t="str">
        <f t="shared" si="18"/>
        <v>20-30</v>
      </c>
    </row>
    <row r="1163" spans="1:16" x14ac:dyDescent="0.25">
      <c r="A1163">
        <v>25</v>
      </c>
      <c r="B1163" s="2">
        <v>1</v>
      </c>
      <c r="C1163" s="2">
        <v>1</v>
      </c>
      <c r="D1163" s="2">
        <v>5</v>
      </c>
      <c r="E1163" s="2">
        <v>5</v>
      </c>
      <c r="F1163" s="1">
        <v>34.998585499999997</v>
      </c>
      <c r="G1163" s="2">
        <v>51</v>
      </c>
      <c r="H1163" s="2">
        <v>49</v>
      </c>
      <c r="I1163" s="2">
        <v>22</v>
      </c>
      <c r="J1163" s="2">
        <v>2</v>
      </c>
      <c r="K1163" s="2">
        <v>0</v>
      </c>
      <c r="L116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63" t="str">
        <f>IF(Table1[[#This Row],[Experience Years]]&lt;=2,"Entry Level",IF(Table1[[#This Row],[Experience Years]]&lt;=7,"Mid Level",IF(Table1[[#This Row],[Experience Years]]&lt;=15,"Senior Level")))</f>
        <v>Mid Level</v>
      </c>
      <c r="N1163" s="1">
        <f>AVERAGE(Table1[[#This Row],[Interview Score]:[Personality Score]])</f>
        <v>40.666666666666664</v>
      </c>
      <c r="O11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63" s="2" t="str">
        <f t="shared" si="18"/>
        <v>30-40</v>
      </c>
    </row>
    <row r="1164" spans="1:16" x14ac:dyDescent="0.25">
      <c r="A1164">
        <v>20</v>
      </c>
      <c r="B1164" s="2">
        <v>0</v>
      </c>
      <c r="C1164" s="2">
        <v>3</v>
      </c>
      <c r="D1164" s="2">
        <v>15</v>
      </c>
      <c r="E1164" s="2">
        <v>2</v>
      </c>
      <c r="F1164" s="1">
        <v>11.143658800000001</v>
      </c>
      <c r="G1164" s="2">
        <v>87</v>
      </c>
      <c r="H1164" s="2">
        <v>3</v>
      </c>
      <c r="I1164" s="2">
        <v>69</v>
      </c>
      <c r="J1164" s="2">
        <v>1</v>
      </c>
      <c r="K1164" s="2">
        <v>1</v>
      </c>
      <c r="L116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64" s="2" t="str">
        <f>IF(Table1[[#This Row],[Experience Years]]&lt;=2,"Entry Level",IF(Table1[[#This Row],[Experience Years]]&lt;=7,"Mid Level",IF(Table1[[#This Row],[Experience Years]]&lt;=15,"Senior Level")))</f>
        <v>Senior Level</v>
      </c>
      <c r="N1164" s="1">
        <f>AVERAGE(Table1[[#This Row],[Interview Score]:[Personality Score]])</f>
        <v>53</v>
      </c>
      <c r="O11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64" s="2" t="str">
        <f t="shared" si="18"/>
        <v>10-20</v>
      </c>
    </row>
    <row r="1165" spans="1:16" x14ac:dyDescent="0.25">
      <c r="A1165">
        <v>24</v>
      </c>
      <c r="B1165" s="2">
        <v>1</v>
      </c>
      <c r="C1165" s="2">
        <v>2</v>
      </c>
      <c r="D1165" s="2">
        <v>12</v>
      </c>
      <c r="E1165" s="2">
        <v>1</v>
      </c>
      <c r="F1165" s="1">
        <v>38.281416630000002</v>
      </c>
      <c r="G1165" s="2">
        <v>97</v>
      </c>
      <c r="H1165" s="2">
        <v>47</v>
      </c>
      <c r="I1165" s="2">
        <v>79</v>
      </c>
      <c r="J1165" s="2">
        <v>2</v>
      </c>
      <c r="K1165" s="2">
        <v>0</v>
      </c>
      <c r="L116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65" t="str">
        <f>IF(Table1[[#This Row],[Experience Years]]&lt;=2,"Entry Level",IF(Table1[[#This Row],[Experience Years]]&lt;=7,"Mid Level",IF(Table1[[#This Row],[Experience Years]]&lt;=15,"Senior Level")))</f>
        <v>Senior Level</v>
      </c>
      <c r="N1165" s="1">
        <f>AVERAGE(Table1[[#This Row],[Interview Score]:[Personality Score]])</f>
        <v>74.333333333333329</v>
      </c>
      <c r="O11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165" s="2" t="str">
        <f t="shared" si="18"/>
        <v>30-40</v>
      </c>
    </row>
    <row r="1166" spans="1:16" x14ac:dyDescent="0.25">
      <c r="A1166">
        <v>28</v>
      </c>
      <c r="B1166" s="2">
        <v>0</v>
      </c>
      <c r="C1166" s="2">
        <v>4</v>
      </c>
      <c r="D1166" s="2">
        <v>5</v>
      </c>
      <c r="E1166" s="2">
        <v>2</v>
      </c>
      <c r="F1166" s="1">
        <v>50.780952980000002</v>
      </c>
      <c r="G1166" s="2">
        <v>22</v>
      </c>
      <c r="H1166" s="2">
        <v>31</v>
      </c>
      <c r="I1166" s="2">
        <v>1</v>
      </c>
      <c r="J1166" s="2">
        <v>1</v>
      </c>
      <c r="K1166" s="2">
        <v>0</v>
      </c>
      <c r="L116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66" s="2" t="str">
        <f>IF(Table1[[#This Row],[Experience Years]]&lt;=2,"Entry Level",IF(Table1[[#This Row],[Experience Years]]&lt;=7,"Mid Level",IF(Table1[[#This Row],[Experience Years]]&lt;=15,"Senior Level")))</f>
        <v>Mid Level</v>
      </c>
      <c r="N1166" s="1">
        <f>AVERAGE(Table1[[#This Row],[Interview Score]:[Personality Score]])</f>
        <v>18</v>
      </c>
      <c r="O11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66" s="2" t="str">
        <f t="shared" si="18"/>
        <v>50+</v>
      </c>
    </row>
    <row r="1167" spans="1:16" x14ac:dyDescent="0.25">
      <c r="A1167">
        <v>31</v>
      </c>
      <c r="B1167" s="2">
        <v>0</v>
      </c>
      <c r="C1167" s="2">
        <v>2</v>
      </c>
      <c r="D1167" s="2">
        <v>7</v>
      </c>
      <c r="E1167" s="2">
        <v>1</v>
      </c>
      <c r="F1167" s="1">
        <v>34.282525030000002</v>
      </c>
      <c r="G1167" s="2">
        <v>47</v>
      </c>
      <c r="H1167" s="2">
        <v>50</v>
      </c>
      <c r="I1167" s="2">
        <v>23</v>
      </c>
      <c r="J1167" s="2">
        <v>2</v>
      </c>
      <c r="K1167" s="2">
        <v>0</v>
      </c>
      <c r="L116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67" s="2" t="str">
        <f>IF(Table1[[#This Row],[Experience Years]]&lt;=2,"Entry Level",IF(Table1[[#This Row],[Experience Years]]&lt;=7,"Mid Level",IF(Table1[[#This Row],[Experience Years]]&lt;=15,"Senior Level")))</f>
        <v>Mid Level</v>
      </c>
      <c r="N1167" s="1">
        <f>AVERAGE(Table1[[#This Row],[Interview Score]:[Personality Score]])</f>
        <v>40</v>
      </c>
      <c r="O11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67" s="2" t="str">
        <f t="shared" si="18"/>
        <v>30-40</v>
      </c>
    </row>
    <row r="1168" spans="1:16" x14ac:dyDescent="0.25">
      <c r="A1168">
        <v>45</v>
      </c>
      <c r="B1168" s="2">
        <v>1</v>
      </c>
      <c r="C1168" s="2">
        <v>3</v>
      </c>
      <c r="D1168" s="2">
        <v>6</v>
      </c>
      <c r="E1168" s="2">
        <v>3</v>
      </c>
      <c r="F1168" s="1">
        <v>25.673999899999998</v>
      </c>
      <c r="G1168" s="2">
        <v>39</v>
      </c>
      <c r="H1168" s="2">
        <v>51</v>
      </c>
      <c r="I1168" s="2">
        <v>16</v>
      </c>
      <c r="J1168" s="2">
        <v>1</v>
      </c>
      <c r="K1168" s="2">
        <v>1</v>
      </c>
      <c r="L116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68" t="str">
        <f>IF(Table1[[#This Row],[Experience Years]]&lt;=2,"Entry Level",IF(Table1[[#This Row],[Experience Years]]&lt;=7,"Mid Level",IF(Table1[[#This Row],[Experience Years]]&lt;=15,"Senior Level")))</f>
        <v>Mid Level</v>
      </c>
      <c r="N1168" s="1">
        <f>AVERAGE(Table1[[#This Row],[Interview Score]:[Personality Score]])</f>
        <v>35.333333333333336</v>
      </c>
      <c r="O11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68" s="2" t="str">
        <f t="shared" si="18"/>
        <v>20-30</v>
      </c>
    </row>
    <row r="1169" spans="1:16" x14ac:dyDescent="0.25">
      <c r="A1169">
        <v>33</v>
      </c>
      <c r="B1169" s="2">
        <v>1</v>
      </c>
      <c r="C1169" s="2">
        <v>3</v>
      </c>
      <c r="D1169" s="2">
        <v>7</v>
      </c>
      <c r="E1169" s="2">
        <v>4</v>
      </c>
      <c r="F1169" s="1">
        <v>47.158699429999999</v>
      </c>
      <c r="G1169" s="2">
        <v>5</v>
      </c>
      <c r="H1169" s="2">
        <v>98</v>
      </c>
      <c r="I1169" s="2">
        <v>64</v>
      </c>
      <c r="J1169" s="2">
        <v>3</v>
      </c>
      <c r="K1169" s="2">
        <v>1</v>
      </c>
      <c r="L116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69" t="str">
        <f>IF(Table1[[#This Row],[Experience Years]]&lt;=2,"Entry Level",IF(Table1[[#This Row],[Experience Years]]&lt;=7,"Mid Level",IF(Table1[[#This Row],[Experience Years]]&lt;=15,"Senior Level")))</f>
        <v>Mid Level</v>
      </c>
      <c r="N1169" s="1">
        <f>AVERAGE(Table1[[#This Row],[Interview Score]:[Personality Score]])</f>
        <v>55.666666666666664</v>
      </c>
      <c r="O11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69" s="2" t="str">
        <f t="shared" si="18"/>
        <v>40-50</v>
      </c>
    </row>
    <row r="1170" spans="1:16" x14ac:dyDescent="0.25">
      <c r="A1170">
        <v>21</v>
      </c>
      <c r="B1170" s="2">
        <v>0</v>
      </c>
      <c r="C1170" s="2">
        <v>1</v>
      </c>
      <c r="D1170" s="2">
        <v>13</v>
      </c>
      <c r="E1170" s="2">
        <v>2</v>
      </c>
      <c r="F1170" s="1">
        <v>1.7925921119999999</v>
      </c>
      <c r="G1170" s="2">
        <v>37</v>
      </c>
      <c r="H1170" s="2">
        <v>73</v>
      </c>
      <c r="I1170" s="2">
        <v>69</v>
      </c>
      <c r="J1170" s="2">
        <v>3</v>
      </c>
      <c r="K1170" s="2">
        <v>0</v>
      </c>
      <c r="L117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70" s="2" t="str">
        <f>IF(Table1[[#This Row],[Experience Years]]&lt;=2,"Entry Level",IF(Table1[[#This Row],[Experience Years]]&lt;=7,"Mid Level",IF(Table1[[#This Row],[Experience Years]]&lt;=15,"Senior Level")))</f>
        <v>Senior Level</v>
      </c>
      <c r="N1170" s="1">
        <f>AVERAGE(Table1[[#This Row],[Interview Score]:[Personality Score]])</f>
        <v>59.666666666666664</v>
      </c>
      <c r="O11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70" s="2" t="str">
        <f t="shared" si="18"/>
        <v>0-10</v>
      </c>
    </row>
    <row r="1171" spans="1:16" x14ac:dyDescent="0.25">
      <c r="A1171">
        <v>36</v>
      </c>
      <c r="B1171" s="2">
        <v>1</v>
      </c>
      <c r="C1171" s="2">
        <v>2</v>
      </c>
      <c r="D1171" s="2">
        <v>8</v>
      </c>
      <c r="E1171" s="2">
        <v>5</v>
      </c>
      <c r="F1171" s="1">
        <v>37.496175960000002</v>
      </c>
      <c r="G1171" s="2">
        <v>40</v>
      </c>
      <c r="H1171" s="2">
        <v>33</v>
      </c>
      <c r="I1171" s="2">
        <v>68</v>
      </c>
      <c r="J1171" s="2">
        <v>2</v>
      </c>
      <c r="K1171" s="2">
        <v>0</v>
      </c>
      <c r="L117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71" t="str">
        <f>IF(Table1[[#This Row],[Experience Years]]&lt;=2,"Entry Level",IF(Table1[[#This Row],[Experience Years]]&lt;=7,"Mid Level",IF(Table1[[#This Row],[Experience Years]]&lt;=15,"Senior Level")))</f>
        <v>Senior Level</v>
      </c>
      <c r="N1171" s="1">
        <f>AVERAGE(Table1[[#This Row],[Interview Score]:[Personality Score]])</f>
        <v>47</v>
      </c>
      <c r="O11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71" s="2" t="str">
        <f t="shared" si="18"/>
        <v>30-40</v>
      </c>
    </row>
    <row r="1172" spans="1:16" x14ac:dyDescent="0.25">
      <c r="A1172">
        <v>33</v>
      </c>
      <c r="B1172" s="2">
        <v>0</v>
      </c>
      <c r="C1172" s="2">
        <v>3</v>
      </c>
      <c r="D1172" s="2">
        <v>5</v>
      </c>
      <c r="E1172" s="2">
        <v>3</v>
      </c>
      <c r="F1172" s="1">
        <v>45.43732584</v>
      </c>
      <c r="G1172" s="2">
        <v>99</v>
      </c>
      <c r="H1172" s="2">
        <v>35</v>
      </c>
      <c r="I1172" s="2">
        <v>59</v>
      </c>
      <c r="J1172" s="2">
        <v>1</v>
      </c>
      <c r="K1172" s="2">
        <v>1</v>
      </c>
      <c r="L117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72" s="2" t="str">
        <f>IF(Table1[[#This Row],[Experience Years]]&lt;=2,"Entry Level",IF(Table1[[#This Row],[Experience Years]]&lt;=7,"Mid Level",IF(Table1[[#This Row],[Experience Years]]&lt;=15,"Senior Level")))</f>
        <v>Mid Level</v>
      </c>
      <c r="N1172" s="1">
        <f>AVERAGE(Table1[[#This Row],[Interview Score]:[Personality Score]])</f>
        <v>64.333333333333329</v>
      </c>
      <c r="O11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72" s="2" t="str">
        <f t="shared" si="18"/>
        <v>40-50</v>
      </c>
    </row>
    <row r="1173" spans="1:16" x14ac:dyDescent="0.25">
      <c r="A1173">
        <v>45</v>
      </c>
      <c r="B1173" s="2">
        <v>0</v>
      </c>
      <c r="C1173" s="2">
        <v>2</v>
      </c>
      <c r="D1173" s="2">
        <v>13</v>
      </c>
      <c r="E1173" s="2">
        <v>1</v>
      </c>
      <c r="F1173" s="1">
        <v>4.0837291809999998</v>
      </c>
      <c r="G1173" s="2">
        <v>26</v>
      </c>
      <c r="H1173" s="2">
        <v>69</v>
      </c>
      <c r="I1173" s="2">
        <v>49</v>
      </c>
      <c r="J1173" s="2">
        <v>1</v>
      </c>
      <c r="K1173" s="2">
        <v>1</v>
      </c>
      <c r="L117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73" s="2" t="str">
        <f>IF(Table1[[#This Row],[Experience Years]]&lt;=2,"Entry Level",IF(Table1[[#This Row],[Experience Years]]&lt;=7,"Mid Level",IF(Table1[[#This Row],[Experience Years]]&lt;=15,"Senior Level")))</f>
        <v>Senior Level</v>
      </c>
      <c r="N1173" s="1">
        <f>AVERAGE(Table1[[#This Row],[Interview Score]:[Personality Score]])</f>
        <v>48</v>
      </c>
      <c r="O11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73" s="2" t="str">
        <f t="shared" si="18"/>
        <v>0-10</v>
      </c>
    </row>
    <row r="1174" spans="1:16" x14ac:dyDescent="0.25">
      <c r="A1174">
        <v>32</v>
      </c>
      <c r="B1174" s="2">
        <v>1</v>
      </c>
      <c r="C1174" s="2">
        <v>2</v>
      </c>
      <c r="D1174" s="2">
        <v>15</v>
      </c>
      <c r="E1174" s="2">
        <v>2</v>
      </c>
      <c r="F1174" s="1">
        <v>23.503208520000001</v>
      </c>
      <c r="G1174" s="2">
        <v>74</v>
      </c>
      <c r="H1174" s="2">
        <v>42</v>
      </c>
      <c r="I1174" s="2">
        <v>92</v>
      </c>
      <c r="J1174" s="2">
        <v>2</v>
      </c>
      <c r="K1174" s="2">
        <v>0</v>
      </c>
      <c r="L117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74" t="str">
        <f>IF(Table1[[#This Row],[Experience Years]]&lt;=2,"Entry Level",IF(Table1[[#This Row],[Experience Years]]&lt;=7,"Mid Level",IF(Table1[[#This Row],[Experience Years]]&lt;=15,"Senior Level")))</f>
        <v>Senior Level</v>
      </c>
      <c r="N1174" s="1">
        <f>AVERAGE(Table1[[#This Row],[Interview Score]:[Personality Score]])</f>
        <v>69.333333333333329</v>
      </c>
      <c r="O11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74" s="2" t="str">
        <f t="shared" si="18"/>
        <v>20-30</v>
      </c>
    </row>
    <row r="1175" spans="1:16" x14ac:dyDescent="0.25">
      <c r="A1175">
        <v>46</v>
      </c>
      <c r="B1175" s="2">
        <v>1</v>
      </c>
      <c r="C1175" s="2">
        <v>2</v>
      </c>
      <c r="D1175" s="2">
        <v>2</v>
      </c>
      <c r="E1175" s="2">
        <v>1</v>
      </c>
      <c r="F1175" s="1">
        <v>11.2359727</v>
      </c>
      <c r="G1175" s="2">
        <v>68</v>
      </c>
      <c r="H1175" s="2">
        <v>15</v>
      </c>
      <c r="I1175" s="2">
        <v>11</v>
      </c>
      <c r="J1175" s="2">
        <v>2</v>
      </c>
      <c r="K1175" s="2">
        <v>0</v>
      </c>
      <c r="L117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75" t="str">
        <f>IF(Table1[[#This Row],[Experience Years]]&lt;=2,"Entry Level",IF(Table1[[#This Row],[Experience Years]]&lt;=7,"Mid Level",IF(Table1[[#This Row],[Experience Years]]&lt;=15,"Senior Level")))</f>
        <v>Entry Level</v>
      </c>
      <c r="N1175" s="1">
        <f>AVERAGE(Table1[[#This Row],[Interview Score]:[Personality Score]])</f>
        <v>31.333333333333332</v>
      </c>
      <c r="O11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75" s="2" t="str">
        <f t="shared" si="18"/>
        <v>10-20</v>
      </c>
    </row>
    <row r="1176" spans="1:16" x14ac:dyDescent="0.25">
      <c r="A1176">
        <v>28</v>
      </c>
      <c r="B1176" s="2">
        <v>0</v>
      </c>
      <c r="C1176" s="2">
        <v>1</v>
      </c>
      <c r="D1176" s="2">
        <v>9</v>
      </c>
      <c r="E1176" s="2">
        <v>1</v>
      </c>
      <c r="F1176" s="1">
        <v>29.32590828</v>
      </c>
      <c r="G1176" s="2">
        <v>56</v>
      </c>
      <c r="H1176" s="2">
        <v>58</v>
      </c>
      <c r="I1176" s="2">
        <v>46</v>
      </c>
      <c r="J1176" s="2">
        <v>2</v>
      </c>
      <c r="K1176" s="2">
        <v>0</v>
      </c>
      <c r="L117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76" s="2" t="str">
        <f>IF(Table1[[#This Row],[Experience Years]]&lt;=2,"Entry Level",IF(Table1[[#This Row],[Experience Years]]&lt;=7,"Mid Level",IF(Table1[[#This Row],[Experience Years]]&lt;=15,"Senior Level")))</f>
        <v>Senior Level</v>
      </c>
      <c r="N1176" s="1">
        <f>AVERAGE(Table1[[#This Row],[Interview Score]:[Personality Score]])</f>
        <v>53.333333333333336</v>
      </c>
      <c r="O11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76" s="2" t="str">
        <f t="shared" si="18"/>
        <v>20-30</v>
      </c>
    </row>
    <row r="1177" spans="1:16" x14ac:dyDescent="0.25">
      <c r="A1177">
        <v>45</v>
      </c>
      <c r="B1177" s="2">
        <v>0</v>
      </c>
      <c r="C1177" s="2">
        <v>3</v>
      </c>
      <c r="D1177" s="2">
        <v>2</v>
      </c>
      <c r="E1177" s="2">
        <v>1</v>
      </c>
      <c r="F1177" s="1">
        <v>33.477147930000001</v>
      </c>
      <c r="G1177" s="2">
        <v>16</v>
      </c>
      <c r="H1177" s="2">
        <v>52</v>
      </c>
      <c r="I1177" s="2">
        <v>66</v>
      </c>
      <c r="J1177" s="2">
        <v>2</v>
      </c>
      <c r="K1177" s="2">
        <v>0</v>
      </c>
      <c r="L117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77" s="2" t="str">
        <f>IF(Table1[[#This Row],[Experience Years]]&lt;=2,"Entry Level",IF(Table1[[#This Row],[Experience Years]]&lt;=7,"Mid Level",IF(Table1[[#This Row],[Experience Years]]&lt;=15,"Senior Level")))</f>
        <v>Entry Level</v>
      </c>
      <c r="N1177" s="1">
        <f>AVERAGE(Table1[[#This Row],[Interview Score]:[Personality Score]])</f>
        <v>44.666666666666664</v>
      </c>
      <c r="O11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77" s="2" t="str">
        <f t="shared" si="18"/>
        <v>30-40</v>
      </c>
    </row>
    <row r="1178" spans="1:16" x14ac:dyDescent="0.25">
      <c r="A1178">
        <v>44</v>
      </c>
      <c r="B1178" s="2">
        <v>0</v>
      </c>
      <c r="C1178" s="2">
        <v>2</v>
      </c>
      <c r="D1178" s="2">
        <v>15</v>
      </c>
      <c r="E1178" s="2">
        <v>4</v>
      </c>
      <c r="F1178" s="1">
        <v>16.131159149999998</v>
      </c>
      <c r="G1178" s="2">
        <v>70</v>
      </c>
      <c r="H1178" s="2">
        <v>18</v>
      </c>
      <c r="I1178" s="2">
        <v>64</v>
      </c>
      <c r="J1178" s="2">
        <v>2</v>
      </c>
      <c r="K1178" s="2">
        <v>0</v>
      </c>
      <c r="L117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78" s="2" t="str">
        <f>IF(Table1[[#This Row],[Experience Years]]&lt;=2,"Entry Level",IF(Table1[[#This Row],[Experience Years]]&lt;=7,"Mid Level",IF(Table1[[#This Row],[Experience Years]]&lt;=15,"Senior Level")))</f>
        <v>Senior Level</v>
      </c>
      <c r="N1178" s="1">
        <f>AVERAGE(Table1[[#This Row],[Interview Score]:[Personality Score]])</f>
        <v>50.666666666666664</v>
      </c>
      <c r="O11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78" s="2" t="str">
        <f t="shared" si="18"/>
        <v>10-20</v>
      </c>
    </row>
    <row r="1179" spans="1:16" x14ac:dyDescent="0.25">
      <c r="A1179">
        <v>34</v>
      </c>
      <c r="B1179" s="2">
        <v>0</v>
      </c>
      <c r="C1179" s="2">
        <v>1</v>
      </c>
      <c r="D1179" s="2">
        <v>10</v>
      </c>
      <c r="E1179" s="2">
        <v>4</v>
      </c>
      <c r="F1179" s="1">
        <v>23.999083479999999</v>
      </c>
      <c r="G1179" s="2">
        <v>90</v>
      </c>
      <c r="H1179" s="2">
        <v>97</v>
      </c>
      <c r="I1179" s="2">
        <v>26</v>
      </c>
      <c r="J1179" s="2">
        <v>2</v>
      </c>
      <c r="K1179" s="2">
        <v>0</v>
      </c>
      <c r="L117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79" s="2" t="str">
        <f>IF(Table1[[#This Row],[Experience Years]]&lt;=2,"Entry Level",IF(Table1[[#This Row],[Experience Years]]&lt;=7,"Mid Level",IF(Table1[[#This Row],[Experience Years]]&lt;=15,"Senior Level")))</f>
        <v>Senior Level</v>
      </c>
      <c r="N1179" s="1">
        <f>AVERAGE(Table1[[#This Row],[Interview Score]:[Personality Score]])</f>
        <v>71</v>
      </c>
      <c r="O11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179" s="2" t="str">
        <f t="shared" si="18"/>
        <v>20-30</v>
      </c>
    </row>
    <row r="1180" spans="1:16" x14ac:dyDescent="0.25">
      <c r="A1180">
        <v>44</v>
      </c>
      <c r="B1180" s="2">
        <v>1</v>
      </c>
      <c r="C1180" s="2">
        <v>2</v>
      </c>
      <c r="D1180" s="2">
        <v>11</v>
      </c>
      <c r="E1180" s="2">
        <v>5</v>
      </c>
      <c r="F1180" s="1">
        <v>14.966974260000001</v>
      </c>
      <c r="G1180" s="2">
        <v>46</v>
      </c>
      <c r="H1180" s="2">
        <v>88</v>
      </c>
      <c r="I1180" s="2">
        <v>47</v>
      </c>
      <c r="J1180" s="2">
        <v>2</v>
      </c>
      <c r="K1180" s="2">
        <v>0</v>
      </c>
      <c r="L118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80" t="str">
        <f>IF(Table1[[#This Row],[Experience Years]]&lt;=2,"Entry Level",IF(Table1[[#This Row],[Experience Years]]&lt;=7,"Mid Level",IF(Table1[[#This Row],[Experience Years]]&lt;=15,"Senior Level")))</f>
        <v>Senior Level</v>
      </c>
      <c r="N1180" s="1">
        <f>AVERAGE(Table1[[#This Row],[Interview Score]:[Personality Score]])</f>
        <v>60.333333333333336</v>
      </c>
      <c r="O11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180" s="2" t="str">
        <f t="shared" si="18"/>
        <v>10-20</v>
      </c>
    </row>
    <row r="1181" spans="1:16" x14ac:dyDescent="0.25">
      <c r="A1181">
        <v>41</v>
      </c>
      <c r="B1181" s="2">
        <v>1</v>
      </c>
      <c r="C1181" s="2">
        <v>2</v>
      </c>
      <c r="D1181" s="2">
        <v>0</v>
      </c>
      <c r="E1181" s="2">
        <v>2</v>
      </c>
      <c r="F1181" s="1">
        <v>19.46955822</v>
      </c>
      <c r="G1181" s="2">
        <v>78</v>
      </c>
      <c r="H1181" s="2">
        <v>94</v>
      </c>
      <c r="I1181" s="2">
        <v>87</v>
      </c>
      <c r="J1181" s="2">
        <v>2</v>
      </c>
      <c r="K1181" s="2">
        <v>0</v>
      </c>
      <c r="L118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81" t="str">
        <f>IF(Table1[[#This Row],[Experience Years]]&lt;=2,"Entry Level",IF(Table1[[#This Row],[Experience Years]]&lt;=7,"Mid Level",IF(Table1[[#This Row],[Experience Years]]&lt;=15,"Senior Level")))</f>
        <v>Entry Level</v>
      </c>
      <c r="N1181" s="1">
        <f>AVERAGE(Table1[[#This Row],[Interview Score]:[Personality Score]])</f>
        <v>86.333333333333329</v>
      </c>
      <c r="O11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181" s="2" t="str">
        <f t="shared" si="18"/>
        <v>10-20</v>
      </c>
    </row>
    <row r="1182" spans="1:16" x14ac:dyDescent="0.25">
      <c r="A1182">
        <v>34</v>
      </c>
      <c r="B1182" s="2">
        <v>1</v>
      </c>
      <c r="C1182" s="2">
        <v>1</v>
      </c>
      <c r="D1182" s="2">
        <v>10</v>
      </c>
      <c r="E1182" s="2">
        <v>3</v>
      </c>
      <c r="F1182" s="1">
        <v>8.9769978340000005</v>
      </c>
      <c r="G1182" s="2">
        <v>12</v>
      </c>
      <c r="H1182" s="2">
        <v>40</v>
      </c>
      <c r="I1182" s="2">
        <v>61</v>
      </c>
      <c r="J1182" s="2">
        <v>2</v>
      </c>
      <c r="K1182" s="2">
        <v>0</v>
      </c>
      <c r="L118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82" t="str">
        <f>IF(Table1[[#This Row],[Experience Years]]&lt;=2,"Entry Level",IF(Table1[[#This Row],[Experience Years]]&lt;=7,"Mid Level",IF(Table1[[#This Row],[Experience Years]]&lt;=15,"Senior Level")))</f>
        <v>Senior Level</v>
      </c>
      <c r="N1182" s="1">
        <f>AVERAGE(Table1[[#This Row],[Interview Score]:[Personality Score]])</f>
        <v>37.666666666666664</v>
      </c>
      <c r="O11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82" s="2" t="str">
        <f t="shared" si="18"/>
        <v>0-10</v>
      </c>
    </row>
    <row r="1183" spans="1:16" x14ac:dyDescent="0.25">
      <c r="A1183">
        <v>43</v>
      </c>
      <c r="B1183" s="2">
        <v>1</v>
      </c>
      <c r="C1183" s="2">
        <v>2</v>
      </c>
      <c r="D1183" s="2">
        <v>14</v>
      </c>
      <c r="E1183" s="2">
        <v>3</v>
      </c>
      <c r="F1183" s="1">
        <v>45.277972179999999</v>
      </c>
      <c r="G1183" s="2">
        <v>10</v>
      </c>
      <c r="H1183" s="2">
        <v>80</v>
      </c>
      <c r="I1183" s="2">
        <v>43</v>
      </c>
      <c r="J1183" s="2">
        <v>1</v>
      </c>
      <c r="K1183" s="2">
        <v>1</v>
      </c>
      <c r="L118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83" t="str">
        <f>IF(Table1[[#This Row],[Experience Years]]&lt;=2,"Entry Level",IF(Table1[[#This Row],[Experience Years]]&lt;=7,"Mid Level",IF(Table1[[#This Row],[Experience Years]]&lt;=15,"Senior Level")))</f>
        <v>Senior Level</v>
      </c>
      <c r="N1183" s="1">
        <f>AVERAGE(Table1[[#This Row],[Interview Score]:[Personality Score]])</f>
        <v>44.333333333333336</v>
      </c>
      <c r="O11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83" s="2" t="str">
        <f t="shared" si="18"/>
        <v>40-50</v>
      </c>
    </row>
    <row r="1184" spans="1:16" x14ac:dyDescent="0.25">
      <c r="A1184">
        <v>49</v>
      </c>
      <c r="B1184" s="2">
        <v>1</v>
      </c>
      <c r="C1184" s="2">
        <v>2</v>
      </c>
      <c r="D1184" s="2">
        <v>12</v>
      </c>
      <c r="E1184" s="2">
        <v>3</v>
      </c>
      <c r="F1184" s="1">
        <v>1.500520528</v>
      </c>
      <c r="G1184" s="2">
        <v>89</v>
      </c>
      <c r="H1184" s="2">
        <v>46</v>
      </c>
      <c r="I1184" s="2">
        <v>18</v>
      </c>
      <c r="J1184" s="2">
        <v>1</v>
      </c>
      <c r="K1184" s="2">
        <v>1</v>
      </c>
      <c r="L118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84" t="str">
        <f>IF(Table1[[#This Row],[Experience Years]]&lt;=2,"Entry Level",IF(Table1[[#This Row],[Experience Years]]&lt;=7,"Mid Level",IF(Table1[[#This Row],[Experience Years]]&lt;=15,"Senior Level")))</f>
        <v>Senior Level</v>
      </c>
      <c r="N1184" s="1">
        <f>AVERAGE(Table1[[#This Row],[Interview Score]:[Personality Score]])</f>
        <v>51</v>
      </c>
      <c r="O11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84" s="2" t="str">
        <f t="shared" si="18"/>
        <v>0-10</v>
      </c>
    </row>
    <row r="1185" spans="1:16" x14ac:dyDescent="0.25">
      <c r="A1185">
        <v>30</v>
      </c>
      <c r="B1185" s="2">
        <v>0</v>
      </c>
      <c r="C1185" s="2">
        <v>2</v>
      </c>
      <c r="D1185" s="2">
        <v>14</v>
      </c>
      <c r="E1185" s="2">
        <v>1</v>
      </c>
      <c r="F1185" s="1">
        <v>45.120459320000002</v>
      </c>
      <c r="G1185" s="2">
        <v>85</v>
      </c>
      <c r="H1185" s="2">
        <v>93</v>
      </c>
      <c r="I1185" s="2">
        <v>58</v>
      </c>
      <c r="J1185" s="2">
        <v>2</v>
      </c>
      <c r="K1185" s="2">
        <v>0</v>
      </c>
      <c r="L118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85" s="2" t="str">
        <f>IF(Table1[[#This Row],[Experience Years]]&lt;=2,"Entry Level",IF(Table1[[#This Row],[Experience Years]]&lt;=7,"Mid Level",IF(Table1[[#This Row],[Experience Years]]&lt;=15,"Senior Level")))</f>
        <v>Senior Level</v>
      </c>
      <c r="N1185" s="1">
        <f>AVERAGE(Table1[[#This Row],[Interview Score]:[Personality Score]])</f>
        <v>78.666666666666671</v>
      </c>
      <c r="O11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185" s="2" t="str">
        <f t="shared" si="18"/>
        <v>40-50</v>
      </c>
    </row>
    <row r="1186" spans="1:16" x14ac:dyDescent="0.25">
      <c r="A1186">
        <v>50</v>
      </c>
      <c r="B1186" s="2">
        <v>1</v>
      </c>
      <c r="C1186" s="2">
        <v>3</v>
      </c>
      <c r="D1186" s="2">
        <v>4</v>
      </c>
      <c r="E1186" s="2">
        <v>4</v>
      </c>
      <c r="F1186" s="1">
        <v>29.583943919999999</v>
      </c>
      <c r="G1186" s="2">
        <v>91</v>
      </c>
      <c r="H1186" s="2">
        <v>53</v>
      </c>
      <c r="I1186" s="2">
        <v>7</v>
      </c>
      <c r="J1186" s="2">
        <v>1</v>
      </c>
      <c r="K1186" s="2">
        <v>1</v>
      </c>
      <c r="L118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86" t="str">
        <f>IF(Table1[[#This Row],[Experience Years]]&lt;=2,"Entry Level",IF(Table1[[#This Row],[Experience Years]]&lt;=7,"Mid Level",IF(Table1[[#This Row],[Experience Years]]&lt;=15,"Senior Level")))</f>
        <v>Mid Level</v>
      </c>
      <c r="N1186" s="1">
        <f>AVERAGE(Table1[[#This Row],[Interview Score]:[Personality Score]])</f>
        <v>50.333333333333336</v>
      </c>
      <c r="O11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86" s="2" t="str">
        <f t="shared" si="18"/>
        <v>20-30</v>
      </c>
    </row>
    <row r="1187" spans="1:16" x14ac:dyDescent="0.25">
      <c r="A1187">
        <v>35</v>
      </c>
      <c r="B1187" s="2">
        <v>1</v>
      </c>
      <c r="C1187" s="2">
        <v>2</v>
      </c>
      <c r="D1187" s="2">
        <v>13</v>
      </c>
      <c r="E1187" s="2">
        <v>2</v>
      </c>
      <c r="F1187" s="1">
        <v>17.582892210000001</v>
      </c>
      <c r="G1187" s="2">
        <v>23</v>
      </c>
      <c r="H1187" s="2">
        <v>54</v>
      </c>
      <c r="I1187" s="2">
        <v>54</v>
      </c>
      <c r="J1187" s="2">
        <v>2</v>
      </c>
      <c r="K1187" s="2">
        <v>0</v>
      </c>
      <c r="L118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87" t="str">
        <f>IF(Table1[[#This Row],[Experience Years]]&lt;=2,"Entry Level",IF(Table1[[#This Row],[Experience Years]]&lt;=7,"Mid Level",IF(Table1[[#This Row],[Experience Years]]&lt;=15,"Senior Level")))</f>
        <v>Senior Level</v>
      </c>
      <c r="N1187" s="1">
        <f>AVERAGE(Table1[[#This Row],[Interview Score]:[Personality Score]])</f>
        <v>43.666666666666664</v>
      </c>
      <c r="O11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87" s="2" t="str">
        <f t="shared" si="18"/>
        <v>10-20</v>
      </c>
    </row>
    <row r="1188" spans="1:16" x14ac:dyDescent="0.25">
      <c r="A1188">
        <v>48</v>
      </c>
      <c r="B1188" s="2">
        <v>1</v>
      </c>
      <c r="C1188" s="2">
        <v>2</v>
      </c>
      <c r="D1188" s="2">
        <v>3</v>
      </c>
      <c r="E1188" s="2">
        <v>1</v>
      </c>
      <c r="F1188" s="1">
        <v>37.152856270000001</v>
      </c>
      <c r="G1188" s="2">
        <v>92</v>
      </c>
      <c r="H1188" s="2">
        <v>94</v>
      </c>
      <c r="I1188" s="2">
        <v>46</v>
      </c>
      <c r="J1188" s="2">
        <v>2</v>
      </c>
      <c r="K1188" s="2">
        <v>0</v>
      </c>
      <c r="L118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88" t="str">
        <f>IF(Table1[[#This Row],[Experience Years]]&lt;=2,"Entry Level",IF(Table1[[#This Row],[Experience Years]]&lt;=7,"Mid Level",IF(Table1[[#This Row],[Experience Years]]&lt;=15,"Senior Level")))</f>
        <v>Mid Level</v>
      </c>
      <c r="N1188" s="1">
        <f>AVERAGE(Table1[[#This Row],[Interview Score]:[Personality Score]])</f>
        <v>77.333333333333329</v>
      </c>
      <c r="O11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188" s="2" t="str">
        <f t="shared" si="18"/>
        <v>30-40</v>
      </c>
    </row>
    <row r="1189" spans="1:16" x14ac:dyDescent="0.25">
      <c r="A1189">
        <v>36</v>
      </c>
      <c r="B1189" s="2">
        <v>1</v>
      </c>
      <c r="C1189" s="2">
        <v>2</v>
      </c>
      <c r="D1189" s="2">
        <v>8</v>
      </c>
      <c r="E1189" s="2">
        <v>4</v>
      </c>
      <c r="F1189" s="1">
        <v>26.387607589999998</v>
      </c>
      <c r="G1189" s="2">
        <v>72</v>
      </c>
      <c r="H1189" s="2">
        <v>18</v>
      </c>
      <c r="I1189" s="2">
        <v>1</v>
      </c>
      <c r="J1189" s="2">
        <v>3</v>
      </c>
      <c r="K1189" s="2">
        <v>0</v>
      </c>
      <c r="L118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89" t="str">
        <f>IF(Table1[[#This Row],[Experience Years]]&lt;=2,"Entry Level",IF(Table1[[#This Row],[Experience Years]]&lt;=7,"Mid Level",IF(Table1[[#This Row],[Experience Years]]&lt;=15,"Senior Level")))</f>
        <v>Senior Level</v>
      </c>
      <c r="N1189" s="1">
        <f>AVERAGE(Table1[[#This Row],[Interview Score]:[Personality Score]])</f>
        <v>30.333333333333332</v>
      </c>
      <c r="O11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89" s="2" t="str">
        <f t="shared" si="18"/>
        <v>20-30</v>
      </c>
    </row>
    <row r="1190" spans="1:16" x14ac:dyDescent="0.25">
      <c r="A1190">
        <v>45</v>
      </c>
      <c r="B1190" s="2">
        <v>1</v>
      </c>
      <c r="C1190" s="2">
        <v>2</v>
      </c>
      <c r="D1190" s="2">
        <v>14</v>
      </c>
      <c r="E1190" s="2">
        <v>4</v>
      </c>
      <c r="F1190" s="1">
        <v>25.955432909999999</v>
      </c>
      <c r="G1190" s="2">
        <v>3</v>
      </c>
      <c r="H1190" s="2">
        <v>61</v>
      </c>
      <c r="I1190" s="2">
        <v>93</v>
      </c>
      <c r="J1190" s="2">
        <v>2</v>
      </c>
      <c r="K1190" s="2">
        <v>0</v>
      </c>
      <c r="L119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190" t="str">
        <f>IF(Table1[[#This Row],[Experience Years]]&lt;=2,"Entry Level",IF(Table1[[#This Row],[Experience Years]]&lt;=7,"Mid Level",IF(Table1[[#This Row],[Experience Years]]&lt;=15,"Senior Level")))</f>
        <v>Senior Level</v>
      </c>
      <c r="N1190" s="1">
        <f>AVERAGE(Table1[[#This Row],[Interview Score]:[Personality Score]])</f>
        <v>52.333333333333336</v>
      </c>
      <c r="O11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90" s="2" t="str">
        <f t="shared" si="18"/>
        <v>20-30</v>
      </c>
    </row>
    <row r="1191" spans="1:16" x14ac:dyDescent="0.25">
      <c r="A1191">
        <v>23</v>
      </c>
      <c r="B1191" s="2">
        <v>0</v>
      </c>
      <c r="C1191" s="2">
        <v>2</v>
      </c>
      <c r="D1191" s="2">
        <v>8</v>
      </c>
      <c r="E1191" s="2">
        <v>2</v>
      </c>
      <c r="F1191" s="1">
        <v>6.5071141460000002</v>
      </c>
      <c r="G1191" s="2">
        <v>45</v>
      </c>
      <c r="H1191" s="2">
        <v>98</v>
      </c>
      <c r="I1191" s="2">
        <v>93</v>
      </c>
      <c r="J1191" s="2">
        <v>1</v>
      </c>
      <c r="K1191" s="2">
        <v>1</v>
      </c>
      <c r="L119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91" s="2" t="str">
        <f>IF(Table1[[#This Row],[Experience Years]]&lt;=2,"Entry Level",IF(Table1[[#This Row],[Experience Years]]&lt;=7,"Mid Level",IF(Table1[[#This Row],[Experience Years]]&lt;=15,"Senior Level")))</f>
        <v>Senior Level</v>
      </c>
      <c r="N1191" s="1">
        <f>AVERAGE(Table1[[#This Row],[Interview Score]:[Personality Score]])</f>
        <v>78.666666666666671</v>
      </c>
      <c r="O11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191" s="2" t="str">
        <f t="shared" si="18"/>
        <v>0-10</v>
      </c>
    </row>
    <row r="1192" spans="1:16" x14ac:dyDescent="0.25">
      <c r="A1192">
        <v>20</v>
      </c>
      <c r="B1192" s="2">
        <v>0</v>
      </c>
      <c r="C1192" s="2">
        <v>2</v>
      </c>
      <c r="D1192" s="2">
        <v>14</v>
      </c>
      <c r="E1192" s="2">
        <v>2</v>
      </c>
      <c r="F1192" s="1">
        <v>20.475801300000001</v>
      </c>
      <c r="G1192" s="2">
        <v>17</v>
      </c>
      <c r="H1192" s="2">
        <v>92</v>
      </c>
      <c r="I1192" s="2">
        <v>38</v>
      </c>
      <c r="J1192" s="2">
        <v>1</v>
      </c>
      <c r="K1192" s="2">
        <v>1</v>
      </c>
      <c r="L119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92" s="2" t="str">
        <f>IF(Table1[[#This Row],[Experience Years]]&lt;=2,"Entry Level",IF(Table1[[#This Row],[Experience Years]]&lt;=7,"Mid Level",IF(Table1[[#This Row],[Experience Years]]&lt;=15,"Senior Level")))</f>
        <v>Senior Level</v>
      </c>
      <c r="N1192" s="1">
        <f>AVERAGE(Table1[[#This Row],[Interview Score]:[Personality Score]])</f>
        <v>49</v>
      </c>
      <c r="O11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92" s="2" t="str">
        <f t="shared" si="18"/>
        <v>20-30</v>
      </c>
    </row>
    <row r="1193" spans="1:16" x14ac:dyDescent="0.25">
      <c r="A1193">
        <v>27</v>
      </c>
      <c r="B1193" s="2">
        <v>0</v>
      </c>
      <c r="C1193" s="2">
        <v>3</v>
      </c>
      <c r="D1193" s="2">
        <v>13</v>
      </c>
      <c r="E1193" s="2">
        <v>2</v>
      </c>
      <c r="F1193" s="1">
        <v>13.053217289999999</v>
      </c>
      <c r="G1193" s="2">
        <v>42</v>
      </c>
      <c r="H1193" s="2">
        <v>58</v>
      </c>
      <c r="I1193" s="2">
        <v>44</v>
      </c>
      <c r="J1193" s="2">
        <v>3</v>
      </c>
      <c r="K1193" s="2">
        <v>0</v>
      </c>
      <c r="L119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193" s="2" t="str">
        <f>IF(Table1[[#This Row],[Experience Years]]&lt;=2,"Entry Level",IF(Table1[[#This Row],[Experience Years]]&lt;=7,"Mid Level",IF(Table1[[#This Row],[Experience Years]]&lt;=15,"Senior Level")))</f>
        <v>Senior Level</v>
      </c>
      <c r="N1193" s="1">
        <f>AVERAGE(Table1[[#This Row],[Interview Score]:[Personality Score]])</f>
        <v>48</v>
      </c>
      <c r="O11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93" s="2" t="str">
        <f t="shared" si="18"/>
        <v>10-20</v>
      </c>
    </row>
    <row r="1194" spans="1:16" x14ac:dyDescent="0.25">
      <c r="A1194">
        <v>36</v>
      </c>
      <c r="B1194" s="2">
        <v>1</v>
      </c>
      <c r="C1194" s="2">
        <v>2</v>
      </c>
      <c r="D1194" s="2">
        <v>4</v>
      </c>
      <c r="E1194" s="2">
        <v>1</v>
      </c>
      <c r="F1194" s="1">
        <v>1.78479528</v>
      </c>
      <c r="G1194" s="2">
        <v>79</v>
      </c>
      <c r="H1194" s="2">
        <v>64</v>
      </c>
      <c r="I1194" s="2">
        <v>31</v>
      </c>
      <c r="J1194" s="2">
        <v>1</v>
      </c>
      <c r="K1194" s="2">
        <v>1</v>
      </c>
      <c r="L119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94" t="str">
        <f>IF(Table1[[#This Row],[Experience Years]]&lt;=2,"Entry Level",IF(Table1[[#This Row],[Experience Years]]&lt;=7,"Mid Level",IF(Table1[[#This Row],[Experience Years]]&lt;=15,"Senior Level")))</f>
        <v>Mid Level</v>
      </c>
      <c r="N1194" s="1">
        <f>AVERAGE(Table1[[#This Row],[Interview Score]:[Personality Score]])</f>
        <v>58</v>
      </c>
      <c r="O11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94" s="2" t="str">
        <f t="shared" si="18"/>
        <v>0-10</v>
      </c>
    </row>
    <row r="1195" spans="1:16" x14ac:dyDescent="0.25">
      <c r="A1195">
        <v>22</v>
      </c>
      <c r="B1195" s="2">
        <v>0</v>
      </c>
      <c r="C1195" s="2">
        <v>2</v>
      </c>
      <c r="D1195" s="2">
        <v>9</v>
      </c>
      <c r="E1195" s="2">
        <v>5</v>
      </c>
      <c r="F1195" s="1">
        <v>19.004981539999999</v>
      </c>
      <c r="G1195" s="2">
        <v>32</v>
      </c>
      <c r="H1195" s="2">
        <v>67</v>
      </c>
      <c r="I1195" s="2">
        <v>64</v>
      </c>
      <c r="J1195" s="2">
        <v>2</v>
      </c>
      <c r="K1195" s="2">
        <v>0</v>
      </c>
      <c r="L119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195" s="2" t="str">
        <f>IF(Table1[[#This Row],[Experience Years]]&lt;=2,"Entry Level",IF(Table1[[#This Row],[Experience Years]]&lt;=7,"Mid Level",IF(Table1[[#This Row],[Experience Years]]&lt;=15,"Senior Level")))</f>
        <v>Senior Level</v>
      </c>
      <c r="N1195" s="1">
        <f>AVERAGE(Table1[[#This Row],[Interview Score]:[Personality Score]])</f>
        <v>54.333333333333336</v>
      </c>
      <c r="O11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95" s="2" t="str">
        <f t="shared" si="18"/>
        <v>10-20</v>
      </c>
    </row>
    <row r="1196" spans="1:16" x14ac:dyDescent="0.25">
      <c r="A1196">
        <v>48</v>
      </c>
      <c r="B1196" s="2">
        <v>0</v>
      </c>
      <c r="C1196" s="2">
        <v>3</v>
      </c>
      <c r="D1196" s="2">
        <v>3</v>
      </c>
      <c r="E1196" s="2">
        <v>2</v>
      </c>
      <c r="F1196" s="1">
        <v>5.4911064710000002</v>
      </c>
      <c r="G1196" s="2">
        <v>92</v>
      </c>
      <c r="H1196" s="2">
        <v>27</v>
      </c>
      <c r="I1196" s="2">
        <v>37</v>
      </c>
      <c r="J1196" s="2">
        <v>2</v>
      </c>
      <c r="K1196" s="2">
        <v>0</v>
      </c>
      <c r="L119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196" s="2" t="str">
        <f>IF(Table1[[#This Row],[Experience Years]]&lt;=2,"Entry Level",IF(Table1[[#This Row],[Experience Years]]&lt;=7,"Mid Level",IF(Table1[[#This Row],[Experience Years]]&lt;=15,"Senior Level")))</f>
        <v>Mid Level</v>
      </c>
      <c r="N1196" s="1">
        <f>AVERAGE(Table1[[#This Row],[Interview Score]:[Personality Score]])</f>
        <v>52</v>
      </c>
      <c r="O11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196" s="2" t="str">
        <f t="shared" si="18"/>
        <v>0-10</v>
      </c>
    </row>
    <row r="1197" spans="1:16" x14ac:dyDescent="0.25">
      <c r="A1197">
        <v>39</v>
      </c>
      <c r="B1197" s="2">
        <v>1</v>
      </c>
      <c r="C1197" s="2">
        <v>2</v>
      </c>
      <c r="D1197" s="2">
        <v>6</v>
      </c>
      <c r="E1197" s="2">
        <v>5</v>
      </c>
      <c r="F1197" s="1">
        <v>13.84150189</v>
      </c>
      <c r="G1197" s="2">
        <v>9</v>
      </c>
      <c r="H1197" s="2">
        <v>17</v>
      </c>
      <c r="I1197" s="2">
        <v>76</v>
      </c>
      <c r="J1197" s="2">
        <v>2</v>
      </c>
      <c r="K1197" s="2">
        <v>0</v>
      </c>
      <c r="L119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197" t="str">
        <f>IF(Table1[[#This Row],[Experience Years]]&lt;=2,"Entry Level",IF(Table1[[#This Row],[Experience Years]]&lt;=7,"Mid Level",IF(Table1[[#This Row],[Experience Years]]&lt;=15,"Senior Level")))</f>
        <v>Mid Level</v>
      </c>
      <c r="N1197" s="1">
        <f>AVERAGE(Table1[[#This Row],[Interview Score]:[Personality Score]])</f>
        <v>34</v>
      </c>
      <c r="O11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97" s="2" t="str">
        <f t="shared" si="18"/>
        <v>10-20</v>
      </c>
    </row>
    <row r="1198" spans="1:16" x14ac:dyDescent="0.25">
      <c r="A1198">
        <v>34</v>
      </c>
      <c r="B1198" s="2">
        <v>1</v>
      </c>
      <c r="C1198" s="2">
        <v>2</v>
      </c>
      <c r="D1198" s="2">
        <v>14</v>
      </c>
      <c r="E1198" s="2">
        <v>1</v>
      </c>
      <c r="F1198" s="1">
        <v>5.6258310590000002</v>
      </c>
      <c r="G1198" s="2">
        <v>72</v>
      </c>
      <c r="H1198" s="2">
        <v>25</v>
      </c>
      <c r="I1198" s="2">
        <v>10</v>
      </c>
      <c r="J1198" s="2">
        <v>2</v>
      </c>
      <c r="K1198" s="2">
        <v>0</v>
      </c>
      <c r="L119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98" t="str">
        <f>IF(Table1[[#This Row],[Experience Years]]&lt;=2,"Entry Level",IF(Table1[[#This Row],[Experience Years]]&lt;=7,"Mid Level",IF(Table1[[#This Row],[Experience Years]]&lt;=15,"Senior Level")))</f>
        <v>Senior Level</v>
      </c>
      <c r="N1198" s="1">
        <f>AVERAGE(Table1[[#This Row],[Interview Score]:[Personality Score]])</f>
        <v>35.666666666666664</v>
      </c>
      <c r="O11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98" s="2" t="str">
        <f t="shared" si="18"/>
        <v>0-10</v>
      </c>
    </row>
    <row r="1199" spans="1:16" x14ac:dyDescent="0.25">
      <c r="A1199">
        <v>34</v>
      </c>
      <c r="B1199" s="2">
        <v>1</v>
      </c>
      <c r="C1199" s="2">
        <v>2</v>
      </c>
      <c r="D1199" s="2">
        <v>5</v>
      </c>
      <c r="E1199" s="2">
        <v>5</v>
      </c>
      <c r="F1199" s="1">
        <v>6.0470812780000003</v>
      </c>
      <c r="G1199" s="2">
        <v>58</v>
      </c>
      <c r="H1199" s="2">
        <v>18</v>
      </c>
      <c r="I1199" s="2">
        <v>9</v>
      </c>
      <c r="J1199" s="2">
        <v>2</v>
      </c>
      <c r="K1199" s="2">
        <v>0</v>
      </c>
      <c r="L119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199" t="str">
        <f>IF(Table1[[#This Row],[Experience Years]]&lt;=2,"Entry Level",IF(Table1[[#This Row],[Experience Years]]&lt;=7,"Mid Level",IF(Table1[[#This Row],[Experience Years]]&lt;=15,"Senior Level")))</f>
        <v>Mid Level</v>
      </c>
      <c r="N1199" s="1">
        <f>AVERAGE(Table1[[#This Row],[Interview Score]:[Personality Score]])</f>
        <v>28.333333333333332</v>
      </c>
      <c r="O11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199" s="2" t="str">
        <f t="shared" si="18"/>
        <v>0-10</v>
      </c>
    </row>
    <row r="1200" spans="1:16" x14ac:dyDescent="0.25">
      <c r="A1200">
        <v>50</v>
      </c>
      <c r="B1200" s="2">
        <v>0</v>
      </c>
      <c r="C1200" s="2">
        <v>1</v>
      </c>
      <c r="D1200" s="2">
        <v>3</v>
      </c>
      <c r="E1200" s="2">
        <v>3</v>
      </c>
      <c r="F1200" s="1">
        <v>10.950564719999999</v>
      </c>
      <c r="G1200" s="2">
        <v>30</v>
      </c>
      <c r="H1200" s="2">
        <v>54</v>
      </c>
      <c r="I1200" s="2">
        <v>58</v>
      </c>
      <c r="J1200" s="2">
        <v>3</v>
      </c>
      <c r="K1200" s="2">
        <v>0</v>
      </c>
      <c r="L120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00" s="2" t="str">
        <f>IF(Table1[[#This Row],[Experience Years]]&lt;=2,"Entry Level",IF(Table1[[#This Row],[Experience Years]]&lt;=7,"Mid Level",IF(Table1[[#This Row],[Experience Years]]&lt;=15,"Senior Level")))</f>
        <v>Mid Level</v>
      </c>
      <c r="N1200" s="1">
        <f>AVERAGE(Table1[[#This Row],[Interview Score]:[Personality Score]])</f>
        <v>47.333333333333336</v>
      </c>
      <c r="O12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00" s="2" t="str">
        <f t="shared" si="18"/>
        <v>10-20</v>
      </c>
    </row>
    <row r="1201" spans="1:16" x14ac:dyDescent="0.25">
      <c r="A1201">
        <v>43</v>
      </c>
      <c r="B1201" s="2">
        <v>0</v>
      </c>
      <c r="C1201" s="2">
        <v>3</v>
      </c>
      <c r="D1201" s="2">
        <v>12</v>
      </c>
      <c r="E1201" s="2">
        <v>5</v>
      </c>
      <c r="F1201" s="1">
        <v>50.99246222</v>
      </c>
      <c r="G1201" s="2">
        <v>27</v>
      </c>
      <c r="H1201" s="2">
        <v>56</v>
      </c>
      <c r="I1201" s="2">
        <v>89</v>
      </c>
      <c r="J1201" s="2">
        <v>1</v>
      </c>
      <c r="K1201" s="2">
        <v>1</v>
      </c>
      <c r="L120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01" s="2" t="str">
        <f>IF(Table1[[#This Row],[Experience Years]]&lt;=2,"Entry Level",IF(Table1[[#This Row],[Experience Years]]&lt;=7,"Mid Level",IF(Table1[[#This Row],[Experience Years]]&lt;=15,"Senior Level")))</f>
        <v>Senior Level</v>
      </c>
      <c r="N1201" s="1">
        <f>AVERAGE(Table1[[#This Row],[Interview Score]:[Personality Score]])</f>
        <v>57.333333333333336</v>
      </c>
      <c r="O12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01" s="2" t="str">
        <f t="shared" si="18"/>
        <v>50+</v>
      </c>
    </row>
    <row r="1202" spans="1:16" x14ac:dyDescent="0.25">
      <c r="A1202">
        <v>41</v>
      </c>
      <c r="B1202" s="2">
        <v>1</v>
      </c>
      <c r="C1202" s="2">
        <v>3</v>
      </c>
      <c r="D1202" s="2">
        <v>12</v>
      </c>
      <c r="E1202" s="2">
        <v>2</v>
      </c>
      <c r="F1202" s="1">
        <v>1.1092071429999999</v>
      </c>
      <c r="G1202" s="2">
        <v>59</v>
      </c>
      <c r="H1202" s="2">
        <v>5</v>
      </c>
      <c r="I1202" s="2">
        <v>54</v>
      </c>
      <c r="J1202" s="2">
        <v>3</v>
      </c>
      <c r="K1202" s="2">
        <v>0</v>
      </c>
      <c r="L120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02" t="str">
        <f>IF(Table1[[#This Row],[Experience Years]]&lt;=2,"Entry Level",IF(Table1[[#This Row],[Experience Years]]&lt;=7,"Mid Level",IF(Table1[[#This Row],[Experience Years]]&lt;=15,"Senior Level")))</f>
        <v>Senior Level</v>
      </c>
      <c r="N1202" s="1">
        <f>AVERAGE(Table1[[#This Row],[Interview Score]:[Personality Score]])</f>
        <v>39.333333333333336</v>
      </c>
      <c r="O12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02" s="2" t="str">
        <f t="shared" si="18"/>
        <v>0-10</v>
      </c>
    </row>
    <row r="1203" spans="1:16" x14ac:dyDescent="0.25">
      <c r="A1203">
        <v>33</v>
      </c>
      <c r="B1203" s="2">
        <v>1</v>
      </c>
      <c r="C1203" s="2">
        <v>4</v>
      </c>
      <c r="D1203" s="2">
        <v>14</v>
      </c>
      <c r="E1203" s="2">
        <v>1</v>
      </c>
      <c r="F1203" s="1">
        <v>32.933631810000001</v>
      </c>
      <c r="G1203" s="2">
        <v>2</v>
      </c>
      <c r="H1203" s="2">
        <v>0</v>
      </c>
      <c r="I1203" s="2">
        <v>19</v>
      </c>
      <c r="J1203" s="2">
        <v>2</v>
      </c>
      <c r="K1203" s="2">
        <v>0</v>
      </c>
      <c r="L120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03" t="str">
        <f>IF(Table1[[#This Row],[Experience Years]]&lt;=2,"Entry Level",IF(Table1[[#This Row],[Experience Years]]&lt;=7,"Mid Level",IF(Table1[[#This Row],[Experience Years]]&lt;=15,"Senior Level")))</f>
        <v>Senior Level</v>
      </c>
      <c r="N1203" s="1">
        <f>AVERAGE(Table1[[#This Row],[Interview Score]:[Personality Score]])</f>
        <v>7</v>
      </c>
      <c r="O12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03" s="2" t="str">
        <f t="shared" si="18"/>
        <v>30-40</v>
      </c>
    </row>
    <row r="1204" spans="1:16" x14ac:dyDescent="0.25">
      <c r="A1204">
        <v>45</v>
      </c>
      <c r="B1204" s="2">
        <v>0</v>
      </c>
      <c r="C1204" s="2">
        <v>2</v>
      </c>
      <c r="D1204" s="2">
        <v>9</v>
      </c>
      <c r="E1204" s="2">
        <v>2</v>
      </c>
      <c r="F1204" s="1">
        <v>8.0621849010000002</v>
      </c>
      <c r="G1204" s="2">
        <v>54</v>
      </c>
      <c r="H1204" s="2">
        <v>7</v>
      </c>
      <c r="I1204" s="2">
        <v>80</v>
      </c>
      <c r="J1204" s="2">
        <v>3</v>
      </c>
      <c r="K1204" s="2">
        <v>0</v>
      </c>
      <c r="L120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04" s="2" t="str">
        <f>IF(Table1[[#This Row],[Experience Years]]&lt;=2,"Entry Level",IF(Table1[[#This Row],[Experience Years]]&lt;=7,"Mid Level",IF(Table1[[#This Row],[Experience Years]]&lt;=15,"Senior Level")))</f>
        <v>Senior Level</v>
      </c>
      <c r="N1204" s="1">
        <f>AVERAGE(Table1[[#This Row],[Interview Score]:[Personality Score]])</f>
        <v>47</v>
      </c>
      <c r="O12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04" s="2" t="str">
        <f t="shared" si="18"/>
        <v>0-10</v>
      </c>
    </row>
    <row r="1205" spans="1:16" x14ac:dyDescent="0.25">
      <c r="A1205">
        <v>47</v>
      </c>
      <c r="B1205" s="2">
        <v>0</v>
      </c>
      <c r="C1205" s="2">
        <v>2</v>
      </c>
      <c r="D1205" s="2">
        <v>1</v>
      </c>
      <c r="E1205" s="2">
        <v>3</v>
      </c>
      <c r="F1205" s="1">
        <v>47.031406840000002</v>
      </c>
      <c r="G1205" s="2">
        <v>13</v>
      </c>
      <c r="H1205" s="2">
        <v>96</v>
      </c>
      <c r="I1205" s="2">
        <v>16</v>
      </c>
      <c r="J1205" s="2">
        <v>1</v>
      </c>
      <c r="K1205" s="2">
        <v>0</v>
      </c>
      <c r="L120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05" s="2" t="str">
        <f>IF(Table1[[#This Row],[Experience Years]]&lt;=2,"Entry Level",IF(Table1[[#This Row],[Experience Years]]&lt;=7,"Mid Level",IF(Table1[[#This Row],[Experience Years]]&lt;=15,"Senior Level")))</f>
        <v>Entry Level</v>
      </c>
      <c r="N1205" s="1">
        <f>AVERAGE(Table1[[#This Row],[Interview Score]:[Personality Score]])</f>
        <v>41.666666666666664</v>
      </c>
      <c r="O12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05" s="2" t="str">
        <f t="shared" si="18"/>
        <v>40-50</v>
      </c>
    </row>
    <row r="1206" spans="1:16" x14ac:dyDescent="0.25">
      <c r="A1206">
        <v>42</v>
      </c>
      <c r="B1206" s="2">
        <v>1</v>
      </c>
      <c r="C1206" s="2">
        <v>1</v>
      </c>
      <c r="D1206" s="2">
        <v>0</v>
      </c>
      <c r="E1206" s="2">
        <v>2</v>
      </c>
      <c r="F1206" s="1">
        <v>5.6816446669999996</v>
      </c>
      <c r="G1206" s="2">
        <v>57</v>
      </c>
      <c r="H1206" s="2">
        <v>50</v>
      </c>
      <c r="I1206" s="2">
        <v>67</v>
      </c>
      <c r="J1206" s="2">
        <v>1</v>
      </c>
      <c r="K1206" s="2">
        <v>0</v>
      </c>
      <c r="L120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06" t="str">
        <f>IF(Table1[[#This Row],[Experience Years]]&lt;=2,"Entry Level",IF(Table1[[#This Row],[Experience Years]]&lt;=7,"Mid Level",IF(Table1[[#This Row],[Experience Years]]&lt;=15,"Senior Level")))</f>
        <v>Entry Level</v>
      </c>
      <c r="N1206" s="1">
        <f>AVERAGE(Table1[[#This Row],[Interview Score]:[Personality Score]])</f>
        <v>58</v>
      </c>
      <c r="O12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06" s="2" t="str">
        <f t="shared" si="18"/>
        <v>0-10</v>
      </c>
    </row>
    <row r="1207" spans="1:16" x14ac:dyDescent="0.25">
      <c r="A1207">
        <v>33</v>
      </c>
      <c r="B1207" s="2">
        <v>1</v>
      </c>
      <c r="C1207" s="2">
        <v>2</v>
      </c>
      <c r="D1207" s="2">
        <v>3</v>
      </c>
      <c r="E1207" s="2">
        <v>2</v>
      </c>
      <c r="F1207" s="1">
        <v>48.753159359999998</v>
      </c>
      <c r="G1207" s="2">
        <v>88</v>
      </c>
      <c r="H1207" s="2">
        <v>84</v>
      </c>
      <c r="I1207" s="2">
        <v>4</v>
      </c>
      <c r="J1207" s="2">
        <v>3</v>
      </c>
      <c r="K1207" s="2">
        <v>0</v>
      </c>
      <c r="L120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07" t="str">
        <f>IF(Table1[[#This Row],[Experience Years]]&lt;=2,"Entry Level",IF(Table1[[#This Row],[Experience Years]]&lt;=7,"Mid Level",IF(Table1[[#This Row],[Experience Years]]&lt;=15,"Senior Level")))</f>
        <v>Mid Level</v>
      </c>
      <c r="N1207" s="1">
        <f>AVERAGE(Table1[[#This Row],[Interview Score]:[Personality Score]])</f>
        <v>58.666666666666664</v>
      </c>
      <c r="O12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07" s="2" t="str">
        <f t="shared" si="18"/>
        <v>40-50</v>
      </c>
    </row>
    <row r="1208" spans="1:16" x14ac:dyDescent="0.25">
      <c r="A1208">
        <v>43</v>
      </c>
      <c r="B1208" s="2">
        <v>0</v>
      </c>
      <c r="C1208" s="2">
        <v>2</v>
      </c>
      <c r="D1208" s="2">
        <v>3</v>
      </c>
      <c r="E1208" s="2">
        <v>2</v>
      </c>
      <c r="F1208" s="1">
        <v>31.546319369999999</v>
      </c>
      <c r="G1208" s="2">
        <v>14</v>
      </c>
      <c r="H1208" s="2">
        <v>87</v>
      </c>
      <c r="I1208" s="2">
        <v>59</v>
      </c>
      <c r="J1208" s="2">
        <v>3</v>
      </c>
      <c r="K1208" s="2">
        <v>0</v>
      </c>
      <c r="L120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08" s="2" t="str">
        <f>IF(Table1[[#This Row],[Experience Years]]&lt;=2,"Entry Level",IF(Table1[[#This Row],[Experience Years]]&lt;=7,"Mid Level",IF(Table1[[#This Row],[Experience Years]]&lt;=15,"Senior Level")))</f>
        <v>Mid Level</v>
      </c>
      <c r="N1208" s="1">
        <f>AVERAGE(Table1[[#This Row],[Interview Score]:[Personality Score]])</f>
        <v>53.333333333333336</v>
      </c>
      <c r="O12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08" s="2" t="str">
        <f t="shared" si="18"/>
        <v>30-40</v>
      </c>
    </row>
    <row r="1209" spans="1:16" x14ac:dyDescent="0.25">
      <c r="A1209">
        <v>21</v>
      </c>
      <c r="B1209" s="2">
        <v>1</v>
      </c>
      <c r="C1209" s="2">
        <v>4</v>
      </c>
      <c r="D1209" s="2">
        <v>12</v>
      </c>
      <c r="E1209" s="2">
        <v>4</v>
      </c>
      <c r="F1209" s="1">
        <v>1.0634038459999999</v>
      </c>
      <c r="G1209" s="2">
        <v>1</v>
      </c>
      <c r="H1209" s="2">
        <v>24</v>
      </c>
      <c r="I1209" s="2">
        <v>22</v>
      </c>
      <c r="J1209" s="2">
        <v>2</v>
      </c>
      <c r="K1209" s="2">
        <v>0</v>
      </c>
      <c r="L120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09" t="str">
        <f>IF(Table1[[#This Row],[Experience Years]]&lt;=2,"Entry Level",IF(Table1[[#This Row],[Experience Years]]&lt;=7,"Mid Level",IF(Table1[[#This Row],[Experience Years]]&lt;=15,"Senior Level")))</f>
        <v>Senior Level</v>
      </c>
      <c r="N1209" s="1">
        <f>AVERAGE(Table1[[#This Row],[Interview Score]:[Personality Score]])</f>
        <v>15.666666666666666</v>
      </c>
      <c r="O12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09" s="2" t="str">
        <f t="shared" si="18"/>
        <v>0-10</v>
      </c>
    </row>
    <row r="1210" spans="1:16" x14ac:dyDescent="0.25">
      <c r="A1210">
        <v>32</v>
      </c>
      <c r="B1210" s="2">
        <v>0</v>
      </c>
      <c r="C1210" s="2">
        <v>2</v>
      </c>
      <c r="D1210" s="2">
        <v>0</v>
      </c>
      <c r="E1210" s="2">
        <v>3</v>
      </c>
      <c r="F1210" s="1">
        <v>45.700359900000002</v>
      </c>
      <c r="G1210" s="2">
        <v>23</v>
      </c>
      <c r="H1210" s="2">
        <v>46</v>
      </c>
      <c r="I1210" s="2">
        <v>45</v>
      </c>
      <c r="J1210" s="2">
        <v>2</v>
      </c>
      <c r="K1210" s="2">
        <v>0</v>
      </c>
      <c r="L121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10" s="2" t="str">
        <f>IF(Table1[[#This Row],[Experience Years]]&lt;=2,"Entry Level",IF(Table1[[#This Row],[Experience Years]]&lt;=7,"Mid Level",IF(Table1[[#This Row],[Experience Years]]&lt;=15,"Senior Level")))</f>
        <v>Entry Level</v>
      </c>
      <c r="N1210" s="1">
        <f>AVERAGE(Table1[[#This Row],[Interview Score]:[Personality Score]])</f>
        <v>38</v>
      </c>
      <c r="O12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10" s="2" t="str">
        <f t="shared" si="18"/>
        <v>40-50</v>
      </c>
    </row>
    <row r="1211" spans="1:16" x14ac:dyDescent="0.25">
      <c r="A1211">
        <v>45</v>
      </c>
      <c r="B1211" s="2">
        <v>0</v>
      </c>
      <c r="C1211" s="2">
        <v>2</v>
      </c>
      <c r="D1211" s="2">
        <v>5</v>
      </c>
      <c r="E1211" s="2">
        <v>2</v>
      </c>
      <c r="F1211" s="1">
        <v>27.085590069999999</v>
      </c>
      <c r="G1211" s="2">
        <v>77</v>
      </c>
      <c r="H1211" s="2">
        <v>54</v>
      </c>
      <c r="I1211" s="2">
        <v>51</v>
      </c>
      <c r="J1211" s="2">
        <v>3</v>
      </c>
      <c r="K1211" s="2">
        <v>0</v>
      </c>
      <c r="L121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11" s="2" t="str">
        <f>IF(Table1[[#This Row],[Experience Years]]&lt;=2,"Entry Level",IF(Table1[[#This Row],[Experience Years]]&lt;=7,"Mid Level",IF(Table1[[#This Row],[Experience Years]]&lt;=15,"Senior Level")))</f>
        <v>Mid Level</v>
      </c>
      <c r="N1211" s="1">
        <f>AVERAGE(Table1[[#This Row],[Interview Score]:[Personality Score]])</f>
        <v>60.666666666666664</v>
      </c>
      <c r="O12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11" s="2" t="str">
        <f t="shared" si="18"/>
        <v>20-30</v>
      </c>
    </row>
    <row r="1212" spans="1:16" x14ac:dyDescent="0.25">
      <c r="A1212">
        <v>33</v>
      </c>
      <c r="B1212" s="2">
        <v>0</v>
      </c>
      <c r="C1212" s="2">
        <v>2</v>
      </c>
      <c r="D1212" s="2">
        <v>3</v>
      </c>
      <c r="E1212" s="2">
        <v>2</v>
      </c>
      <c r="F1212" s="1">
        <v>14.133486769999999</v>
      </c>
      <c r="G1212" s="2">
        <v>63</v>
      </c>
      <c r="H1212" s="2">
        <v>63</v>
      </c>
      <c r="I1212" s="2">
        <v>9</v>
      </c>
      <c r="J1212" s="2">
        <v>1</v>
      </c>
      <c r="K1212" s="2">
        <v>0</v>
      </c>
      <c r="L121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12" s="2" t="str">
        <f>IF(Table1[[#This Row],[Experience Years]]&lt;=2,"Entry Level",IF(Table1[[#This Row],[Experience Years]]&lt;=7,"Mid Level",IF(Table1[[#This Row],[Experience Years]]&lt;=15,"Senior Level")))</f>
        <v>Mid Level</v>
      </c>
      <c r="N1212" s="1">
        <f>AVERAGE(Table1[[#This Row],[Interview Score]:[Personality Score]])</f>
        <v>45</v>
      </c>
      <c r="O12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12" s="2" t="str">
        <f t="shared" si="18"/>
        <v>10-20</v>
      </c>
    </row>
    <row r="1213" spans="1:16" x14ac:dyDescent="0.25">
      <c r="A1213">
        <v>46</v>
      </c>
      <c r="B1213" s="2">
        <v>0</v>
      </c>
      <c r="C1213" s="2">
        <v>2</v>
      </c>
      <c r="D1213" s="2">
        <v>0</v>
      </c>
      <c r="E1213" s="2">
        <v>2</v>
      </c>
      <c r="F1213" s="1">
        <v>39.363958879999998</v>
      </c>
      <c r="G1213" s="2">
        <v>70</v>
      </c>
      <c r="H1213" s="2">
        <v>82</v>
      </c>
      <c r="I1213" s="2">
        <v>45</v>
      </c>
      <c r="J1213" s="2">
        <v>2</v>
      </c>
      <c r="K1213" s="2">
        <v>0</v>
      </c>
      <c r="L121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13" s="2" t="str">
        <f>IF(Table1[[#This Row],[Experience Years]]&lt;=2,"Entry Level",IF(Table1[[#This Row],[Experience Years]]&lt;=7,"Mid Level",IF(Table1[[#This Row],[Experience Years]]&lt;=15,"Senior Level")))</f>
        <v>Entry Level</v>
      </c>
      <c r="N1213" s="1">
        <f>AVERAGE(Table1[[#This Row],[Interview Score]:[Personality Score]])</f>
        <v>65.666666666666671</v>
      </c>
      <c r="O12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13" s="2" t="str">
        <f t="shared" si="18"/>
        <v>30-40</v>
      </c>
    </row>
    <row r="1214" spans="1:16" x14ac:dyDescent="0.25">
      <c r="A1214">
        <v>43</v>
      </c>
      <c r="B1214" s="2">
        <v>1</v>
      </c>
      <c r="C1214" s="2">
        <v>2</v>
      </c>
      <c r="D1214" s="2">
        <v>0</v>
      </c>
      <c r="E1214" s="2">
        <v>1</v>
      </c>
      <c r="F1214" s="1">
        <v>47.333277690000003</v>
      </c>
      <c r="G1214" s="2">
        <v>99</v>
      </c>
      <c r="H1214" s="2">
        <v>92</v>
      </c>
      <c r="I1214" s="2">
        <v>27</v>
      </c>
      <c r="J1214" s="2">
        <v>3</v>
      </c>
      <c r="K1214" s="2">
        <v>0</v>
      </c>
      <c r="L121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14" t="str">
        <f>IF(Table1[[#This Row],[Experience Years]]&lt;=2,"Entry Level",IF(Table1[[#This Row],[Experience Years]]&lt;=7,"Mid Level",IF(Table1[[#This Row],[Experience Years]]&lt;=15,"Senior Level")))</f>
        <v>Entry Level</v>
      </c>
      <c r="N1214" s="1">
        <f>AVERAGE(Table1[[#This Row],[Interview Score]:[Personality Score]])</f>
        <v>72.666666666666671</v>
      </c>
      <c r="O12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214" s="2" t="str">
        <f t="shared" si="18"/>
        <v>40-50</v>
      </c>
    </row>
    <row r="1215" spans="1:16" x14ac:dyDescent="0.25">
      <c r="A1215">
        <v>38</v>
      </c>
      <c r="B1215" s="2">
        <v>1</v>
      </c>
      <c r="C1215" s="2">
        <v>3</v>
      </c>
      <c r="D1215" s="2">
        <v>14</v>
      </c>
      <c r="E1215" s="2">
        <v>4</v>
      </c>
      <c r="F1215" s="1">
        <v>25.184541159999998</v>
      </c>
      <c r="G1215" s="2">
        <v>23</v>
      </c>
      <c r="H1215" s="2">
        <v>9</v>
      </c>
      <c r="I1215" s="2">
        <v>96</v>
      </c>
      <c r="J1215" s="2">
        <v>2</v>
      </c>
      <c r="K1215" s="2">
        <v>0</v>
      </c>
      <c r="L121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15" t="str">
        <f>IF(Table1[[#This Row],[Experience Years]]&lt;=2,"Entry Level",IF(Table1[[#This Row],[Experience Years]]&lt;=7,"Mid Level",IF(Table1[[#This Row],[Experience Years]]&lt;=15,"Senior Level")))</f>
        <v>Senior Level</v>
      </c>
      <c r="N1215" s="1">
        <f>AVERAGE(Table1[[#This Row],[Interview Score]:[Personality Score]])</f>
        <v>42.666666666666664</v>
      </c>
      <c r="O12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15" s="2" t="str">
        <f t="shared" si="18"/>
        <v>20-30</v>
      </c>
    </row>
    <row r="1216" spans="1:16" x14ac:dyDescent="0.25">
      <c r="A1216">
        <v>26</v>
      </c>
      <c r="B1216" s="2">
        <v>0</v>
      </c>
      <c r="C1216" s="2">
        <v>2</v>
      </c>
      <c r="D1216" s="2">
        <v>12</v>
      </c>
      <c r="E1216" s="2">
        <v>1</v>
      </c>
      <c r="F1216" s="1">
        <v>16.777673719999999</v>
      </c>
      <c r="G1216" s="2">
        <v>26</v>
      </c>
      <c r="H1216" s="2">
        <v>55</v>
      </c>
      <c r="I1216" s="2">
        <v>42</v>
      </c>
      <c r="J1216" s="2">
        <v>2</v>
      </c>
      <c r="K1216" s="2">
        <v>0</v>
      </c>
      <c r="L121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16" s="2" t="str">
        <f>IF(Table1[[#This Row],[Experience Years]]&lt;=2,"Entry Level",IF(Table1[[#This Row],[Experience Years]]&lt;=7,"Mid Level",IF(Table1[[#This Row],[Experience Years]]&lt;=15,"Senior Level")))</f>
        <v>Senior Level</v>
      </c>
      <c r="N1216" s="1">
        <f>AVERAGE(Table1[[#This Row],[Interview Score]:[Personality Score]])</f>
        <v>41</v>
      </c>
      <c r="O12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16" s="2" t="str">
        <f t="shared" si="18"/>
        <v>10-20</v>
      </c>
    </row>
    <row r="1217" spans="1:16" x14ac:dyDescent="0.25">
      <c r="A1217">
        <v>22</v>
      </c>
      <c r="B1217" s="2">
        <v>0</v>
      </c>
      <c r="C1217" s="2">
        <v>3</v>
      </c>
      <c r="D1217" s="2">
        <v>0</v>
      </c>
      <c r="E1217" s="2">
        <v>4</v>
      </c>
      <c r="F1217" s="1">
        <v>40.447256199999998</v>
      </c>
      <c r="G1217" s="2">
        <v>36</v>
      </c>
      <c r="H1217" s="2">
        <v>11</v>
      </c>
      <c r="I1217" s="2">
        <v>25</v>
      </c>
      <c r="J1217" s="2">
        <v>2</v>
      </c>
      <c r="K1217" s="2">
        <v>0</v>
      </c>
      <c r="L121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17" s="2" t="str">
        <f>IF(Table1[[#This Row],[Experience Years]]&lt;=2,"Entry Level",IF(Table1[[#This Row],[Experience Years]]&lt;=7,"Mid Level",IF(Table1[[#This Row],[Experience Years]]&lt;=15,"Senior Level")))</f>
        <v>Entry Level</v>
      </c>
      <c r="N1217" s="1">
        <f>AVERAGE(Table1[[#This Row],[Interview Score]:[Personality Score]])</f>
        <v>24</v>
      </c>
      <c r="O12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17" s="2" t="str">
        <f t="shared" si="18"/>
        <v>40-50</v>
      </c>
    </row>
    <row r="1218" spans="1:16" x14ac:dyDescent="0.25">
      <c r="A1218">
        <v>34</v>
      </c>
      <c r="B1218" s="2">
        <v>0</v>
      </c>
      <c r="C1218" s="2">
        <v>2</v>
      </c>
      <c r="D1218" s="2">
        <v>7</v>
      </c>
      <c r="E1218" s="2">
        <v>2</v>
      </c>
      <c r="F1218" s="1">
        <v>35.089274889999999</v>
      </c>
      <c r="G1218" s="2">
        <v>93</v>
      </c>
      <c r="H1218" s="2">
        <v>32</v>
      </c>
      <c r="I1218" s="2">
        <v>54</v>
      </c>
      <c r="J1218" s="2">
        <v>2</v>
      </c>
      <c r="K1218" s="2">
        <v>0</v>
      </c>
      <c r="L121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18" s="2" t="str">
        <f>IF(Table1[[#This Row],[Experience Years]]&lt;=2,"Entry Level",IF(Table1[[#This Row],[Experience Years]]&lt;=7,"Mid Level",IF(Table1[[#This Row],[Experience Years]]&lt;=15,"Senior Level")))</f>
        <v>Mid Level</v>
      </c>
      <c r="N1218" s="1">
        <f>AVERAGE(Table1[[#This Row],[Interview Score]:[Personality Score]])</f>
        <v>59.666666666666664</v>
      </c>
      <c r="O12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18" s="2" t="str">
        <f t="shared" ref="P1218:P1281" si="19">IF(F1218&lt;10,"0-10",IF(F1218&lt;20,"10-20",IF(F1218&lt;30,"20-30",IF(F1218&lt;40,"30-40",IF(F1218&lt;50,"40-50","50+")))))</f>
        <v>30-40</v>
      </c>
    </row>
    <row r="1219" spans="1:16" x14ac:dyDescent="0.25">
      <c r="A1219">
        <v>42</v>
      </c>
      <c r="B1219" s="2">
        <v>0</v>
      </c>
      <c r="C1219" s="2">
        <v>3</v>
      </c>
      <c r="D1219" s="2">
        <v>9</v>
      </c>
      <c r="E1219" s="2">
        <v>3</v>
      </c>
      <c r="F1219" s="1">
        <v>45.437624190000001</v>
      </c>
      <c r="G1219" s="2">
        <v>90</v>
      </c>
      <c r="H1219" s="2">
        <v>70</v>
      </c>
      <c r="I1219" s="2">
        <v>47</v>
      </c>
      <c r="J1219" s="2">
        <v>1</v>
      </c>
      <c r="K1219" s="2">
        <v>1</v>
      </c>
      <c r="L121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19" s="2" t="str">
        <f>IF(Table1[[#This Row],[Experience Years]]&lt;=2,"Entry Level",IF(Table1[[#This Row],[Experience Years]]&lt;=7,"Mid Level",IF(Table1[[#This Row],[Experience Years]]&lt;=15,"Senior Level")))</f>
        <v>Senior Level</v>
      </c>
      <c r="N1219" s="1">
        <f>AVERAGE(Table1[[#This Row],[Interview Score]:[Personality Score]])</f>
        <v>69</v>
      </c>
      <c r="O12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19" s="2" t="str">
        <f t="shared" si="19"/>
        <v>40-50</v>
      </c>
    </row>
    <row r="1220" spans="1:16" x14ac:dyDescent="0.25">
      <c r="A1220">
        <v>33</v>
      </c>
      <c r="B1220" s="2">
        <v>0</v>
      </c>
      <c r="C1220" s="2">
        <v>3</v>
      </c>
      <c r="D1220" s="2">
        <v>7</v>
      </c>
      <c r="E1220" s="2">
        <v>5</v>
      </c>
      <c r="F1220" s="1">
        <v>35.625700639999998</v>
      </c>
      <c r="G1220" s="2">
        <v>38</v>
      </c>
      <c r="H1220" s="2">
        <v>16</v>
      </c>
      <c r="I1220" s="2">
        <v>28</v>
      </c>
      <c r="J1220" s="2">
        <v>3</v>
      </c>
      <c r="K1220" s="2">
        <v>0</v>
      </c>
      <c r="L122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20" s="2" t="str">
        <f>IF(Table1[[#This Row],[Experience Years]]&lt;=2,"Entry Level",IF(Table1[[#This Row],[Experience Years]]&lt;=7,"Mid Level",IF(Table1[[#This Row],[Experience Years]]&lt;=15,"Senior Level")))</f>
        <v>Mid Level</v>
      </c>
      <c r="N1220" s="1">
        <f>AVERAGE(Table1[[#This Row],[Interview Score]:[Personality Score]])</f>
        <v>27.333333333333332</v>
      </c>
      <c r="O12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20" s="2" t="str">
        <f t="shared" si="19"/>
        <v>30-40</v>
      </c>
    </row>
    <row r="1221" spans="1:16" x14ac:dyDescent="0.25">
      <c r="A1221">
        <v>30</v>
      </c>
      <c r="B1221" s="2">
        <v>1</v>
      </c>
      <c r="C1221" s="2">
        <v>2</v>
      </c>
      <c r="D1221" s="2">
        <v>1</v>
      </c>
      <c r="E1221" s="2">
        <v>5</v>
      </c>
      <c r="F1221" s="1">
        <v>13.176416939999999</v>
      </c>
      <c r="G1221" s="2">
        <v>62</v>
      </c>
      <c r="H1221" s="2">
        <v>60</v>
      </c>
      <c r="I1221" s="2">
        <v>26</v>
      </c>
      <c r="J1221" s="2">
        <v>2</v>
      </c>
      <c r="K1221" s="2">
        <v>0</v>
      </c>
      <c r="L122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21" t="str">
        <f>IF(Table1[[#This Row],[Experience Years]]&lt;=2,"Entry Level",IF(Table1[[#This Row],[Experience Years]]&lt;=7,"Mid Level",IF(Table1[[#This Row],[Experience Years]]&lt;=15,"Senior Level")))</f>
        <v>Entry Level</v>
      </c>
      <c r="N1221" s="1">
        <f>AVERAGE(Table1[[#This Row],[Interview Score]:[Personality Score]])</f>
        <v>49.333333333333336</v>
      </c>
      <c r="O12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21" s="2" t="str">
        <f t="shared" si="19"/>
        <v>10-20</v>
      </c>
    </row>
    <row r="1222" spans="1:16" x14ac:dyDescent="0.25">
      <c r="A1222">
        <v>34</v>
      </c>
      <c r="B1222" s="2">
        <v>1</v>
      </c>
      <c r="C1222" s="2">
        <v>2</v>
      </c>
      <c r="D1222" s="2">
        <v>10</v>
      </c>
      <c r="E1222" s="2">
        <v>2</v>
      </c>
      <c r="F1222" s="1">
        <v>47.58296249</v>
      </c>
      <c r="G1222" s="2">
        <v>78</v>
      </c>
      <c r="H1222" s="2">
        <v>9</v>
      </c>
      <c r="I1222" s="2">
        <v>17</v>
      </c>
      <c r="J1222" s="2">
        <v>3</v>
      </c>
      <c r="K1222" s="2">
        <v>0</v>
      </c>
      <c r="L122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22" t="str">
        <f>IF(Table1[[#This Row],[Experience Years]]&lt;=2,"Entry Level",IF(Table1[[#This Row],[Experience Years]]&lt;=7,"Mid Level",IF(Table1[[#This Row],[Experience Years]]&lt;=15,"Senior Level")))</f>
        <v>Senior Level</v>
      </c>
      <c r="N1222" s="1">
        <f>AVERAGE(Table1[[#This Row],[Interview Score]:[Personality Score]])</f>
        <v>34.666666666666664</v>
      </c>
      <c r="O12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22" s="2" t="str">
        <f t="shared" si="19"/>
        <v>40-50</v>
      </c>
    </row>
    <row r="1223" spans="1:16" x14ac:dyDescent="0.25">
      <c r="A1223">
        <v>47</v>
      </c>
      <c r="B1223" s="2">
        <v>1</v>
      </c>
      <c r="C1223" s="2">
        <v>4</v>
      </c>
      <c r="D1223" s="2">
        <v>12</v>
      </c>
      <c r="E1223" s="2">
        <v>1</v>
      </c>
      <c r="F1223" s="1">
        <v>6.24178736</v>
      </c>
      <c r="G1223" s="2">
        <v>25</v>
      </c>
      <c r="H1223" s="2">
        <v>30</v>
      </c>
      <c r="I1223" s="2">
        <v>59</v>
      </c>
      <c r="J1223" s="2">
        <v>3</v>
      </c>
      <c r="K1223" s="2">
        <v>0</v>
      </c>
      <c r="L122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23" t="str">
        <f>IF(Table1[[#This Row],[Experience Years]]&lt;=2,"Entry Level",IF(Table1[[#This Row],[Experience Years]]&lt;=7,"Mid Level",IF(Table1[[#This Row],[Experience Years]]&lt;=15,"Senior Level")))</f>
        <v>Senior Level</v>
      </c>
      <c r="N1223" s="1">
        <f>AVERAGE(Table1[[#This Row],[Interview Score]:[Personality Score]])</f>
        <v>38</v>
      </c>
      <c r="O12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23" s="2" t="str">
        <f t="shared" si="19"/>
        <v>0-10</v>
      </c>
    </row>
    <row r="1224" spans="1:16" x14ac:dyDescent="0.25">
      <c r="A1224">
        <v>32</v>
      </c>
      <c r="B1224" s="2">
        <v>1</v>
      </c>
      <c r="C1224" s="2">
        <v>2</v>
      </c>
      <c r="D1224" s="2">
        <v>6</v>
      </c>
      <c r="E1224" s="2">
        <v>3</v>
      </c>
      <c r="F1224" s="1">
        <v>14.39713751</v>
      </c>
      <c r="G1224" s="2">
        <v>64</v>
      </c>
      <c r="H1224" s="2">
        <v>59</v>
      </c>
      <c r="I1224" s="2">
        <v>73</v>
      </c>
      <c r="J1224" s="2">
        <v>1</v>
      </c>
      <c r="K1224" s="2">
        <v>1</v>
      </c>
      <c r="L122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24" t="str">
        <f>IF(Table1[[#This Row],[Experience Years]]&lt;=2,"Entry Level",IF(Table1[[#This Row],[Experience Years]]&lt;=7,"Mid Level",IF(Table1[[#This Row],[Experience Years]]&lt;=15,"Senior Level")))</f>
        <v>Mid Level</v>
      </c>
      <c r="N1224" s="1">
        <f>AVERAGE(Table1[[#This Row],[Interview Score]:[Personality Score]])</f>
        <v>65.333333333333329</v>
      </c>
      <c r="O12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24" s="2" t="str">
        <f t="shared" si="19"/>
        <v>10-20</v>
      </c>
    </row>
    <row r="1225" spans="1:16" x14ac:dyDescent="0.25">
      <c r="A1225">
        <v>37</v>
      </c>
      <c r="B1225" s="2">
        <v>0</v>
      </c>
      <c r="C1225" s="2">
        <v>4</v>
      </c>
      <c r="D1225" s="2">
        <v>13</v>
      </c>
      <c r="E1225" s="2">
        <v>4</v>
      </c>
      <c r="F1225" s="1">
        <v>27.009730390000001</v>
      </c>
      <c r="G1225" s="2">
        <v>3</v>
      </c>
      <c r="H1225" s="2">
        <v>69</v>
      </c>
      <c r="I1225" s="2">
        <v>68</v>
      </c>
      <c r="J1225" s="2">
        <v>1</v>
      </c>
      <c r="K1225" s="2">
        <v>1</v>
      </c>
      <c r="L122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25" s="2" t="str">
        <f>IF(Table1[[#This Row],[Experience Years]]&lt;=2,"Entry Level",IF(Table1[[#This Row],[Experience Years]]&lt;=7,"Mid Level",IF(Table1[[#This Row],[Experience Years]]&lt;=15,"Senior Level")))</f>
        <v>Senior Level</v>
      </c>
      <c r="N1225" s="1">
        <f>AVERAGE(Table1[[#This Row],[Interview Score]:[Personality Score]])</f>
        <v>46.666666666666664</v>
      </c>
      <c r="O12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25" s="2" t="str">
        <f t="shared" si="19"/>
        <v>20-30</v>
      </c>
    </row>
    <row r="1226" spans="1:16" x14ac:dyDescent="0.25">
      <c r="A1226">
        <v>45</v>
      </c>
      <c r="B1226" s="2">
        <v>0</v>
      </c>
      <c r="C1226" s="2">
        <v>1</v>
      </c>
      <c r="D1226" s="2">
        <v>7</v>
      </c>
      <c r="E1226" s="2">
        <v>2</v>
      </c>
      <c r="F1226" s="1">
        <v>29.2871013</v>
      </c>
      <c r="G1226" s="2">
        <v>28</v>
      </c>
      <c r="H1226" s="2">
        <v>16</v>
      </c>
      <c r="I1226" s="2">
        <v>73</v>
      </c>
      <c r="J1226" s="2">
        <v>2</v>
      </c>
      <c r="K1226" s="2">
        <v>0</v>
      </c>
      <c r="L122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26" s="2" t="str">
        <f>IF(Table1[[#This Row],[Experience Years]]&lt;=2,"Entry Level",IF(Table1[[#This Row],[Experience Years]]&lt;=7,"Mid Level",IF(Table1[[#This Row],[Experience Years]]&lt;=15,"Senior Level")))</f>
        <v>Mid Level</v>
      </c>
      <c r="N1226" s="1">
        <f>AVERAGE(Table1[[#This Row],[Interview Score]:[Personality Score]])</f>
        <v>39</v>
      </c>
      <c r="O12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26" s="2" t="str">
        <f t="shared" si="19"/>
        <v>20-30</v>
      </c>
    </row>
    <row r="1227" spans="1:16" x14ac:dyDescent="0.25">
      <c r="A1227">
        <v>25</v>
      </c>
      <c r="B1227" s="2">
        <v>0</v>
      </c>
      <c r="C1227" s="2">
        <v>2</v>
      </c>
      <c r="D1227" s="2">
        <v>7</v>
      </c>
      <c r="E1227" s="2">
        <v>3</v>
      </c>
      <c r="F1227" s="1">
        <v>1.765529331</v>
      </c>
      <c r="G1227" s="2">
        <v>0</v>
      </c>
      <c r="H1227" s="2">
        <v>49</v>
      </c>
      <c r="I1227" s="2">
        <v>20</v>
      </c>
      <c r="J1227" s="2">
        <v>2</v>
      </c>
      <c r="K1227" s="2">
        <v>0</v>
      </c>
      <c r="L122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27" s="2" t="str">
        <f>IF(Table1[[#This Row],[Experience Years]]&lt;=2,"Entry Level",IF(Table1[[#This Row],[Experience Years]]&lt;=7,"Mid Level",IF(Table1[[#This Row],[Experience Years]]&lt;=15,"Senior Level")))</f>
        <v>Mid Level</v>
      </c>
      <c r="N1227" s="1">
        <f>AVERAGE(Table1[[#This Row],[Interview Score]:[Personality Score]])</f>
        <v>23</v>
      </c>
      <c r="O12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27" s="2" t="str">
        <f t="shared" si="19"/>
        <v>0-10</v>
      </c>
    </row>
    <row r="1228" spans="1:16" x14ac:dyDescent="0.25">
      <c r="A1228">
        <v>22</v>
      </c>
      <c r="B1228" s="2">
        <v>0</v>
      </c>
      <c r="C1228" s="2">
        <v>3</v>
      </c>
      <c r="D1228" s="2">
        <v>10</v>
      </c>
      <c r="E1228" s="2">
        <v>3</v>
      </c>
      <c r="F1228" s="1">
        <v>40.028636290000001</v>
      </c>
      <c r="G1228" s="2">
        <v>49</v>
      </c>
      <c r="H1228" s="2">
        <v>36</v>
      </c>
      <c r="I1228" s="2">
        <v>23</v>
      </c>
      <c r="J1228" s="2">
        <v>2</v>
      </c>
      <c r="K1228" s="2">
        <v>0</v>
      </c>
      <c r="L122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28" s="2" t="str">
        <f>IF(Table1[[#This Row],[Experience Years]]&lt;=2,"Entry Level",IF(Table1[[#This Row],[Experience Years]]&lt;=7,"Mid Level",IF(Table1[[#This Row],[Experience Years]]&lt;=15,"Senior Level")))</f>
        <v>Senior Level</v>
      </c>
      <c r="N1228" s="1">
        <f>AVERAGE(Table1[[#This Row],[Interview Score]:[Personality Score]])</f>
        <v>36</v>
      </c>
      <c r="O12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28" s="2" t="str">
        <f t="shared" si="19"/>
        <v>40-50</v>
      </c>
    </row>
    <row r="1229" spans="1:16" x14ac:dyDescent="0.25">
      <c r="A1229">
        <v>38</v>
      </c>
      <c r="B1229" s="2">
        <v>0</v>
      </c>
      <c r="C1229" s="2">
        <v>4</v>
      </c>
      <c r="D1229" s="2">
        <v>9</v>
      </c>
      <c r="E1229" s="2">
        <v>4</v>
      </c>
      <c r="F1229" s="1">
        <v>19.080365919999998</v>
      </c>
      <c r="G1229" s="2">
        <v>85</v>
      </c>
      <c r="H1229" s="2">
        <v>81</v>
      </c>
      <c r="I1229" s="2">
        <v>2</v>
      </c>
      <c r="J1229" s="2">
        <v>2</v>
      </c>
      <c r="K1229" s="2">
        <v>1</v>
      </c>
      <c r="L122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29" s="2" t="str">
        <f>IF(Table1[[#This Row],[Experience Years]]&lt;=2,"Entry Level",IF(Table1[[#This Row],[Experience Years]]&lt;=7,"Mid Level",IF(Table1[[#This Row],[Experience Years]]&lt;=15,"Senior Level")))</f>
        <v>Senior Level</v>
      </c>
      <c r="N1229" s="1">
        <f>AVERAGE(Table1[[#This Row],[Interview Score]:[Personality Score]])</f>
        <v>56</v>
      </c>
      <c r="O12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29" s="2" t="str">
        <f t="shared" si="19"/>
        <v>10-20</v>
      </c>
    </row>
    <row r="1230" spans="1:16" x14ac:dyDescent="0.25">
      <c r="A1230">
        <v>34</v>
      </c>
      <c r="B1230" s="2">
        <v>1</v>
      </c>
      <c r="C1230" s="2">
        <v>2</v>
      </c>
      <c r="D1230" s="2">
        <v>14</v>
      </c>
      <c r="E1230" s="2">
        <v>3</v>
      </c>
      <c r="F1230" s="1">
        <v>21.320927050000002</v>
      </c>
      <c r="G1230" s="2">
        <v>10</v>
      </c>
      <c r="H1230" s="2">
        <v>61</v>
      </c>
      <c r="I1230" s="2">
        <v>94</v>
      </c>
      <c r="J1230" s="2">
        <v>2</v>
      </c>
      <c r="K1230" s="2">
        <v>0</v>
      </c>
      <c r="L123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30" t="str">
        <f>IF(Table1[[#This Row],[Experience Years]]&lt;=2,"Entry Level",IF(Table1[[#This Row],[Experience Years]]&lt;=7,"Mid Level",IF(Table1[[#This Row],[Experience Years]]&lt;=15,"Senior Level")))</f>
        <v>Senior Level</v>
      </c>
      <c r="N1230" s="1">
        <f>AVERAGE(Table1[[#This Row],[Interview Score]:[Personality Score]])</f>
        <v>55</v>
      </c>
      <c r="O12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30" s="2" t="str">
        <f t="shared" si="19"/>
        <v>20-30</v>
      </c>
    </row>
    <row r="1231" spans="1:16" x14ac:dyDescent="0.25">
      <c r="A1231">
        <v>44</v>
      </c>
      <c r="B1231" s="2">
        <v>0</v>
      </c>
      <c r="C1231" s="2">
        <v>3</v>
      </c>
      <c r="D1231" s="2">
        <v>10</v>
      </c>
      <c r="E1231" s="2">
        <v>1</v>
      </c>
      <c r="F1231" s="1">
        <v>41.468477219999997</v>
      </c>
      <c r="G1231" s="2">
        <v>73</v>
      </c>
      <c r="H1231" s="2">
        <v>89</v>
      </c>
      <c r="I1231" s="2">
        <v>61</v>
      </c>
      <c r="J1231" s="2">
        <v>1</v>
      </c>
      <c r="K1231" s="2">
        <v>1</v>
      </c>
      <c r="L123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31" s="2" t="str">
        <f>IF(Table1[[#This Row],[Experience Years]]&lt;=2,"Entry Level",IF(Table1[[#This Row],[Experience Years]]&lt;=7,"Mid Level",IF(Table1[[#This Row],[Experience Years]]&lt;=15,"Senior Level")))</f>
        <v>Senior Level</v>
      </c>
      <c r="N1231" s="1">
        <f>AVERAGE(Table1[[#This Row],[Interview Score]:[Personality Score]])</f>
        <v>74.333333333333329</v>
      </c>
      <c r="O12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231" s="2" t="str">
        <f t="shared" si="19"/>
        <v>40-50</v>
      </c>
    </row>
    <row r="1232" spans="1:16" x14ac:dyDescent="0.25">
      <c r="A1232">
        <v>42</v>
      </c>
      <c r="B1232" s="2">
        <v>1</v>
      </c>
      <c r="C1232" s="2">
        <v>2</v>
      </c>
      <c r="D1232" s="2">
        <v>12</v>
      </c>
      <c r="E1232" s="2">
        <v>1</v>
      </c>
      <c r="F1232" s="1">
        <v>19.964169590000001</v>
      </c>
      <c r="G1232" s="2">
        <v>58</v>
      </c>
      <c r="H1232" s="2">
        <v>79</v>
      </c>
      <c r="I1232" s="2">
        <v>100</v>
      </c>
      <c r="J1232" s="2">
        <v>2</v>
      </c>
      <c r="K1232" s="2">
        <v>0</v>
      </c>
      <c r="L123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32" t="str">
        <f>IF(Table1[[#This Row],[Experience Years]]&lt;=2,"Entry Level",IF(Table1[[#This Row],[Experience Years]]&lt;=7,"Mid Level",IF(Table1[[#This Row],[Experience Years]]&lt;=15,"Senior Level")))</f>
        <v>Senior Level</v>
      </c>
      <c r="N1232" s="1">
        <f>AVERAGE(Table1[[#This Row],[Interview Score]:[Personality Score]])</f>
        <v>79</v>
      </c>
      <c r="O12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232" s="2" t="str">
        <f t="shared" si="19"/>
        <v>10-20</v>
      </c>
    </row>
    <row r="1233" spans="1:16" x14ac:dyDescent="0.25">
      <c r="A1233">
        <v>24</v>
      </c>
      <c r="B1233" s="2">
        <v>1</v>
      </c>
      <c r="C1233" s="2">
        <v>1</v>
      </c>
      <c r="D1233" s="2">
        <v>6</v>
      </c>
      <c r="E1233" s="2">
        <v>1</v>
      </c>
      <c r="F1233" s="1">
        <v>3.3612438249999999</v>
      </c>
      <c r="G1233" s="2">
        <v>61</v>
      </c>
      <c r="H1233" s="2">
        <v>71</v>
      </c>
      <c r="I1233" s="2">
        <v>1</v>
      </c>
      <c r="J1233" s="2">
        <v>2</v>
      </c>
      <c r="K1233" s="2">
        <v>0</v>
      </c>
      <c r="L123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33" t="str">
        <f>IF(Table1[[#This Row],[Experience Years]]&lt;=2,"Entry Level",IF(Table1[[#This Row],[Experience Years]]&lt;=7,"Mid Level",IF(Table1[[#This Row],[Experience Years]]&lt;=15,"Senior Level")))</f>
        <v>Mid Level</v>
      </c>
      <c r="N1233" s="1">
        <f>AVERAGE(Table1[[#This Row],[Interview Score]:[Personality Score]])</f>
        <v>44.333333333333336</v>
      </c>
      <c r="O12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33" s="2" t="str">
        <f t="shared" si="19"/>
        <v>0-10</v>
      </c>
    </row>
    <row r="1234" spans="1:16" x14ac:dyDescent="0.25">
      <c r="A1234">
        <v>47</v>
      </c>
      <c r="B1234" s="2">
        <v>1</v>
      </c>
      <c r="C1234" s="2">
        <v>2</v>
      </c>
      <c r="D1234" s="2">
        <v>4</v>
      </c>
      <c r="E1234" s="2">
        <v>3</v>
      </c>
      <c r="F1234" s="1">
        <v>9.821988524</v>
      </c>
      <c r="G1234" s="2">
        <v>80</v>
      </c>
      <c r="H1234" s="2">
        <v>87</v>
      </c>
      <c r="I1234" s="2">
        <v>65</v>
      </c>
      <c r="J1234" s="2">
        <v>2</v>
      </c>
      <c r="K1234" s="2">
        <v>0</v>
      </c>
      <c r="L123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34" t="str">
        <f>IF(Table1[[#This Row],[Experience Years]]&lt;=2,"Entry Level",IF(Table1[[#This Row],[Experience Years]]&lt;=7,"Mid Level",IF(Table1[[#This Row],[Experience Years]]&lt;=15,"Senior Level")))</f>
        <v>Mid Level</v>
      </c>
      <c r="N1234" s="1">
        <f>AVERAGE(Table1[[#This Row],[Interview Score]:[Personality Score]])</f>
        <v>77.333333333333329</v>
      </c>
      <c r="O12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234" s="2" t="str">
        <f t="shared" si="19"/>
        <v>0-10</v>
      </c>
    </row>
    <row r="1235" spans="1:16" x14ac:dyDescent="0.25">
      <c r="A1235">
        <v>29</v>
      </c>
      <c r="B1235" s="2">
        <v>1</v>
      </c>
      <c r="C1235" s="2">
        <v>2</v>
      </c>
      <c r="D1235" s="2">
        <v>0</v>
      </c>
      <c r="E1235" s="2">
        <v>1</v>
      </c>
      <c r="F1235" s="1">
        <v>48.795158620000002</v>
      </c>
      <c r="G1235" s="2">
        <v>35</v>
      </c>
      <c r="H1235" s="2">
        <v>76</v>
      </c>
      <c r="I1235" s="2">
        <v>41</v>
      </c>
      <c r="J1235" s="2">
        <v>1</v>
      </c>
      <c r="K1235" s="2">
        <v>0</v>
      </c>
      <c r="L123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35" t="str">
        <f>IF(Table1[[#This Row],[Experience Years]]&lt;=2,"Entry Level",IF(Table1[[#This Row],[Experience Years]]&lt;=7,"Mid Level",IF(Table1[[#This Row],[Experience Years]]&lt;=15,"Senior Level")))</f>
        <v>Entry Level</v>
      </c>
      <c r="N1235" s="1">
        <f>AVERAGE(Table1[[#This Row],[Interview Score]:[Personality Score]])</f>
        <v>50.666666666666664</v>
      </c>
      <c r="O12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35" s="2" t="str">
        <f t="shared" si="19"/>
        <v>40-50</v>
      </c>
    </row>
    <row r="1236" spans="1:16" x14ac:dyDescent="0.25">
      <c r="A1236">
        <v>26</v>
      </c>
      <c r="B1236" s="2">
        <v>0</v>
      </c>
      <c r="C1236" s="2">
        <v>4</v>
      </c>
      <c r="D1236" s="2">
        <v>11</v>
      </c>
      <c r="E1236" s="2">
        <v>4</v>
      </c>
      <c r="F1236" s="1">
        <v>4.5202681199999999</v>
      </c>
      <c r="G1236" s="2">
        <v>55</v>
      </c>
      <c r="H1236" s="2">
        <v>28</v>
      </c>
      <c r="I1236" s="2">
        <v>33</v>
      </c>
      <c r="J1236" s="2">
        <v>2</v>
      </c>
      <c r="K1236" s="2">
        <v>0</v>
      </c>
      <c r="L123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36" s="2" t="str">
        <f>IF(Table1[[#This Row],[Experience Years]]&lt;=2,"Entry Level",IF(Table1[[#This Row],[Experience Years]]&lt;=7,"Mid Level",IF(Table1[[#This Row],[Experience Years]]&lt;=15,"Senior Level")))</f>
        <v>Senior Level</v>
      </c>
      <c r="N1236" s="1">
        <f>AVERAGE(Table1[[#This Row],[Interview Score]:[Personality Score]])</f>
        <v>38.666666666666664</v>
      </c>
      <c r="O12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36" s="2" t="str">
        <f t="shared" si="19"/>
        <v>0-10</v>
      </c>
    </row>
    <row r="1237" spans="1:16" x14ac:dyDescent="0.25">
      <c r="A1237">
        <v>44</v>
      </c>
      <c r="B1237" s="2">
        <v>1</v>
      </c>
      <c r="C1237" s="2">
        <v>2</v>
      </c>
      <c r="D1237" s="2">
        <v>8</v>
      </c>
      <c r="E1237" s="2">
        <v>3</v>
      </c>
      <c r="F1237" s="1">
        <v>18.746560049999999</v>
      </c>
      <c r="G1237" s="2">
        <v>89</v>
      </c>
      <c r="H1237" s="2">
        <v>31</v>
      </c>
      <c r="I1237" s="2">
        <v>41</v>
      </c>
      <c r="J1237" s="2">
        <v>1</v>
      </c>
      <c r="K1237" s="2">
        <v>1</v>
      </c>
      <c r="L123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37" t="str">
        <f>IF(Table1[[#This Row],[Experience Years]]&lt;=2,"Entry Level",IF(Table1[[#This Row],[Experience Years]]&lt;=7,"Mid Level",IF(Table1[[#This Row],[Experience Years]]&lt;=15,"Senior Level")))</f>
        <v>Senior Level</v>
      </c>
      <c r="N1237" s="1">
        <f>AVERAGE(Table1[[#This Row],[Interview Score]:[Personality Score]])</f>
        <v>53.666666666666664</v>
      </c>
      <c r="O12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37" s="2" t="str">
        <f t="shared" si="19"/>
        <v>10-20</v>
      </c>
    </row>
    <row r="1238" spans="1:16" x14ac:dyDescent="0.25">
      <c r="A1238">
        <v>36</v>
      </c>
      <c r="B1238" s="2">
        <v>1</v>
      </c>
      <c r="C1238" s="2">
        <v>2</v>
      </c>
      <c r="D1238" s="2">
        <v>12</v>
      </c>
      <c r="E1238" s="2">
        <v>5</v>
      </c>
      <c r="F1238" s="1">
        <v>26.158958349999999</v>
      </c>
      <c r="G1238" s="2">
        <v>20</v>
      </c>
      <c r="H1238" s="2">
        <v>87</v>
      </c>
      <c r="I1238" s="2">
        <v>19</v>
      </c>
      <c r="J1238" s="2">
        <v>2</v>
      </c>
      <c r="K1238" s="2">
        <v>0</v>
      </c>
      <c r="L123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38" t="str">
        <f>IF(Table1[[#This Row],[Experience Years]]&lt;=2,"Entry Level",IF(Table1[[#This Row],[Experience Years]]&lt;=7,"Mid Level",IF(Table1[[#This Row],[Experience Years]]&lt;=15,"Senior Level")))</f>
        <v>Senior Level</v>
      </c>
      <c r="N1238" s="1">
        <f>AVERAGE(Table1[[#This Row],[Interview Score]:[Personality Score]])</f>
        <v>42</v>
      </c>
      <c r="O12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38" s="2" t="str">
        <f t="shared" si="19"/>
        <v>20-30</v>
      </c>
    </row>
    <row r="1239" spans="1:16" x14ac:dyDescent="0.25">
      <c r="A1239">
        <v>26</v>
      </c>
      <c r="B1239" s="2">
        <v>1</v>
      </c>
      <c r="C1239" s="2">
        <v>1</v>
      </c>
      <c r="D1239" s="2">
        <v>15</v>
      </c>
      <c r="E1239" s="2">
        <v>3</v>
      </c>
      <c r="F1239" s="1">
        <v>25.66404137</v>
      </c>
      <c r="G1239" s="2">
        <v>12</v>
      </c>
      <c r="H1239" s="2">
        <v>79</v>
      </c>
      <c r="I1239" s="2">
        <v>96</v>
      </c>
      <c r="J1239" s="2">
        <v>2</v>
      </c>
      <c r="K1239" s="2">
        <v>0</v>
      </c>
      <c r="L123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39" t="str">
        <f>IF(Table1[[#This Row],[Experience Years]]&lt;=2,"Entry Level",IF(Table1[[#This Row],[Experience Years]]&lt;=7,"Mid Level",IF(Table1[[#This Row],[Experience Years]]&lt;=15,"Senior Level")))</f>
        <v>Senior Level</v>
      </c>
      <c r="N1239" s="1">
        <f>AVERAGE(Table1[[#This Row],[Interview Score]:[Personality Score]])</f>
        <v>62.333333333333336</v>
      </c>
      <c r="O12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39" s="2" t="str">
        <f t="shared" si="19"/>
        <v>20-30</v>
      </c>
    </row>
    <row r="1240" spans="1:16" x14ac:dyDescent="0.25">
      <c r="A1240">
        <v>41</v>
      </c>
      <c r="B1240" s="2">
        <v>0</v>
      </c>
      <c r="C1240" s="2">
        <v>2</v>
      </c>
      <c r="D1240" s="2">
        <v>6</v>
      </c>
      <c r="E1240" s="2">
        <v>4</v>
      </c>
      <c r="F1240" s="1">
        <v>1.197997151</v>
      </c>
      <c r="G1240" s="2">
        <v>8</v>
      </c>
      <c r="H1240" s="2">
        <v>10</v>
      </c>
      <c r="I1240" s="2">
        <v>67</v>
      </c>
      <c r="J1240" s="2">
        <v>1</v>
      </c>
      <c r="K1240" s="2">
        <v>1</v>
      </c>
      <c r="L124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40" s="2" t="str">
        <f>IF(Table1[[#This Row],[Experience Years]]&lt;=2,"Entry Level",IF(Table1[[#This Row],[Experience Years]]&lt;=7,"Mid Level",IF(Table1[[#This Row],[Experience Years]]&lt;=15,"Senior Level")))</f>
        <v>Mid Level</v>
      </c>
      <c r="N1240" s="1">
        <f>AVERAGE(Table1[[#This Row],[Interview Score]:[Personality Score]])</f>
        <v>28.333333333333332</v>
      </c>
      <c r="O12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40" s="2" t="str">
        <f t="shared" si="19"/>
        <v>0-10</v>
      </c>
    </row>
    <row r="1241" spans="1:16" x14ac:dyDescent="0.25">
      <c r="A1241">
        <v>45</v>
      </c>
      <c r="B1241" s="2">
        <v>0</v>
      </c>
      <c r="C1241" s="2">
        <v>2</v>
      </c>
      <c r="D1241" s="2">
        <v>1</v>
      </c>
      <c r="E1241" s="2">
        <v>5</v>
      </c>
      <c r="F1241" s="1">
        <v>26.058136569999998</v>
      </c>
      <c r="G1241" s="2">
        <v>10</v>
      </c>
      <c r="H1241" s="2">
        <v>95</v>
      </c>
      <c r="I1241" s="2">
        <v>44</v>
      </c>
      <c r="J1241" s="2">
        <v>2</v>
      </c>
      <c r="K1241" s="2">
        <v>0</v>
      </c>
      <c r="L124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41" s="2" t="str">
        <f>IF(Table1[[#This Row],[Experience Years]]&lt;=2,"Entry Level",IF(Table1[[#This Row],[Experience Years]]&lt;=7,"Mid Level",IF(Table1[[#This Row],[Experience Years]]&lt;=15,"Senior Level")))</f>
        <v>Entry Level</v>
      </c>
      <c r="N1241" s="1">
        <f>AVERAGE(Table1[[#This Row],[Interview Score]:[Personality Score]])</f>
        <v>49.666666666666664</v>
      </c>
      <c r="O12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41" s="2" t="str">
        <f t="shared" si="19"/>
        <v>20-30</v>
      </c>
    </row>
    <row r="1242" spans="1:16" x14ac:dyDescent="0.25">
      <c r="A1242">
        <v>49</v>
      </c>
      <c r="B1242" s="2">
        <v>0</v>
      </c>
      <c r="C1242" s="2">
        <v>3</v>
      </c>
      <c r="D1242" s="2">
        <v>5</v>
      </c>
      <c r="E1242" s="2">
        <v>3</v>
      </c>
      <c r="F1242" s="1">
        <v>20.188622899999999</v>
      </c>
      <c r="G1242" s="2">
        <v>74</v>
      </c>
      <c r="H1242" s="2">
        <v>5</v>
      </c>
      <c r="I1242" s="2">
        <v>74</v>
      </c>
      <c r="J1242" s="2">
        <v>2</v>
      </c>
      <c r="K1242" s="2">
        <v>0</v>
      </c>
      <c r="L124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42" s="2" t="str">
        <f>IF(Table1[[#This Row],[Experience Years]]&lt;=2,"Entry Level",IF(Table1[[#This Row],[Experience Years]]&lt;=7,"Mid Level",IF(Table1[[#This Row],[Experience Years]]&lt;=15,"Senior Level")))</f>
        <v>Mid Level</v>
      </c>
      <c r="N1242" s="1">
        <f>AVERAGE(Table1[[#This Row],[Interview Score]:[Personality Score]])</f>
        <v>51</v>
      </c>
      <c r="O12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42" s="2" t="str">
        <f t="shared" si="19"/>
        <v>20-30</v>
      </c>
    </row>
    <row r="1243" spans="1:16" x14ac:dyDescent="0.25">
      <c r="A1243">
        <v>31</v>
      </c>
      <c r="B1243" s="2">
        <v>1</v>
      </c>
      <c r="C1243" s="2">
        <v>2</v>
      </c>
      <c r="D1243" s="2">
        <v>1</v>
      </c>
      <c r="E1243" s="2">
        <v>1</v>
      </c>
      <c r="F1243" s="1">
        <v>49.60396677</v>
      </c>
      <c r="G1243" s="2">
        <v>69</v>
      </c>
      <c r="H1243" s="2">
        <v>34</v>
      </c>
      <c r="I1243" s="2">
        <v>41</v>
      </c>
      <c r="J1243" s="2">
        <v>1</v>
      </c>
      <c r="K1243" s="2">
        <v>0</v>
      </c>
      <c r="L124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43" t="str">
        <f>IF(Table1[[#This Row],[Experience Years]]&lt;=2,"Entry Level",IF(Table1[[#This Row],[Experience Years]]&lt;=7,"Mid Level",IF(Table1[[#This Row],[Experience Years]]&lt;=15,"Senior Level")))</f>
        <v>Entry Level</v>
      </c>
      <c r="N1243" s="1">
        <f>AVERAGE(Table1[[#This Row],[Interview Score]:[Personality Score]])</f>
        <v>48</v>
      </c>
      <c r="O12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43" s="2" t="str">
        <f t="shared" si="19"/>
        <v>40-50</v>
      </c>
    </row>
    <row r="1244" spans="1:16" x14ac:dyDescent="0.25">
      <c r="A1244">
        <v>44</v>
      </c>
      <c r="B1244" s="2">
        <v>1</v>
      </c>
      <c r="C1244" s="2">
        <v>4</v>
      </c>
      <c r="D1244" s="2">
        <v>14</v>
      </c>
      <c r="E1244" s="2">
        <v>2</v>
      </c>
      <c r="F1244" s="1">
        <v>8.9579541999999996</v>
      </c>
      <c r="G1244" s="2">
        <v>0</v>
      </c>
      <c r="H1244" s="2">
        <v>32</v>
      </c>
      <c r="I1244" s="2">
        <v>46</v>
      </c>
      <c r="J1244" s="2">
        <v>1</v>
      </c>
      <c r="K1244" s="2">
        <v>1</v>
      </c>
      <c r="L124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44" t="str">
        <f>IF(Table1[[#This Row],[Experience Years]]&lt;=2,"Entry Level",IF(Table1[[#This Row],[Experience Years]]&lt;=7,"Mid Level",IF(Table1[[#This Row],[Experience Years]]&lt;=15,"Senior Level")))</f>
        <v>Senior Level</v>
      </c>
      <c r="N1244" s="1">
        <f>AVERAGE(Table1[[#This Row],[Interview Score]:[Personality Score]])</f>
        <v>26</v>
      </c>
      <c r="O12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44" s="2" t="str">
        <f t="shared" si="19"/>
        <v>0-10</v>
      </c>
    </row>
    <row r="1245" spans="1:16" x14ac:dyDescent="0.25">
      <c r="A1245">
        <v>36</v>
      </c>
      <c r="B1245" s="2">
        <v>0</v>
      </c>
      <c r="C1245" s="2">
        <v>4</v>
      </c>
      <c r="D1245" s="2">
        <v>0</v>
      </c>
      <c r="E1245" s="2">
        <v>2</v>
      </c>
      <c r="F1245" s="1">
        <v>18.70770984</v>
      </c>
      <c r="G1245" s="2">
        <v>69</v>
      </c>
      <c r="H1245" s="2">
        <v>17</v>
      </c>
      <c r="I1245" s="2">
        <v>4</v>
      </c>
      <c r="J1245" s="2">
        <v>3</v>
      </c>
      <c r="K1245" s="2">
        <v>0</v>
      </c>
      <c r="L124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45" s="2" t="str">
        <f>IF(Table1[[#This Row],[Experience Years]]&lt;=2,"Entry Level",IF(Table1[[#This Row],[Experience Years]]&lt;=7,"Mid Level",IF(Table1[[#This Row],[Experience Years]]&lt;=15,"Senior Level")))</f>
        <v>Entry Level</v>
      </c>
      <c r="N1245" s="1">
        <f>AVERAGE(Table1[[#This Row],[Interview Score]:[Personality Score]])</f>
        <v>30</v>
      </c>
      <c r="O12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45" s="2" t="str">
        <f t="shared" si="19"/>
        <v>10-20</v>
      </c>
    </row>
    <row r="1246" spans="1:16" x14ac:dyDescent="0.25">
      <c r="A1246">
        <v>32</v>
      </c>
      <c r="B1246" s="2">
        <v>1</v>
      </c>
      <c r="C1246" s="2">
        <v>2</v>
      </c>
      <c r="D1246" s="2">
        <v>13</v>
      </c>
      <c r="E1246" s="2">
        <v>1</v>
      </c>
      <c r="F1246" s="1">
        <v>21.974074250000001</v>
      </c>
      <c r="G1246" s="2">
        <v>76</v>
      </c>
      <c r="H1246" s="2">
        <v>36</v>
      </c>
      <c r="I1246" s="2">
        <v>88</v>
      </c>
      <c r="J1246" s="2">
        <v>2</v>
      </c>
      <c r="K1246" s="2">
        <v>0</v>
      </c>
      <c r="L124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46" t="str">
        <f>IF(Table1[[#This Row],[Experience Years]]&lt;=2,"Entry Level",IF(Table1[[#This Row],[Experience Years]]&lt;=7,"Mid Level",IF(Table1[[#This Row],[Experience Years]]&lt;=15,"Senior Level")))</f>
        <v>Senior Level</v>
      </c>
      <c r="N1246" s="1">
        <f>AVERAGE(Table1[[#This Row],[Interview Score]:[Personality Score]])</f>
        <v>66.666666666666671</v>
      </c>
      <c r="O12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46" s="2" t="str">
        <f t="shared" si="19"/>
        <v>20-30</v>
      </c>
    </row>
    <row r="1247" spans="1:16" x14ac:dyDescent="0.25">
      <c r="A1247">
        <v>39</v>
      </c>
      <c r="B1247" s="2">
        <v>0</v>
      </c>
      <c r="C1247" s="2">
        <v>4</v>
      </c>
      <c r="D1247" s="2">
        <v>6</v>
      </c>
      <c r="E1247" s="2">
        <v>2</v>
      </c>
      <c r="F1247" s="1">
        <v>20.534676860000001</v>
      </c>
      <c r="G1247" s="2">
        <v>85</v>
      </c>
      <c r="H1247" s="2">
        <v>12</v>
      </c>
      <c r="I1247" s="2">
        <v>48</v>
      </c>
      <c r="J1247" s="2">
        <v>3</v>
      </c>
      <c r="K1247" s="2">
        <v>0</v>
      </c>
      <c r="L124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47" s="2" t="str">
        <f>IF(Table1[[#This Row],[Experience Years]]&lt;=2,"Entry Level",IF(Table1[[#This Row],[Experience Years]]&lt;=7,"Mid Level",IF(Table1[[#This Row],[Experience Years]]&lt;=15,"Senior Level")))</f>
        <v>Mid Level</v>
      </c>
      <c r="N1247" s="1">
        <f>AVERAGE(Table1[[#This Row],[Interview Score]:[Personality Score]])</f>
        <v>48.333333333333336</v>
      </c>
      <c r="O12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47" s="2" t="str">
        <f t="shared" si="19"/>
        <v>20-30</v>
      </c>
    </row>
    <row r="1248" spans="1:16" x14ac:dyDescent="0.25">
      <c r="A1248">
        <v>44</v>
      </c>
      <c r="B1248" s="2">
        <v>0</v>
      </c>
      <c r="C1248" s="2">
        <v>3</v>
      </c>
      <c r="D1248" s="2">
        <v>12</v>
      </c>
      <c r="E1248" s="2">
        <v>2</v>
      </c>
      <c r="F1248" s="1">
        <v>34.291541379999998</v>
      </c>
      <c r="G1248" s="2">
        <v>55</v>
      </c>
      <c r="H1248" s="2">
        <v>73</v>
      </c>
      <c r="I1248" s="2">
        <v>36</v>
      </c>
      <c r="J1248" s="2">
        <v>2</v>
      </c>
      <c r="K1248" s="2">
        <v>0</v>
      </c>
      <c r="L124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48" s="2" t="str">
        <f>IF(Table1[[#This Row],[Experience Years]]&lt;=2,"Entry Level",IF(Table1[[#This Row],[Experience Years]]&lt;=7,"Mid Level",IF(Table1[[#This Row],[Experience Years]]&lt;=15,"Senior Level")))</f>
        <v>Senior Level</v>
      </c>
      <c r="N1248" s="1">
        <f>AVERAGE(Table1[[#This Row],[Interview Score]:[Personality Score]])</f>
        <v>54.666666666666664</v>
      </c>
      <c r="O12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48" s="2" t="str">
        <f t="shared" si="19"/>
        <v>30-40</v>
      </c>
    </row>
    <row r="1249" spans="1:16" x14ac:dyDescent="0.25">
      <c r="A1249">
        <v>23</v>
      </c>
      <c r="B1249" s="2">
        <v>1</v>
      </c>
      <c r="C1249" s="2">
        <v>2</v>
      </c>
      <c r="D1249" s="2">
        <v>15</v>
      </c>
      <c r="E1249" s="2">
        <v>1</v>
      </c>
      <c r="F1249" s="1">
        <v>11.775642879999999</v>
      </c>
      <c r="G1249" s="2">
        <v>30</v>
      </c>
      <c r="H1249" s="2">
        <v>100</v>
      </c>
      <c r="I1249" s="2">
        <v>33</v>
      </c>
      <c r="J1249" s="2">
        <v>2</v>
      </c>
      <c r="K1249" s="2">
        <v>0</v>
      </c>
      <c r="L124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49" t="str">
        <f>IF(Table1[[#This Row],[Experience Years]]&lt;=2,"Entry Level",IF(Table1[[#This Row],[Experience Years]]&lt;=7,"Mid Level",IF(Table1[[#This Row],[Experience Years]]&lt;=15,"Senior Level")))</f>
        <v>Senior Level</v>
      </c>
      <c r="N1249" s="1">
        <f>AVERAGE(Table1[[#This Row],[Interview Score]:[Personality Score]])</f>
        <v>54.333333333333336</v>
      </c>
      <c r="O12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49" s="2" t="str">
        <f t="shared" si="19"/>
        <v>10-20</v>
      </c>
    </row>
    <row r="1250" spans="1:16" x14ac:dyDescent="0.25">
      <c r="A1250">
        <v>29</v>
      </c>
      <c r="B1250" s="2">
        <v>1</v>
      </c>
      <c r="C1250" s="2">
        <v>1</v>
      </c>
      <c r="D1250" s="2">
        <v>1</v>
      </c>
      <c r="E1250" s="2">
        <v>1</v>
      </c>
      <c r="F1250" s="1">
        <v>12.05357764</v>
      </c>
      <c r="G1250" s="2">
        <v>85</v>
      </c>
      <c r="H1250" s="2">
        <v>89</v>
      </c>
      <c r="I1250" s="2">
        <v>72</v>
      </c>
      <c r="J1250" s="2">
        <v>2</v>
      </c>
      <c r="K1250" s="2">
        <v>0</v>
      </c>
      <c r="L125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50" t="str">
        <f>IF(Table1[[#This Row],[Experience Years]]&lt;=2,"Entry Level",IF(Table1[[#This Row],[Experience Years]]&lt;=7,"Mid Level",IF(Table1[[#This Row],[Experience Years]]&lt;=15,"Senior Level")))</f>
        <v>Entry Level</v>
      </c>
      <c r="N1250" s="1">
        <f>AVERAGE(Table1[[#This Row],[Interview Score]:[Personality Score]])</f>
        <v>82</v>
      </c>
      <c r="O12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250" s="2" t="str">
        <f t="shared" si="19"/>
        <v>10-20</v>
      </c>
    </row>
    <row r="1251" spans="1:16" x14ac:dyDescent="0.25">
      <c r="A1251">
        <v>22</v>
      </c>
      <c r="B1251" s="2">
        <v>1</v>
      </c>
      <c r="C1251" s="2">
        <v>2</v>
      </c>
      <c r="D1251" s="2">
        <v>12</v>
      </c>
      <c r="E1251" s="2">
        <v>3</v>
      </c>
      <c r="F1251" s="1">
        <v>37.460547429999998</v>
      </c>
      <c r="G1251" s="2">
        <v>36</v>
      </c>
      <c r="H1251" s="2">
        <v>80</v>
      </c>
      <c r="I1251" s="2">
        <v>69</v>
      </c>
      <c r="J1251" s="2">
        <v>2</v>
      </c>
      <c r="K1251" s="2">
        <v>0</v>
      </c>
      <c r="L125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51" t="str">
        <f>IF(Table1[[#This Row],[Experience Years]]&lt;=2,"Entry Level",IF(Table1[[#This Row],[Experience Years]]&lt;=7,"Mid Level",IF(Table1[[#This Row],[Experience Years]]&lt;=15,"Senior Level")))</f>
        <v>Senior Level</v>
      </c>
      <c r="N1251" s="1">
        <f>AVERAGE(Table1[[#This Row],[Interview Score]:[Personality Score]])</f>
        <v>61.666666666666664</v>
      </c>
      <c r="O12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51" s="2" t="str">
        <f t="shared" si="19"/>
        <v>30-40</v>
      </c>
    </row>
    <row r="1252" spans="1:16" x14ac:dyDescent="0.25">
      <c r="A1252">
        <v>28</v>
      </c>
      <c r="B1252" s="2">
        <v>1</v>
      </c>
      <c r="C1252" s="2">
        <v>2</v>
      </c>
      <c r="D1252" s="2">
        <v>13</v>
      </c>
      <c r="E1252" s="2">
        <v>3</v>
      </c>
      <c r="F1252" s="1">
        <v>26.014525930000001</v>
      </c>
      <c r="G1252" s="2">
        <v>46</v>
      </c>
      <c r="H1252" s="2">
        <v>63</v>
      </c>
      <c r="I1252" s="2">
        <v>17</v>
      </c>
      <c r="J1252" s="2">
        <v>1</v>
      </c>
      <c r="K1252" s="2">
        <v>1</v>
      </c>
      <c r="L125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52" t="str">
        <f>IF(Table1[[#This Row],[Experience Years]]&lt;=2,"Entry Level",IF(Table1[[#This Row],[Experience Years]]&lt;=7,"Mid Level",IF(Table1[[#This Row],[Experience Years]]&lt;=15,"Senior Level")))</f>
        <v>Senior Level</v>
      </c>
      <c r="N1252" s="1">
        <f>AVERAGE(Table1[[#This Row],[Interview Score]:[Personality Score]])</f>
        <v>42</v>
      </c>
      <c r="O12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52" s="2" t="str">
        <f t="shared" si="19"/>
        <v>20-30</v>
      </c>
    </row>
    <row r="1253" spans="1:16" x14ac:dyDescent="0.25">
      <c r="A1253">
        <v>32</v>
      </c>
      <c r="B1253" s="2">
        <v>0</v>
      </c>
      <c r="C1253" s="2">
        <v>3</v>
      </c>
      <c r="D1253" s="2">
        <v>13</v>
      </c>
      <c r="E1253" s="2">
        <v>1</v>
      </c>
      <c r="F1253" s="1">
        <v>21.757783799999999</v>
      </c>
      <c r="G1253" s="2">
        <v>90</v>
      </c>
      <c r="H1253" s="2">
        <v>0</v>
      </c>
      <c r="I1253" s="2">
        <v>77</v>
      </c>
      <c r="J1253" s="2">
        <v>2</v>
      </c>
      <c r="K1253" s="2">
        <v>1</v>
      </c>
      <c r="L125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53" s="2" t="str">
        <f>IF(Table1[[#This Row],[Experience Years]]&lt;=2,"Entry Level",IF(Table1[[#This Row],[Experience Years]]&lt;=7,"Mid Level",IF(Table1[[#This Row],[Experience Years]]&lt;=15,"Senior Level")))</f>
        <v>Senior Level</v>
      </c>
      <c r="N1253" s="1">
        <f>AVERAGE(Table1[[#This Row],[Interview Score]:[Personality Score]])</f>
        <v>55.666666666666664</v>
      </c>
      <c r="O12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53" s="2" t="str">
        <f t="shared" si="19"/>
        <v>20-30</v>
      </c>
    </row>
    <row r="1254" spans="1:16" x14ac:dyDescent="0.25">
      <c r="A1254">
        <v>37</v>
      </c>
      <c r="B1254" s="2">
        <v>0</v>
      </c>
      <c r="C1254" s="2">
        <v>2</v>
      </c>
      <c r="D1254" s="2">
        <v>1</v>
      </c>
      <c r="E1254" s="2">
        <v>4</v>
      </c>
      <c r="F1254" s="1">
        <v>9.4601525839999994</v>
      </c>
      <c r="G1254" s="2">
        <v>77</v>
      </c>
      <c r="H1254" s="2">
        <v>62</v>
      </c>
      <c r="I1254" s="2">
        <v>18</v>
      </c>
      <c r="J1254" s="2">
        <v>2</v>
      </c>
      <c r="K1254" s="2">
        <v>0</v>
      </c>
      <c r="L125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54" s="2" t="str">
        <f>IF(Table1[[#This Row],[Experience Years]]&lt;=2,"Entry Level",IF(Table1[[#This Row],[Experience Years]]&lt;=7,"Mid Level",IF(Table1[[#This Row],[Experience Years]]&lt;=15,"Senior Level")))</f>
        <v>Entry Level</v>
      </c>
      <c r="N1254" s="1">
        <f>AVERAGE(Table1[[#This Row],[Interview Score]:[Personality Score]])</f>
        <v>52.333333333333336</v>
      </c>
      <c r="O12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54" s="2" t="str">
        <f t="shared" si="19"/>
        <v>0-10</v>
      </c>
    </row>
    <row r="1255" spans="1:16" x14ac:dyDescent="0.25">
      <c r="A1255">
        <v>34</v>
      </c>
      <c r="B1255" s="2">
        <v>0</v>
      </c>
      <c r="C1255" s="2">
        <v>3</v>
      </c>
      <c r="D1255" s="2">
        <v>12</v>
      </c>
      <c r="E1255" s="2">
        <v>2</v>
      </c>
      <c r="F1255" s="1">
        <v>10.376361149999999</v>
      </c>
      <c r="G1255" s="2">
        <v>46</v>
      </c>
      <c r="H1255" s="2">
        <v>88</v>
      </c>
      <c r="I1255" s="2">
        <v>77</v>
      </c>
      <c r="J1255" s="2">
        <v>1</v>
      </c>
      <c r="K1255" s="2">
        <v>1</v>
      </c>
      <c r="L125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55" s="2" t="str">
        <f>IF(Table1[[#This Row],[Experience Years]]&lt;=2,"Entry Level",IF(Table1[[#This Row],[Experience Years]]&lt;=7,"Mid Level",IF(Table1[[#This Row],[Experience Years]]&lt;=15,"Senior Level")))</f>
        <v>Senior Level</v>
      </c>
      <c r="N1255" s="1">
        <f>AVERAGE(Table1[[#This Row],[Interview Score]:[Personality Score]])</f>
        <v>70.333333333333329</v>
      </c>
      <c r="O12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255" s="2" t="str">
        <f t="shared" si="19"/>
        <v>10-20</v>
      </c>
    </row>
    <row r="1256" spans="1:16" x14ac:dyDescent="0.25">
      <c r="A1256">
        <v>23</v>
      </c>
      <c r="B1256" s="2">
        <v>0</v>
      </c>
      <c r="C1256" s="2">
        <v>2</v>
      </c>
      <c r="D1256" s="2">
        <v>10</v>
      </c>
      <c r="E1256" s="2">
        <v>3</v>
      </c>
      <c r="F1256" s="1">
        <v>1.5275818409999999</v>
      </c>
      <c r="G1256" s="2">
        <v>68</v>
      </c>
      <c r="H1256" s="2">
        <v>33</v>
      </c>
      <c r="I1256" s="2">
        <v>39</v>
      </c>
      <c r="J1256" s="2">
        <v>1</v>
      </c>
      <c r="K1256" s="2">
        <v>0</v>
      </c>
      <c r="L125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56" s="2" t="str">
        <f>IF(Table1[[#This Row],[Experience Years]]&lt;=2,"Entry Level",IF(Table1[[#This Row],[Experience Years]]&lt;=7,"Mid Level",IF(Table1[[#This Row],[Experience Years]]&lt;=15,"Senior Level")))</f>
        <v>Senior Level</v>
      </c>
      <c r="N1256" s="1">
        <f>AVERAGE(Table1[[#This Row],[Interview Score]:[Personality Score]])</f>
        <v>46.666666666666664</v>
      </c>
      <c r="O12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56" s="2" t="str">
        <f t="shared" si="19"/>
        <v>0-10</v>
      </c>
    </row>
    <row r="1257" spans="1:16" x14ac:dyDescent="0.25">
      <c r="A1257">
        <v>34</v>
      </c>
      <c r="B1257" s="2">
        <v>0</v>
      </c>
      <c r="C1257" s="2">
        <v>1</v>
      </c>
      <c r="D1257" s="2">
        <v>4</v>
      </c>
      <c r="E1257" s="2">
        <v>2</v>
      </c>
      <c r="F1257" s="1">
        <v>5.5713134430000002</v>
      </c>
      <c r="G1257" s="2">
        <v>57</v>
      </c>
      <c r="H1257" s="2">
        <v>9</v>
      </c>
      <c r="I1257" s="2">
        <v>16</v>
      </c>
      <c r="J1257" s="2">
        <v>1</v>
      </c>
      <c r="K1257" s="2">
        <v>0</v>
      </c>
      <c r="L125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57" s="2" t="str">
        <f>IF(Table1[[#This Row],[Experience Years]]&lt;=2,"Entry Level",IF(Table1[[#This Row],[Experience Years]]&lt;=7,"Mid Level",IF(Table1[[#This Row],[Experience Years]]&lt;=15,"Senior Level")))</f>
        <v>Mid Level</v>
      </c>
      <c r="N1257" s="1">
        <f>AVERAGE(Table1[[#This Row],[Interview Score]:[Personality Score]])</f>
        <v>27.333333333333332</v>
      </c>
      <c r="O12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57" s="2" t="str">
        <f t="shared" si="19"/>
        <v>0-10</v>
      </c>
    </row>
    <row r="1258" spans="1:16" x14ac:dyDescent="0.25">
      <c r="A1258">
        <v>41</v>
      </c>
      <c r="B1258" s="2">
        <v>1</v>
      </c>
      <c r="C1258" s="2">
        <v>4</v>
      </c>
      <c r="D1258" s="2">
        <v>13</v>
      </c>
      <c r="E1258" s="2">
        <v>5</v>
      </c>
      <c r="F1258" s="1">
        <v>28.841934729999998</v>
      </c>
      <c r="G1258" s="2">
        <v>35</v>
      </c>
      <c r="H1258" s="2">
        <v>83</v>
      </c>
      <c r="I1258" s="2">
        <v>59</v>
      </c>
      <c r="J1258" s="2">
        <v>2</v>
      </c>
      <c r="K1258" s="2">
        <v>0</v>
      </c>
      <c r="L125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58" t="str">
        <f>IF(Table1[[#This Row],[Experience Years]]&lt;=2,"Entry Level",IF(Table1[[#This Row],[Experience Years]]&lt;=7,"Mid Level",IF(Table1[[#This Row],[Experience Years]]&lt;=15,"Senior Level")))</f>
        <v>Senior Level</v>
      </c>
      <c r="N1258" s="1">
        <f>AVERAGE(Table1[[#This Row],[Interview Score]:[Personality Score]])</f>
        <v>59</v>
      </c>
      <c r="O12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58" s="2" t="str">
        <f t="shared" si="19"/>
        <v>20-30</v>
      </c>
    </row>
    <row r="1259" spans="1:16" x14ac:dyDescent="0.25">
      <c r="A1259">
        <v>21</v>
      </c>
      <c r="B1259" s="2">
        <v>0</v>
      </c>
      <c r="C1259" s="2">
        <v>2</v>
      </c>
      <c r="D1259" s="2">
        <v>4</v>
      </c>
      <c r="E1259" s="2">
        <v>1</v>
      </c>
      <c r="F1259" s="1">
        <v>45.593656500000002</v>
      </c>
      <c r="G1259" s="2">
        <v>31</v>
      </c>
      <c r="H1259" s="2">
        <v>6</v>
      </c>
      <c r="I1259" s="2">
        <v>98</v>
      </c>
      <c r="J1259" s="2">
        <v>2</v>
      </c>
      <c r="K1259" s="2">
        <v>0</v>
      </c>
      <c r="L125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59" s="2" t="str">
        <f>IF(Table1[[#This Row],[Experience Years]]&lt;=2,"Entry Level",IF(Table1[[#This Row],[Experience Years]]&lt;=7,"Mid Level",IF(Table1[[#This Row],[Experience Years]]&lt;=15,"Senior Level")))</f>
        <v>Mid Level</v>
      </c>
      <c r="N1259" s="1">
        <f>AVERAGE(Table1[[#This Row],[Interview Score]:[Personality Score]])</f>
        <v>45</v>
      </c>
      <c r="O12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59" s="2" t="str">
        <f t="shared" si="19"/>
        <v>40-50</v>
      </c>
    </row>
    <row r="1260" spans="1:16" x14ac:dyDescent="0.25">
      <c r="A1260">
        <v>34</v>
      </c>
      <c r="B1260" s="2">
        <v>0</v>
      </c>
      <c r="C1260" s="2">
        <v>2</v>
      </c>
      <c r="D1260" s="2">
        <v>15</v>
      </c>
      <c r="E1260" s="2">
        <v>4</v>
      </c>
      <c r="F1260" s="1">
        <v>15.35823826</v>
      </c>
      <c r="G1260" s="2">
        <v>97</v>
      </c>
      <c r="H1260" s="2">
        <v>55</v>
      </c>
      <c r="I1260" s="2">
        <v>92</v>
      </c>
      <c r="J1260" s="2">
        <v>3</v>
      </c>
      <c r="K1260" s="2">
        <v>1</v>
      </c>
      <c r="L126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60" s="2" t="str">
        <f>IF(Table1[[#This Row],[Experience Years]]&lt;=2,"Entry Level",IF(Table1[[#This Row],[Experience Years]]&lt;=7,"Mid Level",IF(Table1[[#This Row],[Experience Years]]&lt;=15,"Senior Level")))</f>
        <v>Senior Level</v>
      </c>
      <c r="N1260" s="1">
        <f>AVERAGE(Table1[[#This Row],[Interview Score]:[Personality Score]])</f>
        <v>81.333333333333329</v>
      </c>
      <c r="O12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260" s="2" t="str">
        <f t="shared" si="19"/>
        <v>10-20</v>
      </c>
    </row>
    <row r="1261" spans="1:16" x14ac:dyDescent="0.25">
      <c r="A1261">
        <v>27</v>
      </c>
      <c r="B1261" s="2">
        <v>0</v>
      </c>
      <c r="C1261" s="2">
        <v>2</v>
      </c>
      <c r="D1261" s="2">
        <v>6</v>
      </c>
      <c r="E1261" s="2">
        <v>5</v>
      </c>
      <c r="F1261" s="1">
        <v>17.387361290000001</v>
      </c>
      <c r="G1261" s="2">
        <v>63</v>
      </c>
      <c r="H1261" s="2">
        <v>79</v>
      </c>
      <c r="I1261" s="2">
        <v>41</v>
      </c>
      <c r="J1261" s="2">
        <v>1</v>
      </c>
      <c r="K1261" s="2">
        <v>1</v>
      </c>
      <c r="L126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61" s="2" t="str">
        <f>IF(Table1[[#This Row],[Experience Years]]&lt;=2,"Entry Level",IF(Table1[[#This Row],[Experience Years]]&lt;=7,"Mid Level",IF(Table1[[#This Row],[Experience Years]]&lt;=15,"Senior Level")))</f>
        <v>Mid Level</v>
      </c>
      <c r="N1261" s="1">
        <f>AVERAGE(Table1[[#This Row],[Interview Score]:[Personality Score]])</f>
        <v>61</v>
      </c>
      <c r="O12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61" s="2" t="str">
        <f t="shared" si="19"/>
        <v>10-20</v>
      </c>
    </row>
    <row r="1262" spans="1:16" x14ac:dyDescent="0.25">
      <c r="A1262">
        <v>27</v>
      </c>
      <c r="B1262" s="2">
        <v>1</v>
      </c>
      <c r="C1262" s="2">
        <v>1</v>
      </c>
      <c r="D1262" s="2">
        <v>0</v>
      </c>
      <c r="E1262" s="2">
        <v>5</v>
      </c>
      <c r="F1262" s="1">
        <v>6.7802805309999998</v>
      </c>
      <c r="G1262" s="2">
        <v>70</v>
      </c>
      <c r="H1262" s="2">
        <v>36</v>
      </c>
      <c r="I1262" s="2">
        <v>80</v>
      </c>
      <c r="J1262" s="2">
        <v>1</v>
      </c>
      <c r="K1262" s="2">
        <v>0</v>
      </c>
      <c r="L126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62" t="str">
        <f>IF(Table1[[#This Row],[Experience Years]]&lt;=2,"Entry Level",IF(Table1[[#This Row],[Experience Years]]&lt;=7,"Mid Level",IF(Table1[[#This Row],[Experience Years]]&lt;=15,"Senior Level")))</f>
        <v>Entry Level</v>
      </c>
      <c r="N1262" s="1">
        <f>AVERAGE(Table1[[#This Row],[Interview Score]:[Personality Score]])</f>
        <v>62</v>
      </c>
      <c r="O12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62" s="2" t="str">
        <f t="shared" si="19"/>
        <v>0-10</v>
      </c>
    </row>
    <row r="1263" spans="1:16" x14ac:dyDescent="0.25">
      <c r="A1263">
        <v>36</v>
      </c>
      <c r="B1263" s="2">
        <v>1</v>
      </c>
      <c r="C1263" s="2">
        <v>2</v>
      </c>
      <c r="D1263" s="2">
        <v>7</v>
      </c>
      <c r="E1263" s="2">
        <v>5</v>
      </c>
      <c r="F1263" s="1">
        <v>20.43154728</v>
      </c>
      <c r="G1263" s="2">
        <v>41</v>
      </c>
      <c r="H1263" s="2">
        <v>28</v>
      </c>
      <c r="I1263" s="2">
        <v>71</v>
      </c>
      <c r="J1263" s="2">
        <v>2</v>
      </c>
      <c r="K1263" s="2">
        <v>0</v>
      </c>
      <c r="L126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63" t="str">
        <f>IF(Table1[[#This Row],[Experience Years]]&lt;=2,"Entry Level",IF(Table1[[#This Row],[Experience Years]]&lt;=7,"Mid Level",IF(Table1[[#This Row],[Experience Years]]&lt;=15,"Senior Level")))</f>
        <v>Mid Level</v>
      </c>
      <c r="N1263" s="1">
        <f>AVERAGE(Table1[[#This Row],[Interview Score]:[Personality Score]])</f>
        <v>46.666666666666664</v>
      </c>
      <c r="O12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63" s="2" t="str">
        <f t="shared" si="19"/>
        <v>20-30</v>
      </c>
    </row>
    <row r="1264" spans="1:16" x14ac:dyDescent="0.25">
      <c r="A1264">
        <v>31</v>
      </c>
      <c r="B1264" s="2">
        <v>1</v>
      </c>
      <c r="C1264" s="2">
        <v>2</v>
      </c>
      <c r="D1264" s="2">
        <v>2</v>
      </c>
      <c r="E1264" s="2">
        <v>1</v>
      </c>
      <c r="F1264" s="1">
        <v>2.8610852279999999</v>
      </c>
      <c r="G1264" s="2">
        <v>47</v>
      </c>
      <c r="H1264" s="2">
        <v>11</v>
      </c>
      <c r="I1264" s="2">
        <v>64</v>
      </c>
      <c r="J1264" s="2">
        <v>3</v>
      </c>
      <c r="K1264" s="2">
        <v>0</v>
      </c>
      <c r="L126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64" t="str">
        <f>IF(Table1[[#This Row],[Experience Years]]&lt;=2,"Entry Level",IF(Table1[[#This Row],[Experience Years]]&lt;=7,"Mid Level",IF(Table1[[#This Row],[Experience Years]]&lt;=15,"Senior Level")))</f>
        <v>Entry Level</v>
      </c>
      <c r="N1264" s="1">
        <f>AVERAGE(Table1[[#This Row],[Interview Score]:[Personality Score]])</f>
        <v>40.666666666666664</v>
      </c>
      <c r="O12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64" s="2" t="str">
        <f t="shared" si="19"/>
        <v>0-10</v>
      </c>
    </row>
    <row r="1265" spans="1:16" x14ac:dyDescent="0.25">
      <c r="A1265">
        <v>38</v>
      </c>
      <c r="B1265" s="2">
        <v>1</v>
      </c>
      <c r="C1265" s="2">
        <v>2</v>
      </c>
      <c r="D1265" s="2">
        <v>3</v>
      </c>
      <c r="E1265" s="2">
        <v>3</v>
      </c>
      <c r="F1265" s="1">
        <v>46.880034809999998</v>
      </c>
      <c r="G1265" s="2">
        <v>73</v>
      </c>
      <c r="H1265" s="2">
        <v>16</v>
      </c>
      <c r="I1265" s="2">
        <v>52</v>
      </c>
      <c r="J1265" s="2">
        <v>1</v>
      </c>
      <c r="K1265" s="2">
        <v>0</v>
      </c>
      <c r="L126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65" t="str">
        <f>IF(Table1[[#This Row],[Experience Years]]&lt;=2,"Entry Level",IF(Table1[[#This Row],[Experience Years]]&lt;=7,"Mid Level",IF(Table1[[#This Row],[Experience Years]]&lt;=15,"Senior Level")))</f>
        <v>Mid Level</v>
      </c>
      <c r="N1265" s="1">
        <f>AVERAGE(Table1[[#This Row],[Interview Score]:[Personality Score]])</f>
        <v>47</v>
      </c>
      <c r="O12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65" s="2" t="str">
        <f t="shared" si="19"/>
        <v>40-50</v>
      </c>
    </row>
    <row r="1266" spans="1:16" x14ac:dyDescent="0.25">
      <c r="A1266">
        <v>29</v>
      </c>
      <c r="B1266" s="2">
        <v>0</v>
      </c>
      <c r="C1266" s="2">
        <v>4</v>
      </c>
      <c r="D1266" s="2">
        <v>14</v>
      </c>
      <c r="E1266" s="2">
        <v>1</v>
      </c>
      <c r="F1266" s="1">
        <v>34.655567410000003</v>
      </c>
      <c r="G1266" s="2">
        <v>80</v>
      </c>
      <c r="H1266" s="2">
        <v>47</v>
      </c>
      <c r="I1266" s="2">
        <v>99</v>
      </c>
      <c r="J1266" s="2">
        <v>2</v>
      </c>
      <c r="K1266" s="2">
        <v>1</v>
      </c>
      <c r="L126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66" s="2" t="str">
        <f>IF(Table1[[#This Row],[Experience Years]]&lt;=2,"Entry Level",IF(Table1[[#This Row],[Experience Years]]&lt;=7,"Mid Level",IF(Table1[[#This Row],[Experience Years]]&lt;=15,"Senior Level")))</f>
        <v>Senior Level</v>
      </c>
      <c r="N1266" s="1">
        <f>AVERAGE(Table1[[#This Row],[Interview Score]:[Personality Score]])</f>
        <v>75.333333333333329</v>
      </c>
      <c r="O12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266" s="2" t="str">
        <f t="shared" si="19"/>
        <v>30-40</v>
      </c>
    </row>
    <row r="1267" spans="1:16" x14ac:dyDescent="0.25">
      <c r="A1267">
        <v>28</v>
      </c>
      <c r="B1267" s="2">
        <v>0</v>
      </c>
      <c r="C1267" s="2">
        <v>2</v>
      </c>
      <c r="D1267" s="2">
        <v>8</v>
      </c>
      <c r="E1267" s="2">
        <v>3</v>
      </c>
      <c r="F1267" s="1">
        <v>50.53744047</v>
      </c>
      <c r="G1267" s="2">
        <v>29</v>
      </c>
      <c r="H1267" s="2">
        <v>83</v>
      </c>
      <c r="I1267" s="2">
        <v>6</v>
      </c>
      <c r="J1267" s="2">
        <v>2</v>
      </c>
      <c r="K1267" s="2">
        <v>0</v>
      </c>
      <c r="L126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67" s="2" t="str">
        <f>IF(Table1[[#This Row],[Experience Years]]&lt;=2,"Entry Level",IF(Table1[[#This Row],[Experience Years]]&lt;=7,"Mid Level",IF(Table1[[#This Row],[Experience Years]]&lt;=15,"Senior Level")))</f>
        <v>Senior Level</v>
      </c>
      <c r="N1267" s="1">
        <f>AVERAGE(Table1[[#This Row],[Interview Score]:[Personality Score]])</f>
        <v>39.333333333333336</v>
      </c>
      <c r="O12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67" s="2" t="str">
        <f t="shared" si="19"/>
        <v>50+</v>
      </c>
    </row>
    <row r="1268" spans="1:16" x14ac:dyDescent="0.25">
      <c r="A1268">
        <v>24</v>
      </c>
      <c r="B1268" s="2">
        <v>1</v>
      </c>
      <c r="C1268" s="2">
        <v>2</v>
      </c>
      <c r="D1268" s="2">
        <v>3</v>
      </c>
      <c r="E1268" s="2">
        <v>5</v>
      </c>
      <c r="F1268" s="1">
        <v>45.141158130000001</v>
      </c>
      <c r="G1268" s="2">
        <v>20</v>
      </c>
      <c r="H1268" s="2">
        <v>25</v>
      </c>
      <c r="I1268" s="2">
        <v>4</v>
      </c>
      <c r="J1268" s="2">
        <v>1</v>
      </c>
      <c r="K1268" s="2">
        <v>0</v>
      </c>
      <c r="L126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68" t="str">
        <f>IF(Table1[[#This Row],[Experience Years]]&lt;=2,"Entry Level",IF(Table1[[#This Row],[Experience Years]]&lt;=7,"Mid Level",IF(Table1[[#This Row],[Experience Years]]&lt;=15,"Senior Level")))</f>
        <v>Mid Level</v>
      </c>
      <c r="N1268" s="1">
        <f>AVERAGE(Table1[[#This Row],[Interview Score]:[Personality Score]])</f>
        <v>16.333333333333332</v>
      </c>
      <c r="O12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68" s="2" t="str">
        <f t="shared" si="19"/>
        <v>40-50</v>
      </c>
    </row>
    <row r="1269" spans="1:16" x14ac:dyDescent="0.25">
      <c r="A1269">
        <v>25</v>
      </c>
      <c r="B1269" s="2">
        <v>1</v>
      </c>
      <c r="C1269" s="2">
        <v>2</v>
      </c>
      <c r="D1269" s="2">
        <v>9</v>
      </c>
      <c r="E1269" s="2">
        <v>5</v>
      </c>
      <c r="F1269" s="1">
        <v>24.649529680000001</v>
      </c>
      <c r="G1269" s="2">
        <v>59</v>
      </c>
      <c r="H1269" s="2">
        <v>82</v>
      </c>
      <c r="I1269" s="2">
        <v>23</v>
      </c>
      <c r="J1269" s="2">
        <v>2</v>
      </c>
      <c r="K1269" s="2">
        <v>0</v>
      </c>
      <c r="L126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69" t="str">
        <f>IF(Table1[[#This Row],[Experience Years]]&lt;=2,"Entry Level",IF(Table1[[#This Row],[Experience Years]]&lt;=7,"Mid Level",IF(Table1[[#This Row],[Experience Years]]&lt;=15,"Senior Level")))</f>
        <v>Senior Level</v>
      </c>
      <c r="N1269" s="1">
        <f>AVERAGE(Table1[[#This Row],[Interview Score]:[Personality Score]])</f>
        <v>54.666666666666664</v>
      </c>
      <c r="O12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69" s="2" t="str">
        <f t="shared" si="19"/>
        <v>20-30</v>
      </c>
    </row>
    <row r="1270" spans="1:16" x14ac:dyDescent="0.25">
      <c r="A1270">
        <v>39</v>
      </c>
      <c r="B1270" s="2">
        <v>0</v>
      </c>
      <c r="C1270" s="2">
        <v>4</v>
      </c>
      <c r="D1270" s="2">
        <v>11</v>
      </c>
      <c r="E1270" s="2">
        <v>4</v>
      </c>
      <c r="F1270" s="1">
        <v>26.984251560000001</v>
      </c>
      <c r="G1270" s="2">
        <v>12</v>
      </c>
      <c r="H1270" s="2">
        <v>11</v>
      </c>
      <c r="I1270" s="2">
        <v>27</v>
      </c>
      <c r="J1270" s="2">
        <v>1</v>
      </c>
      <c r="K1270" s="2">
        <v>1</v>
      </c>
      <c r="L127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70" s="2" t="str">
        <f>IF(Table1[[#This Row],[Experience Years]]&lt;=2,"Entry Level",IF(Table1[[#This Row],[Experience Years]]&lt;=7,"Mid Level",IF(Table1[[#This Row],[Experience Years]]&lt;=15,"Senior Level")))</f>
        <v>Senior Level</v>
      </c>
      <c r="N1270" s="1">
        <f>AVERAGE(Table1[[#This Row],[Interview Score]:[Personality Score]])</f>
        <v>16.666666666666668</v>
      </c>
      <c r="O12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70" s="2" t="str">
        <f t="shared" si="19"/>
        <v>20-30</v>
      </c>
    </row>
    <row r="1271" spans="1:16" x14ac:dyDescent="0.25">
      <c r="A1271">
        <v>45</v>
      </c>
      <c r="B1271" s="2">
        <v>0</v>
      </c>
      <c r="C1271" s="2">
        <v>1</v>
      </c>
      <c r="D1271" s="2">
        <v>14</v>
      </c>
      <c r="E1271" s="2">
        <v>3</v>
      </c>
      <c r="F1271" s="1">
        <v>10.52880233</v>
      </c>
      <c r="G1271" s="2">
        <v>0</v>
      </c>
      <c r="H1271" s="2">
        <v>20</v>
      </c>
      <c r="I1271" s="2">
        <v>61</v>
      </c>
      <c r="J1271" s="2">
        <v>3</v>
      </c>
      <c r="K1271" s="2">
        <v>0</v>
      </c>
      <c r="L127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71" s="2" t="str">
        <f>IF(Table1[[#This Row],[Experience Years]]&lt;=2,"Entry Level",IF(Table1[[#This Row],[Experience Years]]&lt;=7,"Mid Level",IF(Table1[[#This Row],[Experience Years]]&lt;=15,"Senior Level")))</f>
        <v>Senior Level</v>
      </c>
      <c r="N1271" s="1">
        <f>AVERAGE(Table1[[#This Row],[Interview Score]:[Personality Score]])</f>
        <v>27</v>
      </c>
      <c r="O12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71" s="2" t="str">
        <f t="shared" si="19"/>
        <v>10-20</v>
      </c>
    </row>
    <row r="1272" spans="1:16" x14ac:dyDescent="0.25">
      <c r="A1272">
        <v>21</v>
      </c>
      <c r="B1272" s="2">
        <v>1</v>
      </c>
      <c r="C1272" s="2">
        <v>2</v>
      </c>
      <c r="D1272" s="2">
        <v>4</v>
      </c>
      <c r="E1272" s="2">
        <v>5</v>
      </c>
      <c r="F1272" s="1">
        <v>24.101967139999999</v>
      </c>
      <c r="G1272" s="2">
        <v>64</v>
      </c>
      <c r="H1272" s="2">
        <v>41</v>
      </c>
      <c r="I1272" s="2">
        <v>16</v>
      </c>
      <c r="J1272" s="2">
        <v>2</v>
      </c>
      <c r="K1272" s="2">
        <v>0</v>
      </c>
      <c r="L127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72" t="str">
        <f>IF(Table1[[#This Row],[Experience Years]]&lt;=2,"Entry Level",IF(Table1[[#This Row],[Experience Years]]&lt;=7,"Mid Level",IF(Table1[[#This Row],[Experience Years]]&lt;=15,"Senior Level")))</f>
        <v>Mid Level</v>
      </c>
      <c r="N1272" s="1">
        <f>AVERAGE(Table1[[#This Row],[Interview Score]:[Personality Score]])</f>
        <v>40.333333333333336</v>
      </c>
      <c r="O12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72" s="2" t="str">
        <f t="shared" si="19"/>
        <v>20-30</v>
      </c>
    </row>
    <row r="1273" spans="1:16" x14ac:dyDescent="0.25">
      <c r="A1273">
        <v>46</v>
      </c>
      <c r="B1273" s="2">
        <v>1</v>
      </c>
      <c r="C1273" s="2">
        <v>1</v>
      </c>
      <c r="D1273" s="2">
        <v>6</v>
      </c>
      <c r="E1273" s="2">
        <v>2</v>
      </c>
      <c r="F1273" s="1">
        <v>46.151393669999997</v>
      </c>
      <c r="G1273" s="2">
        <v>32</v>
      </c>
      <c r="H1273" s="2">
        <v>60</v>
      </c>
      <c r="I1273" s="2">
        <v>100</v>
      </c>
      <c r="J1273" s="2">
        <v>2</v>
      </c>
      <c r="K1273" s="2">
        <v>0</v>
      </c>
      <c r="L127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73" t="str">
        <f>IF(Table1[[#This Row],[Experience Years]]&lt;=2,"Entry Level",IF(Table1[[#This Row],[Experience Years]]&lt;=7,"Mid Level",IF(Table1[[#This Row],[Experience Years]]&lt;=15,"Senior Level")))</f>
        <v>Mid Level</v>
      </c>
      <c r="N1273" s="1">
        <f>AVERAGE(Table1[[#This Row],[Interview Score]:[Personality Score]])</f>
        <v>64</v>
      </c>
      <c r="O12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73" s="2" t="str">
        <f t="shared" si="19"/>
        <v>40-50</v>
      </c>
    </row>
    <row r="1274" spans="1:16" x14ac:dyDescent="0.25">
      <c r="A1274">
        <v>43</v>
      </c>
      <c r="B1274" s="2">
        <v>1</v>
      </c>
      <c r="C1274" s="2">
        <v>1</v>
      </c>
      <c r="D1274" s="2">
        <v>15</v>
      </c>
      <c r="E1274" s="2">
        <v>4</v>
      </c>
      <c r="F1274" s="1">
        <v>3.5426711819999999</v>
      </c>
      <c r="G1274" s="2">
        <v>37</v>
      </c>
      <c r="H1274" s="2">
        <v>57</v>
      </c>
      <c r="I1274" s="2">
        <v>19</v>
      </c>
      <c r="J1274" s="2">
        <v>2</v>
      </c>
      <c r="K1274" s="2">
        <v>0</v>
      </c>
      <c r="L127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74" t="str">
        <f>IF(Table1[[#This Row],[Experience Years]]&lt;=2,"Entry Level",IF(Table1[[#This Row],[Experience Years]]&lt;=7,"Mid Level",IF(Table1[[#This Row],[Experience Years]]&lt;=15,"Senior Level")))</f>
        <v>Senior Level</v>
      </c>
      <c r="N1274" s="1">
        <f>AVERAGE(Table1[[#This Row],[Interview Score]:[Personality Score]])</f>
        <v>37.666666666666664</v>
      </c>
      <c r="O12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74" s="2" t="str">
        <f t="shared" si="19"/>
        <v>0-10</v>
      </c>
    </row>
    <row r="1275" spans="1:16" x14ac:dyDescent="0.25">
      <c r="A1275">
        <v>46</v>
      </c>
      <c r="B1275" s="2">
        <v>1</v>
      </c>
      <c r="C1275" s="2">
        <v>3</v>
      </c>
      <c r="D1275" s="2">
        <v>3</v>
      </c>
      <c r="E1275" s="2">
        <v>1</v>
      </c>
      <c r="F1275" s="1">
        <v>44.177840150000002</v>
      </c>
      <c r="G1275" s="2">
        <v>24</v>
      </c>
      <c r="H1275" s="2">
        <v>53</v>
      </c>
      <c r="I1275" s="2">
        <v>2</v>
      </c>
      <c r="J1275" s="2">
        <v>2</v>
      </c>
      <c r="K1275" s="2">
        <v>0</v>
      </c>
      <c r="L127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75" t="str">
        <f>IF(Table1[[#This Row],[Experience Years]]&lt;=2,"Entry Level",IF(Table1[[#This Row],[Experience Years]]&lt;=7,"Mid Level",IF(Table1[[#This Row],[Experience Years]]&lt;=15,"Senior Level")))</f>
        <v>Mid Level</v>
      </c>
      <c r="N1275" s="1">
        <f>AVERAGE(Table1[[#This Row],[Interview Score]:[Personality Score]])</f>
        <v>26.333333333333332</v>
      </c>
      <c r="O12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75" s="2" t="str">
        <f t="shared" si="19"/>
        <v>40-50</v>
      </c>
    </row>
    <row r="1276" spans="1:16" x14ac:dyDescent="0.25">
      <c r="A1276">
        <v>32</v>
      </c>
      <c r="B1276" s="2">
        <v>0</v>
      </c>
      <c r="C1276" s="2">
        <v>3</v>
      </c>
      <c r="D1276" s="2">
        <v>13</v>
      </c>
      <c r="E1276" s="2">
        <v>4</v>
      </c>
      <c r="F1276" s="1">
        <v>18.04739008</v>
      </c>
      <c r="G1276" s="2">
        <v>25</v>
      </c>
      <c r="H1276" s="2">
        <v>33</v>
      </c>
      <c r="I1276" s="2">
        <v>36</v>
      </c>
      <c r="J1276" s="2">
        <v>2</v>
      </c>
      <c r="K1276" s="2">
        <v>0</v>
      </c>
      <c r="L127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76" s="2" t="str">
        <f>IF(Table1[[#This Row],[Experience Years]]&lt;=2,"Entry Level",IF(Table1[[#This Row],[Experience Years]]&lt;=7,"Mid Level",IF(Table1[[#This Row],[Experience Years]]&lt;=15,"Senior Level")))</f>
        <v>Senior Level</v>
      </c>
      <c r="N1276" s="1">
        <f>AVERAGE(Table1[[#This Row],[Interview Score]:[Personality Score]])</f>
        <v>31.333333333333332</v>
      </c>
      <c r="O12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76" s="2" t="str">
        <f t="shared" si="19"/>
        <v>10-20</v>
      </c>
    </row>
    <row r="1277" spans="1:16" x14ac:dyDescent="0.25">
      <c r="A1277">
        <v>25</v>
      </c>
      <c r="B1277" s="2">
        <v>0</v>
      </c>
      <c r="C1277" s="2">
        <v>2</v>
      </c>
      <c r="D1277" s="2">
        <v>0</v>
      </c>
      <c r="E1277" s="2">
        <v>2</v>
      </c>
      <c r="F1277" s="1">
        <v>45.975638250000003</v>
      </c>
      <c r="G1277" s="2">
        <v>76</v>
      </c>
      <c r="H1277" s="2">
        <v>6</v>
      </c>
      <c r="I1277" s="2">
        <v>89</v>
      </c>
      <c r="J1277" s="2">
        <v>1</v>
      </c>
      <c r="K1277" s="2">
        <v>1</v>
      </c>
      <c r="L127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77" s="2" t="str">
        <f>IF(Table1[[#This Row],[Experience Years]]&lt;=2,"Entry Level",IF(Table1[[#This Row],[Experience Years]]&lt;=7,"Mid Level",IF(Table1[[#This Row],[Experience Years]]&lt;=15,"Senior Level")))</f>
        <v>Entry Level</v>
      </c>
      <c r="N1277" s="1">
        <f>AVERAGE(Table1[[#This Row],[Interview Score]:[Personality Score]])</f>
        <v>57</v>
      </c>
      <c r="O12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77" s="2" t="str">
        <f t="shared" si="19"/>
        <v>40-50</v>
      </c>
    </row>
    <row r="1278" spans="1:16" x14ac:dyDescent="0.25">
      <c r="A1278">
        <v>24</v>
      </c>
      <c r="B1278" s="2">
        <v>0</v>
      </c>
      <c r="C1278" s="2">
        <v>2</v>
      </c>
      <c r="D1278" s="2">
        <v>8</v>
      </c>
      <c r="E1278" s="2">
        <v>3</v>
      </c>
      <c r="F1278" s="1">
        <v>48.043995320000001</v>
      </c>
      <c r="G1278" s="2">
        <v>58</v>
      </c>
      <c r="H1278" s="2">
        <v>34</v>
      </c>
      <c r="I1278" s="2">
        <v>14</v>
      </c>
      <c r="J1278" s="2">
        <v>2</v>
      </c>
      <c r="K1278" s="2">
        <v>0</v>
      </c>
      <c r="L127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78" s="2" t="str">
        <f>IF(Table1[[#This Row],[Experience Years]]&lt;=2,"Entry Level",IF(Table1[[#This Row],[Experience Years]]&lt;=7,"Mid Level",IF(Table1[[#This Row],[Experience Years]]&lt;=15,"Senior Level")))</f>
        <v>Senior Level</v>
      </c>
      <c r="N1278" s="1">
        <f>AVERAGE(Table1[[#This Row],[Interview Score]:[Personality Score]])</f>
        <v>35.333333333333336</v>
      </c>
      <c r="O12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78" s="2" t="str">
        <f t="shared" si="19"/>
        <v>40-50</v>
      </c>
    </row>
    <row r="1279" spans="1:16" x14ac:dyDescent="0.25">
      <c r="A1279">
        <v>44</v>
      </c>
      <c r="B1279" s="2">
        <v>1</v>
      </c>
      <c r="C1279" s="2">
        <v>2</v>
      </c>
      <c r="D1279" s="2">
        <v>3</v>
      </c>
      <c r="E1279" s="2">
        <v>1</v>
      </c>
      <c r="F1279" s="1">
        <v>34.543244350000002</v>
      </c>
      <c r="G1279" s="2">
        <v>91</v>
      </c>
      <c r="H1279" s="2">
        <v>14</v>
      </c>
      <c r="I1279" s="2">
        <v>50</v>
      </c>
      <c r="J1279" s="2">
        <v>1</v>
      </c>
      <c r="K1279" s="2">
        <v>0</v>
      </c>
      <c r="L127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79" t="str">
        <f>IF(Table1[[#This Row],[Experience Years]]&lt;=2,"Entry Level",IF(Table1[[#This Row],[Experience Years]]&lt;=7,"Mid Level",IF(Table1[[#This Row],[Experience Years]]&lt;=15,"Senior Level")))</f>
        <v>Mid Level</v>
      </c>
      <c r="N1279" s="1">
        <f>AVERAGE(Table1[[#This Row],[Interview Score]:[Personality Score]])</f>
        <v>51.666666666666664</v>
      </c>
      <c r="O12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79" s="2" t="str">
        <f t="shared" si="19"/>
        <v>30-40</v>
      </c>
    </row>
    <row r="1280" spans="1:16" x14ac:dyDescent="0.25">
      <c r="A1280">
        <v>20</v>
      </c>
      <c r="B1280" s="2">
        <v>1</v>
      </c>
      <c r="C1280" s="2">
        <v>4</v>
      </c>
      <c r="D1280" s="2">
        <v>8</v>
      </c>
      <c r="E1280" s="2">
        <v>1</v>
      </c>
      <c r="F1280" s="1">
        <v>34.221189330000001</v>
      </c>
      <c r="G1280" s="2">
        <v>32</v>
      </c>
      <c r="H1280" s="2">
        <v>64</v>
      </c>
      <c r="I1280" s="2">
        <v>47</v>
      </c>
      <c r="J1280" s="2">
        <v>2</v>
      </c>
      <c r="K1280" s="2">
        <v>0</v>
      </c>
      <c r="L128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80" t="str">
        <f>IF(Table1[[#This Row],[Experience Years]]&lt;=2,"Entry Level",IF(Table1[[#This Row],[Experience Years]]&lt;=7,"Mid Level",IF(Table1[[#This Row],[Experience Years]]&lt;=15,"Senior Level")))</f>
        <v>Senior Level</v>
      </c>
      <c r="N1280" s="1">
        <f>AVERAGE(Table1[[#This Row],[Interview Score]:[Personality Score]])</f>
        <v>47.666666666666664</v>
      </c>
      <c r="O12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80" s="2" t="str">
        <f t="shared" si="19"/>
        <v>30-40</v>
      </c>
    </row>
    <row r="1281" spans="1:16" x14ac:dyDescent="0.25">
      <c r="A1281">
        <v>40</v>
      </c>
      <c r="B1281" s="2">
        <v>0</v>
      </c>
      <c r="C1281" s="2">
        <v>4</v>
      </c>
      <c r="D1281" s="2">
        <v>5</v>
      </c>
      <c r="E1281" s="2">
        <v>3</v>
      </c>
      <c r="F1281" s="1">
        <v>23.63771689</v>
      </c>
      <c r="G1281" s="2">
        <v>100</v>
      </c>
      <c r="H1281" s="2">
        <v>89</v>
      </c>
      <c r="I1281" s="2">
        <v>7</v>
      </c>
      <c r="J1281" s="2">
        <v>1</v>
      </c>
      <c r="K1281" s="2">
        <v>1</v>
      </c>
      <c r="L128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81" s="2" t="str">
        <f>IF(Table1[[#This Row],[Experience Years]]&lt;=2,"Entry Level",IF(Table1[[#This Row],[Experience Years]]&lt;=7,"Mid Level",IF(Table1[[#This Row],[Experience Years]]&lt;=15,"Senior Level")))</f>
        <v>Mid Level</v>
      </c>
      <c r="N1281" s="1">
        <f>AVERAGE(Table1[[#This Row],[Interview Score]:[Personality Score]])</f>
        <v>65.333333333333329</v>
      </c>
      <c r="O12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81" s="2" t="str">
        <f t="shared" si="19"/>
        <v>20-30</v>
      </c>
    </row>
    <row r="1282" spans="1:16" x14ac:dyDescent="0.25">
      <c r="A1282">
        <v>41</v>
      </c>
      <c r="B1282" s="2">
        <v>0</v>
      </c>
      <c r="C1282" s="2">
        <v>2</v>
      </c>
      <c r="D1282" s="2">
        <v>14</v>
      </c>
      <c r="E1282" s="2">
        <v>4</v>
      </c>
      <c r="F1282" s="1">
        <v>42.777011229999999</v>
      </c>
      <c r="G1282" s="2">
        <v>40</v>
      </c>
      <c r="H1282" s="2">
        <v>98</v>
      </c>
      <c r="I1282" s="2">
        <v>12</v>
      </c>
      <c r="J1282" s="2">
        <v>2</v>
      </c>
      <c r="K1282" s="2">
        <v>0</v>
      </c>
      <c r="L128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82" s="2" t="str">
        <f>IF(Table1[[#This Row],[Experience Years]]&lt;=2,"Entry Level",IF(Table1[[#This Row],[Experience Years]]&lt;=7,"Mid Level",IF(Table1[[#This Row],[Experience Years]]&lt;=15,"Senior Level")))</f>
        <v>Senior Level</v>
      </c>
      <c r="N1282" s="1">
        <f>AVERAGE(Table1[[#This Row],[Interview Score]:[Personality Score]])</f>
        <v>50</v>
      </c>
      <c r="O12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282" s="2" t="str">
        <f t="shared" ref="P1282:P1345" si="20">IF(F1282&lt;10,"0-10",IF(F1282&lt;20,"10-20",IF(F1282&lt;30,"20-30",IF(F1282&lt;40,"30-40",IF(F1282&lt;50,"40-50","50+")))))</f>
        <v>40-50</v>
      </c>
    </row>
    <row r="1283" spans="1:16" x14ac:dyDescent="0.25">
      <c r="A1283">
        <v>40</v>
      </c>
      <c r="B1283" s="2">
        <v>0</v>
      </c>
      <c r="C1283" s="2">
        <v>3</v>
      </c>
      <c r="D1283" s="2">
        <v>0</v>
      </c>
      <c r="E1283" s="2">
        <v>5</v>
      </c>
      <c r="F1283" s="1">
        <v>49.080637920000001</v>
      </c>
      <c r="G1283" s="2">
        <v>29</v>
      </c>
      <c r="H1283" s="2">
        <v>24</v>
      </c>
      <c r="I1283" s="2">
        <v>47</v>
      </c>
      <c r="J1283" s="2">
        <v>1</v>
      </c>
      <c r="K1283" s="2">
        <v>0</v>
      </c>
      <c r="L128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283" s="2" t="str">
        <f>IF(Table1[[#This Row],[Experience Years]]&lt;=2,"Entry Level",IF(Table1[[#This Row],[Experience Years]]&lt;=7,"Mid Level",IF(Table1[[#This Row],[Experience Years]]&lt;=15,"Senior Level")))</f>
        <v>Entry Level</v>
      </c>
      <c r="N1283" s="1">
        <f>AVERAGE(Table1[[#This Row],[Interview Score]:[Personality Score]])</f>
        <v>33.333333333333336</v>
      </c>
      <c r="O12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83" s="2" t="str">
        <f t="shared" si="20"/>
        <v>40-50</v>
      </c>
    </row>
    <row r="1284" spans="1:16" x14ac:dyDescent="0.25">
      <c r="A1284">
        <v>25</v>
      </c>
      <c r="B1284" s="2">
        <v>0</v>
      </c>
      <c r="C1284" s="2">
        <v>3</v>
      </c>
      <c r="D1284" s="2">
        <v>11</v>
      </c>
      <c r="E1284" s="2">
        <v>4</v>
      </c>
      <c r="F1284" s="1">
        <v>39.75409002</v>
      </c>
      <c r="G1284" s="2">
        <v>56</v>
      </c>
      <c r="H1284" s="2">
        <v>58</v>
      </c>
      <c r="I1284" s="2">
        <v>2</v>
      </c>
      <c r="J1284" s="2">
        <v>3</v>
      </c>
      <c r="K1284" s="2">
        <v>0</v>
      </c>
      <c r="L128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84" s="2" t="str">
        <f>IF(Table1[[#This Row],[Experience Years]]&lt;=2,"Entry Level",IF(Table1[[#This Row],[Experience Years]]&lt;=7,"Mid Level",IF(Table1[[#This Row],[Experience Years]]&lt;=15,"Senior Level")))</f>
        <v>Senior Level</v>
      </c>
      <c r="N1284" s="1">
        <f>AVERAGE(Table1[[#This Row],[Interview Score]:[Personality Score]])</f>
        <v>38.666666666666664</v>
      </c>
      <c r="O12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84" s="2" t="str">
        <f t="shared" si="20"/>
        <v>30-40</v>
      </c>
    </row>
    <row r="1285" spans="1:16" x14ac:dyDescent="0.25">
      <c r="A1285">
        <v>25</v>
      </c>
      <c r="B1285" s="2">
        <v>1</v>
      </c>
      <c r="C1285" s="2">
        <v>2</v>
      </c>
      <c r="D1285" s="2">
        <v>2</v>
      </c>
      <c r="E1285" s="2">
        <v>2</v>
      </c>
      <c r="F1285" s="1">
        <v>32.096836690000004</v>
      </c>
      <c r="G1285" s="2">
        <v>48</v>
      </c>
      <c r="H1285" s="2">
        <v>78</v>
      </c>
      <c r="I1285" s="2">
        <v>64</v>
      </c>
      <c r="J1285" s="2">
        <v>2</v>
      </c>
      <c r="K1285" s="2">
        <v>0</v>
      </c>
      <c r="L128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85" t="str">
        <f>IF(Table1[[#This Row],[Experience Years]]&lt;=2,"Entry Level",IF(Table1[[#This Row],[Experience Years]]&lt;=7,"Mid Level",IF(Table1[[#This Row],[Experience Years]]&lt;=15,"Senior Level")))</f>
        <v>Entry Level</v>
      </c>
      <c r="N1285" s="1">
        <f>AVERAGE(Table1[[#This Row],[Interview Score]:[Personality Score]])</f>
        <v>63.333333333333336</v>
      </c>
      <c r="O12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85" s="2" t="str">
        <f t="shared" si="20"/>
        <v>30-40</v>
      </c>
    </row>
    <row r="1286" spans="1:16" x14ac:dyDescent="0.25">
      <c r="A1286">
        <v>42</v>
      </c>
      <c r="B1286" s="2">
        <v>0</v>
      </c>
      <c r="C1286" s="2">
        <v>2</v>
      </c>
      <c r="D1286" s="2">
        <v>10</v>
      </c>
      <c r="E1286" s="2">
        <v>5</v>
      </c>
      <c r="F1286" s="1">
        <v>31.339644790000001</v>
      </c>
      <c r="G1286" s="2">
        <v>47</v>
      </c>
      <c r="H1286" s="2">
        <v>85</v>
      </c>
      <c r="I1286" s="2">
        <v>72</v>
      </c>
      <c r="J1286" s="2">
        <v>2</v>
      </c>
      <c r="K1286" s="2">
        <v>0</v>
      </c>
      <c r="L128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86" s="2" t="str">
        <f>IF(Table1[[#This Row],[Experience Years]]&lt;=2,"Entry Level",IF(Table1[[#This Row],[Experience Years]]&lt;=7,"Mid Level",IF(Table1[[#This Row],[Experience Years]]&lt;=15,"Senior Level")))</f>
        <v>Senior Level</v>
      </c>
      <c r="N1286" s="1">
        <f>AVERAGE(Table1[[#This Row],[Interview Score]:[Personality Score]])</f>
        <v>68</v>
      </c>
      <c r="O12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86" s="2" t="str">
        <f t="shared" si="20"/>
        <v>30-40</v>
      </c>
    </row>
    <row r="1287" spans="1:16" x14ac:dyDescent="0.25">
      <c r="A1287">
        <v>35</v>
      </c>
      <c r="B1287" s="2">
        <v>0</v>
      </c>
      <c r="C1287" s="2">
        <v>2</v>
      </c>
      <c r="D1287" s="2">
        <v>1</v>
      </c>
      <c r="E1287" s="2">
        <v>4</v>
      </c>
      <c r="F1287" s="1">
        <v>43.473495079999999</v>
      </c>
      <c r="G1287" s="2">
        <v>71</v>
      </c>
      <c r="H1287" s="2">
        <v>5</v>
      </c>
      <c r="I1287" s="2">
        <v>30</v>
      </c>
      <c r="J1287" s="2">
        <v>3</v>
      </c>
      <c r="K1287" s="2">
        <v>0</v>
      </c>
      <c r="L128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287" s="2" t="str">
        <f>IF(Table1[[#This Row],[Experience Years]]&lt;=2,"Entry Level",IF(Table1[[#This Row],[Experience Years]]&lt;=7,"Mid Level",IF(Table1[[#This Row],[Experience Years]]&lt;=15,"Senior Level")))</f>
        <v>Entry Level</v>
      </c>
      <c r="N1287" s="1">
        <f>AVERAGE(Table1[[#This Row],[Interview Score]:[Personality Score]])</f>
        <v>35.333333333333336</v>
      </c>
      <c r="O12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87" s="2" t="str">
        <f t="shared" si="20"/>
        <v>40-50</v>
      </c>
    </row>
    <row r="1288" spans="1:16" x14ac:dyDescent="0.25">
      <c r="A1288">
        <v>23</v>
      </c>
      <c r="B1288" s="2">
        <v>0</v>
      </c>
      <c r="C1288" s="2">
        <v>3</v>
      </c>
      <c r="D1288" s="2">
        <v>15</v>
      </c>
      <c r="E1288" s="2">
        <v>3</v>
      </c>
      <c r="F1288" s="1">
        <v>28.060188289999999</v>
      </c>
      <c r="G1288" s="2">
        <v>48</v>
      </c>
      <c r="H1288" s="2">
        <v>51</v>
      </c>
      <c r="I1288" s="2">
        <v>25</v>
      </c>
      <c r="J1288" s="2">
        <v>2</v>
      </c>
      <c r="K1288" s="2">
        <v>0</v>
      </c>
      <c r="L128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88" s="2" t="str">
        <f>IF(Table1[[#This Row],[Experience Years]]&lt;=2,"Entry Level",IF(Table1[[#This Row],[Experience Years]]&lt;=7,"Mid Level",IF(Table1[[#This Row],[Experience Years]]&lt;=15,"Senior Level")))</f>
        <v>Senior Level</v>
      </c>
      <c r="N1288" s="1">
        <f>AVERAGE(Table1[[#This Row],[Interview Score]:[Personality Score]])</f>
        <v>41.333333333333336</v>
      </c>
      <c r="O12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88" s="2" t="str">
        <f t="shared" si="20"/>
        <v>20-30</v>
      </c>
    </row>
    <row r="1289" spans="1:16" x14ac:dyDescent="0.25">
      <c r="A1289">
        <v>49</v>
      </c>
      <c r="B1289" s="2">
        <v>0</v>
      </c>
      <c r="C1289" s="2">
        <v>4</v>
      </c>
      <c r="D1289" s="2">
        <v>8</v>
      </c>
      <c r="E1289" s="2">
        <v>2</v>
      </c>
      <c r="F1289" s="1">
        <v>41.192994310000003</v>
      </c>
      <c r="G1289" s="2">
        <v>46</v>
      </c>
      <c r="H1289" s="2">
        <v>78</v>
      </c>
      <c r="I1289" s="2">
        <v>80</v>
      </c>
      <c r="J1289" s="2">
        <v>3</v>
      </c>
      <c r="K1289" s="2">
        <v>1</v>
      </c>
      <c r="L128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89" s="2" t="str">
        <f>IF(Table1[[#This Row],[Experience Years]]&lt;=2,"Entry Level",IF(Table1[[#This Row],[Experience Years]]&lt;=7,"Mid Level",IF(Table1[[#This Row],[Experience Years]]&lt;=15,"Senior Level")))</f>
        <v>Senior Level</v>
      </c>
      <c r="N1289" s="1">
        <f>AVERAGE(Table1[[#This Row],[Interview Score]:[Personality Score]])</f>
        <v>68</v>
      </c>
      <c r="O12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89" s="2" t="str">
        <f t="shared" si="20"/>
        <v>40-50</v>
      </c>
    </row>
    <row r="1290" spans="1:16" x14ac:dyDescent="0.25">
      <c r="A1290">
        <v>30</v>
      </c>
      <c r="B1290" s="2">
        <v>0</v>
      </c>
      <c r="C1290" s="2">
        <v>3</v>
      </c>
      <c r="D1290" s="2">
        <v>15</v>
      </c>
      <c r="E1290" s="2">
        <v>2</v>
      </c>
      <c r="F1290" s="1">
        <v>26.444262760000001</v>
      </c>
      <c r="G1290" s="2">
        <v>55</v>
      </c>
      <c r="H1290" s="2">
        <v>87</v>
      </c>
      <c r="I1290" s="2">
        <v>55</v>
      </c>
      <c r="J1290" s="2">
        <v>1</v>
      </c>
      <c r="K1290" s="2">
        <v>1</v>
      </c>
      <c r="L1290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90" s="2" t="str">
        <f>IF(Table1[[#This Row],[Experience Years]]&lt;=2,"Entry Level",IF(Table1[[#This Row],[Experience Years]]&lt;=7,"Mid Level",IF(Table1[[#This Row],[Experience Years]]&lt;=15,"Senior Level")))</f>
        <v>Senior Level</v>
      </c>
      <c r="N1290" s="1">
        <f>AVERAGE(Table1[[#This Row],[Interview Score]:[Personality Score]])</f>
        <v>65.666666666666671</v>
      </c>
      <c r="O12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90" s="2" t="str">
        <f t="shared" si="20"/>
        <v>20-30</v>
      </c>
    </row>
    <row r="1291" spans="1:16" x14ac:dyDescent="0.25">
      <c r="A1291">
        <v>49</v>
      </c>
      <c r="B1291" s="2">
        <v>0</v>
      </c>
      <c r="C1291" s="2">
        <v>3</v>
      </c>
      <c r="D1291" s="2">
        <v>14</v>
      </c>
      <c r="E1291" s="2">
        <v>2</v>
      </c>
      <c r="F1291" s="1">
        <v>4.1222137490000001</v>
      </c>
      <c r="G1291" s="2">
        <v>64</v>
      </c>
      <c r="H1291" s="2">
        <v>20</v>
      </c>
      <c r="I1291" s="2">
        <v>33</v>
      </c>
      <c r="J1291" s="2">
        <v>2</v>
      </c>
      <c r="K1291" s="2">
        <v>0</v>
      </c>
      <c r="L129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91" s="2" t="str">
        <f>IF(Table1[[#This Row],[Experience Years]]&lt;=2,"Entry Level",IF(Table1[[#This Row],[Experience Years]]&lt;=7,"Mid Level",IF(Table1[[#This Row],[Experience Years]]&lt;=15,"Senior Level")))</f>
        <v>Senior Level</v>
      </c>
      <c r="N1291" s="1">
        <f>AVERAGE(Table1[[#This Row],[Interview Score]:[Personality Score]])</f>
        <v>39</v>
      </c>
      <c r="O12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91" s="2" t="str">
        <f t="shared" si="20"/>
        <v>0-10</v>
      </c>
    </row>
    <row r="1292" spans="1:16" x14ac:dyDescent="0.25">
      <c r="A1292">
        <v>49</v>
      </c>
      <c r="B1292" s="2">
        <v>0</v>
      </c>
      <c r="C1292" s="2">
        <v>2</v>
      </c>
      <c r="D1292" s="2">
        <v>11</v>
      </c>
      <c r="E1292" s="2">
        <v>5</v>
      </c>
      <c r="F1292" s="1">
        <v>20.197350449999998</v>
      </c>
      <c r="G1292" s="2">
        <v>11</v>
      </c>
      <c r="H1292" s="2">
        <v>70</v>
      </c>
      <c r="I1292" s="2">
        <v>8</v>
      </c>
      <c r="J1292" s="2">
        <v>2</v>
      </c>
      <c r="K1292" s="2">
        <v>0</v>
      </c>
      <c r="L129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92" s="2" t="str">
        <f>IF(Table1[[#This Row],[Experience Years]]&lt;=2,"Entry Level",IF(Table1[[#This Row],[Experience Years]]&lt;=7,"Mid Level",IF(Table1[[#This Row],[Experience Years]]&lt;=15,"Senior Level")))</f>
        <v>Senior Level</v>
      </c>
      <c r="N1292" s="1">
        <f>AVERAGE(Table1[[#This Row],[Interview Score]:[Personality Score]])</f>
        <v>29.666666666666668</v>
      </c>
      <c r="O12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92" s="2" t="str">
        <f t="shared" si="20"/>
        <v>20-30</v>
      </c>
    </row>
    <row r="1293" spans="1:16" x14ac:dyDescent="0.25">
      <c r="A1293">
        <v>49</v>
      </c>
      <c r="B1293" s="2">
        <v>1</v>
      </c>
      <c r="C1293" s="2">
        <v>3</v>
      </c>
      <c r="D1293" s="2">
        <v>0</v>
      </c>
      <c r="E1293" s="2">
        <v>1</v>
      </c>
      <c r="F1293" s="1">
        <v>23.222047880000002</v>
      </c>
      <c r="G1293" s="2">
        <v>68</v>
      </c>
      <c r="H1293" s="2">
        <v>92</v>
      </c>
      <c r="I1293" s="2">
        <v>61</v>
      </c>
      <c r="J1293" s="2">
        <v>3</v>
      </c>
      <c r="K1293" s="2">
        <v>0</v>
      </c>
      <c r="L129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93" t="str">
        <f>IF(Table1[[#This Row],[Experience Years]]&lt;=2,"Entry Level",IF(Table1[[#This Row],[Experience Years]]&lt;=7,"Mid Level",IF(Table1[[#This Row],[Experience Years]]&lt;=15,"Senior Level")))</f>
        <v>Entry Level</v>
      </c>
      <c r="N1293" s="1">
        <f>AVERAGE(Table1[[#This Row],[Interview Score]:[Personality Score]])</f>
        <v>73.666666666666671</v>
      </c>
      <c r="O12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293" s="2" t="str">
        <f t="shared" si="20"/>
        <v>20-30</v>
      </c>
    </row>
    <row r="1294" spans="1:16" x14ac:dyDescent="0.25">
      <c r="A1294">
        <v>50</v>
      </c>
      <c r="B1294" s="2">
        <v>1</v>
      </c>
      <c r="C1294" s="2">
        <v>3</v>
      </c>
      <c r="D1294" s="2">
        <v>12</v>
      </c>
      <c r="E1294" s="2">
        <v>5</v>
      </c>
      <c r="F1294" s="1">
        <v>8.0808622490000008</v>
      </c>
      <c r="G1294" s="2">
        <v>87</v>
      </c>
      <c r="H1294" s="2">
        <v>95</v>
      </c>
      <c r="I1294" s="2">
        <v>12</v>
      </c>
      <c r="J1294" s="2">
        <v>1</v>
      </c>
      <c r="K1294" s="2">
        <v>1</v>
      </c>
      <c r="L129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294" t="str">
        <f>IF(Table1[[#This Row],[Experience Years]]&lt;=2,"Entry Level",IF(Table1[[#This Row],[Experience Years]]&lt;=7,"Mid Level",IF(Table1[[#This Row],[Experience Years]]&lt;=15,"Senior Level")))</f>
        <v>Senior Level</v>
      </c>
      <c r="N1294" s="1">
        <f>AVERAGE(Table1[[#This Row],[Interview Score]:[Personality Score]])</f>
        <v>64.666666666666671</v>
      </c>
      <c r="O12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94" s="2" t="str">
        <f t="shared" si="20"/>
        <v>0-10</v>
      </c>
    </row>
    <row r="1295" spans="1:16" x14ac:dyDescent="0.25">
      <c r="A1295">
        <v>43</v>
      </c>
      <c r="B1295" s="2">
        <v>1</v>
      </c>
      <c r="C1295" s="2">
        <v>2</v>
      </c>
      <c r="D1295" s="2">
        <v>13</v>
      </c>
      <c r="E1295" s="2">
        <v>4</v>
      </c>
      <c r="F1295" s="1">
        <v>6.1248164589999998</v>
      </c>
      <c r="G1295" s="2">
        <v>5</v>
      </c>
      <c r="H1295" s="2">
        <v>31</v>
      </c>
      <c r="I1295" s="2">
        <v>68</v>
      </c>
      <c r="J1295" s="2">
        <v>3</v>
      </c>
      <c r="K1295" s="2">
        <v>0</v>
      </c>
      <c r="L129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95" t="str">
        <f>IF(Table1[[#This Row],[Experience Years]]&lt;=2,"Entry Level",IF(Table1[[#This Row],[Experience Years]]&lt;=7,"Mid Level",IF(Table1[[#This Row],[Experience Years]]&lt;=15,"Senior Level")))</f>
        <v>Senior Level</v>
      </c>
      <c r="N1295" s="1">
        <f>AVERAGE(Table1[[#This Row],[Interview Score]:[Personality Score]])</f>
        <v>34.666666666666664</v>
      </c>
      <c r="O12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95" s="2" t="str">
        <f t="shared" si="20"/>
        <v>0-10</v>
      </c>
    </row>
    <row r="1296" spans="1:16" x14ac:dyDescent="0.25">
      <c r="A1296">
        <v>42</v>
      </c>
      <c r="B1296" s="2">
        <v>1</v>
      </c>
      <c r="C1296" s="2">
        <v>2</v>
      </c>
      <c r="D1296" s="2">
        <v>8</v>
      </c>
      <c r="E1296" s="2">
        <v>1</v>
      </c>
      <c r="F1296" s="1">
        <v>27.773247479999998</v>
      </c>
      <c r="G1296" s="2">
        <v>88</v>
      </c>
      <c r="H1296" s="2">
        <v>52</v>
      </c>
      <c r="I1296" s="2">
        <v>40</v>
      </c>
      <c r="J1296" s="2">
        <v>2</v>
      </c>
      <c r="K1296" s="2">
        <v>0</v>
      </c>
      <c r="L129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96" t="str">
        <f>IF(Table1[[#This Row],[Experience Years]]&lt;=2,"Entry Level",IF(Table1[[#This Row],[Experience Years]]&lt;=7,"Mid Level",IF(Table1[[#This Row],[Experience Years]]&lt;=15,"Senior Level")))</f>
        <v>Senior Level</v>
      </c>
      <c r="N1296" s="1">
        <f>AVERAGE(Table1[[#This Row],[Interview Score]:[Personality Score]])</f>
        <v>60</v>
      </c>
      <c r="O12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96" s="2" t="str">
        <f t="shared" si="20"/>
        <v>20-30</v>
      </c>
    </row>
    <row r="1297" spans="1:16" x14ac:dyDescent="0.25">
      <c r="A1297">
        <v>28</v>
      </c>
      <c r="B1297" s="2">
        <v>0</v>
      </c>
      <c r="C1297" s="2">
        <v>3</v>
      </c>
      <c r="D1297" s="2">
        <v>8</v>
      </c>
      <c r="E1297" s="2">
        <v>4</v>
      </c>
      <c r="F1297" s="1">
        <v>5.2571818280000002</v>
      </c>
      <c r="G1297" s="2">
        <v>64</v>
      </c>
      <c r="H1297" s="2">
        <v>58</v>
      </c>
      <c r="I1297" s="2">
        <v>76</v>
      </c>
      <c r="J1297" s="2">
        <v>3</v>
      </c>
      <c r="K1297" s="2">
        <v>1</v>
      </c>
      <c r="L129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297" s="2" t="str">
        <f>IF(Table1[[#This Row],[Experience Years]]&lt;=2,"Entry Level",IF(Table1[[#This Row],[Experience Years]]&lt;=7,"Mid Level",IF(Table1[[#This Row],[Experience Years]]&lt;=15,"Senior Level")))</f>
        <v>Senior Level</v>
      </c>
      <c r="N1297" s="1">
        <f>AVERAGE(Table1[[#This Row],[Interview Score]:[Personality Score]])</f>
        <v>66</v>
      </c>
      <c r="O12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297" s="2" t="str">
        <f t="shared" si="20"/>
        <v>0-10</v>
      </c>
    </row>
    <row r="1298" spans="1:16" x14ac:dyDescent="0.25">
      <c r="A1298">
        <v>42</v>
      </c>
      <c r="B1298" s="2">
        <v>1</v>
      </c>
      <c r="C1298" s="2">
        <v>1</v>
      </c>
      <c r="D1298" s="2">
        <v>7</v>
      </c>
      <c r="E1298" s="2">
        <v>1</v>
      </c>
      <c r="F1298" s="1">
        <v>16.147258390000001</v>
      </c>
      <c r="G1298" s="2">
        <v>24</v>
      </c>
      <c r="H1298" s="2">
        <v>68</v>
      </c>
      <c r="I1298" s="2">
        <v>0</v>
      </c>
      <c r="J1298" s="2">
        <v>2</v>
      </c>
      <c r="K1298" s="2">
        <v>0</v>
      </c>
      <c r="L129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298" t="str">
        <f>IF(Table1[[#This Row],[Experience Years]]&lt;=2,"Entry Level",IF(Table1[[#This Row],[Experience Years]]&lt;=7,"Mid Level",IF(Table1[[#This Row],[Experience Years]]&lt;=15,"Senior Level")))</f>
        <v>Mid Level</v>
      </c>
      <c r="N1298" s="1">
        <f>AVERAGE(Table1[[#This Row],[Interview Score]:[Personality Score]])</f>
        <v>30.666666666666668</v>
      </c>
      <c r="O12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98" s="2" t="str">
        <f t="shared" si="20"/>
        <v>10-20</v>
      </c>
    </row>
    <row r="1299" spans="1:16" x14ac:dyDescent="0.25">
      <c r="A1299">
        <v>22</v>
      </c>
      <c r="B1299" s="2">
        <v>1</v>
      </c>
      <c r="C1299" s="2">
        <v>3</v>
      </c>
      <c r="D1299" s="2">
        <v>7</v>
      </c>
      <c r="E1299" s="2">
        <v>5</v>
      </c>
      <c r="F1299" s="1">
        <v>38.229848799999999</v>
      </c>
      <c r="G1299" s="2">
        <v>0</v>
      </c>
      <c r="H1299" s="2">
        <v>61</v>
      </c>
      <c r="I1299" s="2">
        <v>88</v>
      </c>
      <c r="J1299" s="2">
        <v>1</v>
      </c>
      <c r="K1299" s="2">
        <v>1</v>
      </c>
      <c r="L129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299" t="str">
        <f>IF(Table1[[#This Row],[Experience Years]]&lt;=2,"Entry Level",IF(Table1[[#This Row],[Experience Years]]&lt;=7,"Mid Level",IF(Table1[[#This Row],[Experience Years]]&lt;=15,"Senior Level")))</f>
        <v>Mid Level</v>
      </c>
      <c r="N1299" s="1">
        <f>AVERAGE(Table1[[#This Row],[Interview Score]:[Personality Score]])</f>
        <v>49.666666666666664</v>
      </c>
      <c r="O12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299" s="2" t="str">
        <f t="shared" si="20"/>
        <v>30-40</v>
      </c>
    </row>
    <row r="1300" spans="1:16" x14ac:dyDescent="0.25">
      <c r="A1300">
        <v>38</v>
      </c>
      <c r="B1300" s="2">
        <v>0</v>
      </c>
      <c r="C1300" s="2">
        <v>1</v>
      </c>
      <c r="D1300" s="2">
        <v>10</v>
      </c>
      <c r="E1300" s="2">
        <v>2</v>
      </c>
      <c r="F1300" s="1">
        <v>49.221608979999999</v>
      </c>
      <c r="G1300" s="2">
        <v>31</v>
      </c>
      <c r="H1300" s="2">
        <v>3</v>
      </c>
      <c r="I1300" s="2">
        <v>46</v>
      </c>
      <c r="J1300" s="2">
        <v>3</v>
      </c>
      <c r="K1300" s="2">
        <v>0</v>
      </c>
      <c r="L130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00" s="2" t="str">
        <f>IF(Table1[[#This Row],[Experience Years]]&lt;=2,"Entry Level",IF(Table1[[#This Row],[Experience Years]]&lt;=7,"Mid Level",IF(Table1[[#This Row],[Experience Years]]&lt;=15,"Senior Level")))</f>
        <v>Senior Level</v>
      </c>
      <c r="N1300" s="1">
        <f>AVERAGE(Table1[[#This Row],[Interview Score]:[Personality Score]])</f>
        <v>26.666666666666668</v>
      </c>
      <c r="O13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00" s="2" t="str">
        <f t="shared" si="20"/>
        <v>40-50</v>
      </c>
    </row>
    <row r="1301" spans="1:16" x14ac:dyDescent="0.25">
      <c r="A1301">
        <v>50</v>
      </c>
      <c r="B1301" s="2">
        <v>0</v>
      </c>
      <c r="C1301" s="2">
        <v>2</v>
      </c>
      <c r="D1301" s="2">
        <v>13</v>
      </c>
      <c r="E1301" s="2">
        <v>3</v>
      </c>
      <c r="F1301" s="1">
        <v>36.893529030000003</v>
      </c>
      <c r="G1301" s="2">
        <v>2</v>
      </c>
      <c r="H1301" s="2">
        <v>85</v>
      </c>
      <c r="I1301" s="2">
        <v>3</v>
      </c>
      <c r="J1301" s="2">
        <v>3</v>
      </c>
      <c r="K1301" s="2">
        <v>0</v>
      </c>
      <c r="L130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01" s="2" t="str">
        <f>IF(Table1[[#This Row],[Experience Years]]&lt;=2,"Entry Level",IF(Table1[[#This Row],[Experience Years]]&lt;=7,"Mid Level",IF(Table1[[#This Row],[Experience Years]]&lt;=15,"Senior Level")))</f>
        <v>Senior Level</v>
      </c>
      <c r="N1301" s="1">
        <f>AVERAGE(Table1[[#This Row],[Interview Score]:[Personality Score]])</f>
        <v>30</v>
      </c>
      <c r="O13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01" s="2" t="str">
        <f t="shared" si="20"/>
        <v>30-40</v>
      </c>
    </row>
    <row r="1302" spans="1:16" x14ac:dyDescent="0.25">
      <c r="A1302">
        <v>27</v>
      </c>
      <c r="B1302" s="2">
        <v>1</v>
      </c>
      <c r="C1302" s="2">
        <v>3</v>
      </c>
      <c r="D1302" s="2">
        <v>11</v>
      </c>
      <c r="E1302" s="2">
        <v>2</v>
      </c>
      <c r="F1302" s="1">
        <v>50.631277420000004</v>
      </c>
      <c r="G1302" s="2">
        <v>48</v>
      </c>
      <c r="H1302" s="2">
        <v>17</v>
      </c>
      <c r="I1302" s="2">
        <v>99</v>
      </c>
      <c r="J1302" s="2">
        <v>2</v>
      </c>
      <c r="K1302" s="2">
        <v>0</v>
      </c>
      <c r="L130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02" t="str">
        <f>IF(Table1[[#This Row],[Experience Years]]&lt;=2,"Entry Level",IF(Table1[[#This Row],[Experience Years]]&lt;=7,"Mid Level",IF(Table1[[#This Row],[Experience Years]]&lt;=15,"Senior Level")))</f>
        <v>Senior Level</v>
      </c>
      <c r="N1302" s="1">
        <f>AVERAGE(Table1[[#This Row],[Interview Score]:[Personality Score]])</f>
        <v>54.666666666666664</v>
      </c>
      <c r="O13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02" s="2" t="str">
        <f t="shared" si="20"/>
        <v>50+</v>
      </c>
    </row>
    <row r="1303" spans="1:16" x14ac:dyDescent="0.25">
      <c r="A1303">
        <v>24</v>
      </c>
      <c r="B1303" s="2">
        <v>1</v>
      </c>
      <c r="C1303" s="2">
        <v>2</v>
      </c>
      <c r="D1303" s="2">
        <v>0</v>
      </c>
      <c r="E1303" s="2">
        <v>5</v>
      </c>
      <c r="F1303" s="1">
        <v>35.91689856</v>
      </c>
      <c r="G1303" s="2">
        <v>18</v>
      </c>
      <c r="H1303" s="2">
        <v>98</v>
      </c>
      <c r="I1303" s="2">
        <v>62</v>
      </c>
      <c r="J1303" s="2">
        <v>1</v>
      </c>
      <c r="K1303" s="2">
        <v>1</v>
      </c>
      <c r="L130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03" t="str">
        <f>IF(Table1[[#This Row],[Experience Years]]&lt;=2,"Entry Level",IF(Table1[[#This Row],[Experience Years]]&lt;=7,"Mid Level",IF(Table1[[#This Row],[Experience Years]]&lt;=15,"Senior Level")))</f>
        <v>Entry Level</v>
      </c>
      <c r="N1303" s="1">
        <f>AVERAGE(Table1[[#This Row],[Interview Score]:[Personality Score]])</f>
        <v>59.333333333333336</v>
      </c>
      <c r="O13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03" s="2" t="str">
        <f t="shared" si="20"/>
        <v>30-40</v>
      </c>
    </row>
    <row r="1304" spans="1:16" x14ac:dyDescent="0.25">
      <c r="A1304">
        <v>23</v>
      </c>
      <c r="B1304" s="2">
        <v>0</v>
      </c>
      <c r="C1304" s="2">
        <v>2</v>
      </c>
      <c r="D1304" s="2">
        <v>10</v>
      </c>
      <c r="E1304" s="2">
        <v>1</v>
      </c>
      <c r="F1304" s="1">
        <v>15.68972353</v>
      </c>
      <c r="G1304" s="2">
        <v>59</v>
      </c>
      <c r="H1304" s="2">
        <v>80</v>
      </c>
      <c r="I1304" s="2">
        <v>51</v>
      </c>
      <c r="J1304" s="2">
        <v>1</v>
      </c>
      <c r="K1304" s="2">
        <v>1</v>
      </c>
      <c r="L130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04" s="2" t="str">
        <f>IF(Table1[[#This Row],[Experience Years]]&lt;=2,"Entry Level",IF(Table1[[#This Row],[Experience Years]]&lt;=7,"Mid Level",IF(Table1[[#This Row],[Experience Years]]&lt;=15,"Senior Level")))</f>
        <v>Senior Level</v>
      </c>
      <c r="N1304" s="1">
        <f>AVERAGE(Table1[[#This Row],[Interview Score]:[Personality Score]])</f>
        <v>63.333333333333336</v>
      </c>
      <c r="O13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04" s="2" t="str">
        <f t="shared" si="20"/>
        <v>10-20</v>
      </c>
    </row>
    <row r="1305" spans="1:16" x14ac:dyDescent="0.25">
      <c r="A1305">
        <v>43</v>
      </c>
      <c r="B1305" s="2">
        <v>1</v>
      </c>
      <c r="C1305" s="2">
        <v>2</v>
      </c>
      <c r="D1305" s="2">
        <v>7</v>
      </c>
      <c r="E1305" s="2">
        <v>2</v>
      </c>
      <c r="F1305" s="1">
        <v>34.602627030000001</v>
      </c>
      <c r="G1305" s="2">
        <v>28</v>
      </c>
      <c r="H1305" s="2">
        <v>55</v>
      </c>
      <c r="I1305" s="2">
        <v>9</v>
      </c>
      <c r="J1305" s="2">
        <v>2</v>
      </c>
      <c r="K1305" s="2">
        <v>0</v>
      </c>
      <c r="L130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05" t="str">
        <f>IF(Table1[[#This Row],[Experience Years]]&lt;=2,"Entry Level",IF(Table1[[#This Row],[Experience Years]]&lt;=7,"Mid Level",IF(Table1[[#This Row],[Experience Years]]&lt;=15,"Senior Level")))</f>
        <v>Mid Level</v>
      </c>
      <c r="N1305" s="1">
        <f>AVERAGE(Table1[[#This Row],[Interview Score]:[Personality Score]])</f>
        <v>30.666666666666668</v>
      </c>
      <c r="O13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05" s="2" t="str">
        <f t="shared" si="20"/>
        <v>30-40</v>
      </c>
    </row>
    <row r="1306" spans="1:16" x14ac:dyDescent="0.25">
      <c r="A1306">
        <v>50</v>
      </c>
      <c r="B1306" s="2">
        <v>0</v>
      </c>
      <c r="C1306" s="2">
        <v>3</v>
      </c>
      <c r="D1306" s="2">
        <v>9</v>
      </c>
      <c r="E1306" s="2">
        <v>5</v>
      </c>
      <c r="F1306" s="1">
        <v>36.107838260000001</v>
      </c>
      <c r="G1306" s="2">
        <v>49</v>
      </c>
      <c r="H1306" s="2">
        <v>23</v>
      </c>
      <c r="I1306" s="2">
        <v>27</v>
      </c>
      <c r="J1306" s="2">
        <v>1</v>
      </c>
      <c r="K1306" s="2">
        <v>1</v>
      </c>
      <c r="L130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06" s="2" t="str">
        <f>IF(Table1[[#This Row],[Experience Years]]&lt;=2,"Entry Level",IF(Table1[[#This Row],[Experience Years]]&lt;=7,"Mid Level",IF(Table1[[#This Row],[Experience Years]]&lt;=15,"Senior Level")))</f>
        <v>Senior Level</v>
      </c>
      <c r="N1306" s="1">
        <f>AVERAGE(Table1[[#This Row],[Interview Score]:[Personality Score]])</f>
        <v>33</v>
      </c>
      <c r="O13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06" s="2" t="str">
        <f t="shared" si="20"/>
        <v>30-40</v>
      </c>
    </row>
    <row r="1307" spans="1:16" x14ac:dyDescent="0.25">
      <c r="A1307">
        <v>25</v>
      </c>
      <c r="B1307" s="2">
        <v>0</v>
      </c>
      <c r="C1307" s="2">
        <v>1</v>
      </c>
      <c r="D1307" s="2">
        <v>13</v>
      </c>
      <c r="E1307" s="2">
        <v>4</v>
      </c>
      <c r="F1307" s="1">
        <v>19.58634923</v>
      </c>
      <c r="G1307" s="2">
        <v>1</v>
      </c>
      <c r="H1307" s="2">
        <v>65</v>
      </c>
      <c r="I1307" s="2">
        <v>5</v>
      </c>
      <c r="J1307" s="2">
        <v>2</v>
      </c>
      <c r="K1307" s="2">
        <v>0</v>
      </c>
      <c r="L130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07" s="2" t="str">
        <f>IF(Table1[[#This Row],[Experience Years]]&lt;=2,"Entry Level",IF(Table1[[#This Row],[Experience Years]]&lt;=7,"Mid Level",IF(Table1[[#This Row],[Experience Years]]&lt;=15,"Senior Level")))</f>
        <v>Senior Level</v>
      </c>
      <c r="N1307" s="1">
        <f>AVERAGE(Table1[[#This Row],[Interview Score]:[Personality Score]])</f>
        <v>23.666666666666668</v>
      </c>
      <c r="O13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07" s="2" t="str">
        <f t="shared" si="20"/>
        <v>10-20</v>
      </c>
    </row>
    <row r="1308" spans="1:16" x14ac:dyDescent="0.25">
      <c r="A1308">
        <v>21</v>
      </c>
      <c r="B1308" s="2">
        <v>0</v>
      </c>
      <c r="C1308" s="2">
        <v>4</v>
      </c>
      <c r="D1308" s="2">
        <v>2</v>
      </c>
      <c r="E1308" s="2">
        <v>3</v>
      </c>
      <c r="F1308" s="1">
        <v>1.88569253</v>
      </c>
      <c r="G1308" s="2">
        <v>72</v>
      </c>
      <c r="H1308" s="2">
        <v>12</v>
      </c>
      <c r="I1308" s="2">
        <v>26</v>
      </c>
      <c r="J1308" s="2">
        <v>2</v>
      </c>
      <c r="K1308" s="2">
        <v>0</v>
      </c>
      <c r="L130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08" s="2" t="str">
        <f>IF(Table1[[#This Row],[Experience Years]]&lt;=2,"Entry Level",IF(Table1[[#This Row],[Experience Years]]&lt;=7,"Mid Level",IF(Table1[[#This Row],[Experience Years]]&lt;=15,"Senior Level")))</f>
        <v>Entry Level</v>
      </c>
      <c r="N1308" s="1">
        <f>AVERAGE(Table1[[#This Row],[Interview Score]:[Personality Score]])</f>
        <v>36.666666666666664</v>
      </c>
      <c r="O13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08" s="2" t="str">
        <f t="shared" si="20"/>
        <v>0-10</v>
      </c>
    </row>
    <row r="1309" spans="1:16" x14ac:dyDescent="0.25">
      <c r="A1309">
        <v>39</v>
      </c>
      <c r="B1309" s="2">
        <v>0</v>
      </c>
      <c r="C1309" s="2">
        <v>1</v>
      </c>
      <c r="D1309" s="2">
        <v>10</v>
      </c>
      <c r="E1309" s="2">
        <v>2</v>
      </c>
      <c r="F1309" s="1">
        <v>36.159989240000002</v>
      </c>
      <c r="G1309" s="2">
        <v>55</v>
      </c>
      <c r="H1309" s="2">
        <v>61</v>
      </c>
      <c r="I1309" s="2">
        <v>11</v>
      </c>
      <c r="J1309" s="2">
        <v>2</v>
      </c>
      <c r="K1309" s="2">
        <v>0</v>
      </c>
      <c r="L130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09" s="2" t="str">
        <f>IF(Table1[[#This Row],[Experience Years]]&lt;=2,"Entry Level",IF(Table1[[#This Row],[Experience Years]]&lt;=7,"Mid Level",IF(Table1[[#This Row],[Experience Years]]&lt;=15,"Senior Level")))</f>
        <v>Senior Level</v>
      </c>
      <c r="N1309" s="1">
        <f>AVERAGE(Table1[[#This Row],[Interview Score]:[Personality Score]])</f>
        <v>42.333333333333336</v>
      </c>
      <c r="O13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09" s="2" t="str">
        <f t="shared" si="20"/>
        <v>30-40</v>
      </c>
    </row>
    <row r="1310" spans="1:16" x14ac:dyDescent="0.25">
      <c r="A1310">
        <v>47</v>
      </c>
      <c r="B1310" s="2">
        <v>1</v>
      </c>
      <c r="C1310" s="2">
        <v>4</v>
      </c>
      <c r="D1310" s="2">
        <v>6</v>
      </c>
      <c r="E1310" s="2">
        <v>1</v>
      </c>
      <c r="F1310" s="1">
        <v>2.0850047639999998</v>
      </c>
      <c r="G1310" s="2">
        <v>16</v>
      </c>
      <c r="H1310" s="2">
        <v>53</v>
      </c>
      <c r="I1310" s="2">
        <v>61</v>
      </c>
      <c r="J1310" s="2">
        <v>1</v>
      </c>
      <c r="K1310" s="2">
        <v>1</v>
      </c>
      <c r="L131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10" t="str">
        <f>IF(Table1[[#This Row],[Experience Years]]&lt;=2,"Entry Level",IF(Table1[[#This Row],[Experience Years]]&lt;=7,"Mid Level",IF(Table1[[#This Row],[Experience Years]]&lt;=15,"Senior Level")))</f>
        <v>Mid Level</v>
      </c>
      <c r="N1310" s="1">
        <f>AVERAGE(Table1[[#This Row],[Interview Score]:[Personality Score]])</f>
        <v>43.333333333333336</v>
      </c>
      <c r="O13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10" s="2" t="str">
        <f t="shared" si="20"/>
        <v>0-10</v>
      </c>
    </row>
    <row r="1311" spans="1:16" x14ac:dyDescent="0.25">
      <c r="A1311">
        <v>30</v>
      </c>
      <c r="B1311" s="2">
        <v>0</v>
      </c>
      <c r="C1311" s="2">
        <v>4</v>
      </c>
      <c r="D1311" s="2">
        <v>10</v>
      </c>
      <c r="E1311" s="2">
        <v>4</v>
      </c>
      <c r="F1311" s="1">
        <v>32.5594039</v>
      </c>
      <c r="G1311" s="2">
        <v>59</v>
      </c>
      <c r="H1311" s="2">
        <v>14</v>
      </c>
      <c r="I1311" s="2">
        <v>51</v>
      </c>
      <c r="J1311" s="2">
        <v>2</v>
      </c>
      <c r="K1311" s="2">
        <v>0</v>
      </c>
      <c r="L131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11" s="2" t="str">
        <f>IF(Table1[[#This Row],[Experience Years]]&lt;=2,"Entry Level",IF(Table1[[#This Row],[Experience Years]]&lt;=7,"Mid Level",IF(Table1[[#This Row],[Experience Years]]&lt;=15,"Senior Level")))</f>
        <v>Senior Level</v>
      </c>
      <c r="N1311" s="1">
        <f>AVERAGE(Table1[[#This Row],[Interview Score]:[Personality Score]])</f>
        <v>41.333333333333336</v>
      </c>
      <c r="O13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11" s="2" t="str">
        <f t="shared" si="20"/>
        <v>30-40</v>
      </c>
    </row>
    <row r="1312" spans="1:16" x14ac:dyDescent="0.25">
      <c r="A1312">
        <v>23</v>
      </c>
      <c r="B1312" s="2">
        <v>0</v>
      </c>
      <c r="C1312" s="2">
        <v>2</v>
      </c>
      <c r="D1312" s="2">
        <v>14</v>
      </c>
      <c r="E1312" s="2">
        <v>5</v>
      </c>
      <c r="F1312" s="1">
        <v>9.1808244370000001</v>
      </c>
      <c r="G1312" s="2">
        <v>35</v>
      </c>
      <c r="H1312" s="2">
        <v>68</v>
      </c>
      <c r="I1312" s="2">
        <v>47</v>
      </c>
      <c r="J1312" s="2">
        <v>2</v>
      </c>
      <c r="K1312" s="2">
        <v>0</v>
      </c>
      <c r="L131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12" s="2" t="str">
        <f>IF(Table1[[#This Row],[Experience Years]]&lt;=2,"Entry Level",IF(Table1[[#This Row],[Experience Years]]&lt;=7,"Mid Level",IF(Table1[[#This Row],[Experience Years]]&lt;=15,"Senior Level")))</f>
        <v>Senior Level</v>
      </c>
      <c r="N1312" s="1">
        <f>AVERAGE(Table1[[#This Row],[Interview Score]:[Personality Score]])</f>
        <v>50</v>
      </c>
      <c r="O13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12" s="2" t="str">
        <f t="shared" si="20"/>
        <v>0-10</v>
      </c>
    </row>
    <row r="1313" spans="1:16" x14ac:dyDescent="0.25">
      <c r="A1313">
        <v>34</v>
      </c>
      <c r="B1313" s="2">
        <v>1</v>
      </c>
      <c r="C1313" s="2">
        <v>2</v>
      </c>
      <c r="D1313" s="2">
        <v>0</v>
      </c>
      <c r="E1313" s="2">
        <v>3</v>
      </c>
      <c r="F1313" s="1">
        <v>29.280176390000001</v>
      </c>
      <c r="G1313" s="2">
        <v>60</v>
      </c>
      <c r="H1313" s="2">
        <v>2</v>
      </c>
      <c r="I1313" s="2">
        <v>66</v>
      </c>
      <c r="J1313" s="2">
        <v>2</v>
      </c>
      <c r="K1313" s="2">
        <v>0</v>
      </c>
      <c r="L131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13" t="str">
        <f>IF(Table1[[#This Row],[Experience Years]]&lt;=2,"Entry Level",IF(Table1[[#This Row],[Experience Years]]&lt;=7,"Mid Level",IF(Table1[[#This Row],[Experience Years]]&lt;=15,"Senior Level")))</f>
        <v>Entry Level</v>
      </c>
      <c r="N1313" s="1">
        <f>AVERAGE(Table1[[#This Row],[Interview Score]:[Personality Score]])</f>
        <v>42.666666666666664</v>
      </c>
      <c r="O13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13" s="2" t="str">
        <f t="shared" si="20"/>
        <v>20-30</v>
      </c>
    </row>
    <row r="1314" spans="1:16" x14ac:dyDescent="0.25">
      <c r="A1314">
        <v>25</v>
      </c>
      <c r="B1314" s="2">
        <v>0</v>
      </c>
      <c r="C1314" s="2">
        <v>2</v>
      </c>
      <c r="D1314" s="2">
        <v>0</v>
      </c>
      <c r="E1314" s="2">
        <v>1</v>
      </c>
      <c r="F1314" s="1">
        <v>26.195651269999999</v>
      </c>
      <c r="G1314" s="2">
        <v>16</v>
      </c>
      <c r="H1314" s="2">
        <v>36</v>
      </c>
      <c r="I1314" s="2">
        <v>45</v>
      </c>
      <c r="J1314" s="2">
        <v>2</v>
      </c>
      <c r="K1314" s="2">
        <v>0</v>
      </c>
      <c r="L131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14" s="2" t="str">
        <f>IF(Table1[[#This Row],[Experience Years]]&lt;=2,"Entry Level",IF(Table1[[#This Row],[Experience Years]]&lt;=7,"Mid Level",IF(Table1[[#This Row],[Experience Years]]&lt;=15,"Senior Level")))</f>
        <v>Entry Level</v>
      </c>
      <c r="N1314" s="1">
        <f>AVERAGE(Table1[[#This Row],[Interview Score]:[Personality Score]])</f>
        <v>32.333333333333336</v>
      </c>
      <c r="O13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14" s="2" t="str">
        <f t="shared" si="20"/>
        <v>20-30</v>
      </c>
    </row>
    <row r="1315" spans="1:16" x14ac:dyDescent="0.25">
      <c r="A1315">
        <v>41</v>
      </c>
      <c r="B1315" s="2">
        <v>1</v>
      </c>
      <c r="C1315" s="2">
        <v>2</v>
      </c>
      <c r="D1315" s="2">
        <v>15</v>
      </c>
      <c r="E1315" s="2">
        <v>5</v>
      </c>
      <c r="F1315" s="1">
        <v>1.6756821150000001</v>
      </c>
      <c r="G1315" s="2">
        <v>48</v>
      </c>
      <c r="H1315" s="2">
        <v>36</v>
      </c>
      <c r="I1315" s="2">
        <v>96</v>
      </c>
      <c r="J1315" s="2">
        <v>2</v>
      </c>
      <c r="K1315" s="2">
        <v>0</v>
      </c>
      <c r="L131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15" t="str">
        <f>IF(Table1[[#This Row],[Experience Years]]&lt;=2,"Entry Level",IF(Table1[[#This Row],[Experience Years]]&lt;=7,"Mid Level",IF(Table1[[#This Row],[Experience Years]]&lt;=15,"Senior Level")))</f>
        <v>Senior Level</v>
      </c>
      <c r="N1315" s="1">
        <f>AVERAGE(Table1[[#This Row],[Interview Score]:[Personality Score]])</f>
        <v>60</v>
      </c>
      <c r="O13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15" s="2" t="str">
        <f t="shared" si="20"/>
        <v>0-10</v>
      </c>
    </row>
    <row r="1316" spans="1:16" x14ac:dyDescent="0.25">
      <c r="A1316">
        <v>36</v>
      </c>
      <c r="B1316" s="2">
        <v>1</v>
      </c>
      <c r="C1316" s="2">
        <v>1</v>
      </c>
      <c r="D1316" s="2">
        <v>9</v>
      </c>
      <c r="E1316" s="2">
        <v>5</v>
      </c>
      <c r="F1316" s="1">
        <v>19.14329085</v>
      </c>
      <c r="G1316" s="2">
        <v>75</v>
      </c>
      <c r="H1316" s="2">
        <v>100</v>
      </c>
      <c r="I1316" s="2">
        <v>73</v>
      </c>
      <c r="J1316" s="2">
        <v>2</v>
      </c>
      <c r="K1316" s="2">
        <v>1</v>
      </c>
      <c r="L131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16" t="str">
        <f>IF(Table1[[#This Row],[Experience Years]]&lt;=2,"Entry Level",IF(Table1[[#This Row],[Experience Years]]&lt;=7,"Mid Level",IF(Table1[[#This Row],[Experience Years]]&lt;=15,"Senior Level")))</f>
        <v>Senior Level</v>
      </c>
      <c r="N1316" s="1">
        <f>AVERAGE(Table1[[#This Row],[Interview Score]:[Personality Score]])</f>
        <v>82.666666666666671</v>
      </c>
      <c r="O13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316" s="2" t="str">
        <f t="shared" si="20"/>
        <v>10-20</v>
      </c>
    </row>
    <row r="1317" spans="1:16" x14ac:dyDescent="0.25">
      <c r="A1317">
        <v>49</v>
      </c>
      <c r="B1317" s="2">
        <v>1</v>
      </c>
      <c r="C1317" s="2">
        <v>1</v>
      </c>
      <c r="D1317" s="2">
        <v>12</v>
      </c>
      <c r="E1317" s="2">
        <v>2</v>
      </c>
      <c r="F1317" s="1">
        <v>31.054558369999999</v>
      </c>
      <c r="G1317" s="2">
        <v>59</v>
      </c>
      <c r="H1317" s="2">
        <v>2</v>
      </c>
      <c r="I1317" s="2">
        <v>94</v>
      </c>
      <c r="J1317" s="2">
        <v>3</v>
      </c>
      <c r="K1317" s="2">
        <v>0</v>
      </c>
      <c r="L131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17" t="str">
        <f>IF(Table1[[#This Row],[Experience Years]]&lt;=2,"Entry Level",IF(Table1[[#This Row],[Experience Years]]&lt;=7,"Mid Level",IF(Table1[[#This Row],[Experience Years]]&lt;=15,"Senior Level")))</f>
        <v>Senior Level</v>
      </c>
      <c r="N1317" s="1">
        <f>AVERAGE(Table1[[#This Row],[Interview Score]:[Personality Score]])</f>
        <v>51.666666666666664</v>
      </c>
      <c r="O13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17" s="2" t="str">
        <f t="shared" si="20"/>
        <v>30-40</v>
      </c>
    </row>
    <row r="1318" spans="1:16" x14ac:dyDescent="0.25">
      <c r="A1318">
        <v>43</v>
      </c>
      <c r="B1318" s="2">
        <v>0</v>
      </c>
      <c r="C1318" s="2">
        <v>1</v>
      </c>
      <c r="D1318" s="2">
        <v>4</v>
      </c>
      <c r="E1318" s="2">
        <v>2</v>
      </c>
      <c r="F1318" s="1">
        <v>43.430327589999997</v>
      </c>
      <c r="G1318" s="2">
        <v>19</v>
      </c>
      <c r="H1318" s="2">
        <v>62</v>
      </c>
      <c r="I1318" s="2">
        <v>14</v>
      </c>
      <c r="J1318" s="2">
        <v>2</v>
      </c>
      <c r="K1318" s="2">
        <v>0</v>
      </c>
      <c r="L131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18" s="2" t="str">
        <f>IF(Table1[[#This Row],[Experience Years]]&lt;=2,"Entry Level",IF(Table1[[#This Row],[Experience Years]]&lt;=7,"Mid Level",IF(Table1[[#This Row],[Experience Years]]&lt;=15,"Senior Level")))</f>
        <v>Mid Level</v>
      </c>
      <c r="N1318" s="1">
        <f>AVERAGE(Table1[[#This Row],[Interview Score]:[Personality Score]])</f>
        <v>31.666666666666668</v>
      </c>
      <c r="O13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18" s="2" t="str">
        <f t="shared" si="20"/>
        <v>40-50</v>
      </c>
    </row>
    <row r="1319" spans="1:16" x14ac:dyDescent="0.25">
      <c r="A1319">
        <v>25</v>
      </c>
      <c r="B1319" s="2">
        <v>1</v>
      </c>
      <c r="C1319" s="2">
        <v>2</v>
      </c>
      <c r="D1319" s="2">
        <v>4</v>
      </c>
      <c r="E1319" s="2">
        <v>1</v>
      </c>
      <c r="F1319" s="1">
        <v>45.43210569</v>
      </c>
      <c r="G1319" s="2">
        <v>49</v>
      </c>
      <c r="H1319" s="2">
        <v>34</v>
      </c>
      <c r="I1319" s="2">
        <v>70</v>
      </c>
      <c r="J1319" s="2">
        <v>3</v>
      </c>
      <c r="K1319" s="2">
        <v>0</v>
      </c>
      <c r="L131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19" t="str">
        <f>IF(Table1[[#This Row],[Experience Years]]&lt;=2,"Entry Level",IF(Table1[[#This Row],[Experience Years]]&lt;=7,"Mid Level",IF(Table1[[#This Row],[Experience Years]]&lt;=15,"Senior Level")))</f>
        <v>Mid Level</v>
      </c>
      <c r="N1319" s="1">
        <f>AVERAGE(Table1[[#This Row],[Interview Score]:[Personality Score]])</f>
        <v>51</v>
      </c>
      <c r="O13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19" s="2" t="str">
        <f t="shared" si="20"/>
        <v>40-50</v>
      </c>
    </row>
    <row r="1320" spans="1:16" x14ac:dyDescent="0.25">
      <c r="A1320">
        <v>38</v>
      </c>
      <c r="B1320" s="2">
        <v>1</v>
      </c>
      <c r="C1320" s="2">
        <v>2</v>
      </c>
      <c r="D1320" s="2">
        <v>7</v>
      </c>
      <c r="E1320" s="2">
        <v>5</v>
      </c>
      <c r="F1320" s="1">
        <v>25.192498499999999</v>
      </c>
      <c r="G1320" s="2">
        <v>2</v>
      </c>
      <c r="H1320" s="2">
        <v>51</v>
      </c>
      <c r="I1320" s="2">
        <v>35</v>
      </c>
      <c r="J1320" s="2">
        <v>2</v>
      </c>
      <c r="K1320" s="2">
        <v>0</v>
      </c>
      <c r="L132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20" t="str">
        <f>IF(Table1[[#This Row],[Experience Years]]&lt;=2,"Entry Level",IF(Table1[[#This Row],[Experience Years]]&lt;=7,"Mid Level",IF(Table1[[#This Row],[Experience Years]]&lt;=15,"Senior Level")))</f>
        <v>Mid Level</v>
      </c>
      <c r="N1320" s="1">
        <f>AVERAGE(Table1[[#This Row],[Interview Score]:[Personality Score]])</f>
        <v>29.333333333333332</v>
      </c>
      <c r="O13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20" s="2" t="str">
        <f t="shared" si="20"/>
        <v>20-30</v>
      </c>
    </row>
    <row r="1321" spans="1:16" x14ac:dyDescent="0.25">
      <c r="A1321">
        <v>49</v>
      </c>
      <c r="B1321" s="2">
        <v>0</v>
      </c>
      <c r="C1321" s="2">
        <v>2</v>
      </c>
      <c r="D1321" s="2">
        <v>6</v>
      </c>
      <c r="E1321" s="2">
        <v>2</v>
      </c>
      <c r="F1321" s="1">
        <v>37.42112436</v>
      </c>
      <c r="G1321" s="2">
        <v>42</v>
      </c>
      <c r="H1321" s="2">
        <v>86</v>
      </c>
      <c r="I1321" s="2">
        <v>13</v>
      </c>
      <c r="J1321" s="2">
        <v>2</v>
      </c>
      <c r="K1321" s="2">
        <v>0</v>
      </c>
      <c r="L132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21" s="2" t="str">
        <f>IF(Table1[[#This Row],[Experience Years]]&lt;=2,"Entry Level",IF(Table1[[#This Row],[Experience Years]]&lt;=7,"Mid Level",IF(Table1[[#This Row],[Experience Years]]&lt;=15,"Senior Level")))</f>
        <v>Mid Level</v>
      </c>
      <c r="N1321" s="1">
        <f>AVERAGE(Table1[[#This Row],[Interview Score]:[Personality Score]])</f>
        <v>47</v>
      </c>
      <c r="O13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21" s="2" t="str">
        <f t="shared" si="20"/>
        <v>30-40</v>
      </c>
    </row>
    <row r="1322" spans="1:16" x14ac:dyDescent="0.25">
      <c r="A1322">
        <v>44</v>
      </c>
      <c r="B1322" s="2">
        <v>1</v>
      </c>
      <c r="C1322" s="2">
        <v>4</v>
      </c>
      <c r="D1322" s="2">
        <v>7</v>
      </c>
      <c r="E1322" s="2">
        <v>3</v>
      </c>
      <c r="F1322" s="1">
        <v>16.822728829999999</v>
      </c>
      <c r="G1322" s="2">
        <v>56</v>
      </c>
      <c r="H1322" s="2">
        <v>27</v>
      </c>
      <c r="I1322" s="2">
        <v>77</v>
      </c>
      <c r="J1322" s="2">
        <v>1</v>
      </c>
      <c r="K1322" s="2">
        <v>1</v>
      </c>
      <c r="L132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22" t="str">
        <f>IF(Table1[[#This Row],[Experience Years]]&lt;=2,"Entry Level",IF(Table1[[#This Row],[Experience Years]]&lt;=7,"Mid Level",IF(Table1[[#This Row],[Experience Years]]&lt;=15,"Senior Level")))</f>
        <v>Mid Level</v>
      </c>
      <c r="N1322" s="1">
        <f>AVERAGE(Table1[[#This Row],[Interview Score]:[Personality Score]])</f>
        <v>53.333333333333336</v>
      </c>
      <c r="O13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22" s="2" t="str">
        <f t="shared" si="20"/>
        <v>10-20</v>
      </c>
    </row>
    <row r="1323" spans="1:16" x14ac:dyDescent="0.25">
      <c r="A1323">
        <v>21</v>
      </c>
      <c r="B1323" s="2">
        <v>1</v>
      </c>
      <c r="C1323" s="2">
        <v>2</v>
      </c>
      <c r="D1323" s="2">
        <v>5</v>
      </c>
      <c r="E1323" s="2">
        <v>3</v>
      </c>
      <c r="F1323" s="1">
        <v>18.109320289999999</v>
      </c>
      <c r="G1323" s="2">
        <v>49</v>
      </c>
      <c r="H1323" s="2">
        <v>93</v>
      </c>
      <c r="I1323" s="2">
        <v>2</v>
      </c>
      <c r="J1323" s="2">
        <v>2</v>
      </c>
      <c r="K1323" s="2">
        <v>0</v>
      </c>
      <c r="L132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23" t="str">
        <f>IF(Table1[[#This Row],[Experience Years]]&lt;=2,"Entry Level",IF(Table1[[#This Row],[Experience Years]]&lt;=7,"Mid Level",IF(Table1[[#This Row],[Experience Years]]&lt;=15,"Senior Level")))</f>
        <v>Mid Level</v>
      </c>
      <c r="N1323" s="1">
        <f>AVERAGE(Table1[[#This Row],[Interview Score]:[Personality Score]])</f>
        <v>48</v>
      </c>
      <c r="O13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23" s="2" t="str">
        <f t="shared" si="20"/>
        <v>10-20</v>
      </c>
    </row>
    <row r="1324" spans="1:16" x14ac:dyDescent="0.25">
      <c r="A1324">
        <v>34</v>
      </c>
      <c r="B1324" s="2">
        <v>1</v>
      </c>
      <c r="C1324" s="2">
        <v>2</v>
      </c>
      <c r="D1324" s="2">
        <v>5</v>
      </c>
      <c r="E1324" s="2">
        <v>5</v>
      </c>
      <c r="F1324" s="1">
        <v>10.723175960000001</v>
      </c>
      <c r="G1324" s="2">
        <v>67</v>
      </c>
      <c r="H1324" s="2">
        <v>17</v>
      </c>
      <c r="I1324" s="2">
        <v>66</v>
      </c>
      <c r="J1324" s="2">
        <v>2</v>
      </c>
      <c r="K1324" s="2">
        <v>0</v>
      </c>
      <c r="L132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24" t="str">
        <f>IF(Table1[[#This Row],[Experience Years]]&lt;=2,"Entry Level",IF(Table1[[#This Row],[Experience Years]]&lt;=7,"Mid Level",IF(Table1[[#This Row],[Experience Years]]&lt;=15,"Senior Level")))</f>
        <v>Mid Level</v>
      </c>
      <c r="N1324" s="1">
        <f>AVERAGE(Table1[[#This Row],[Interview Score]:[Personality Score]])</f>
        <v>50</v>
      </c>
      <c r="O13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24" s="2" t="str">
        <f t="shared" si="20"/>
        <v>10-20</v>
      </c>
    </row>
    <row r="1325" spans="1:16" x14ac:dyDescent="0.25">
      <c r="A1325">
        <v>30</v>
      </c>
      <c r="B1325" s="2">
        <v>1</v>
      </c>
      <c r="C1325" s="2">
        <v>2</v>
      </c>
      <c r="D1325" s="2">
        <v>1</v>
      </c>
      <c r="E1325" s="2">
        <v>2</v>
      </c>
      <c r="F1325" s="1">
        <v>29.097405500000001</v>
      </c>
      <c r="G1325" s="2">
        <v>80</v>
      </c>
      <c r="H1325" s="2">
        <v>35</v>
      </c>
      <c r="I1325" s="2">
        <v>85</v>
      </c>
      <c r="J1325" s="2">
        <v>1</v>
      </c>
      <c r="K1325" s="2">
        <v>1</v>
      </c>
      <c r="L132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25" t="str">
        <f>IF(Table1[[#This Row],[Experience Years]]&lt;=2,"Entry Level",IF(Table1[[#This Row],[Experience Years]]&lt;=7,"Mid Level",IF(Table1[[#This Row],[Experience Years]]&lt;=15,"Senior Level")))</f>
        <v>Entry Level</v>
      </c>
      <c r="N1325" s="1">
        <f>AVERAGE(Table1[[#This Row],[Interview Score]:[Personality Score]])</f>
        <v>66.666666666666671</v>
      </c>
      <c r="O13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25" s="2" t="str">
        <f t="shared" si="20"/>
        <v>20-30</v>
      </c>
    </row>
    <row r="1326" spans="1:16" x14ac:dyDescent="0.25">
      <c r="A1326">
        <v>27</v>
      </c>
      <c r="B1326" s="2">
        <v>1</v>
      </c>
      <c r="C1326" s="2">
        <v>3</v>
      </c>
      <c r="D1326" s="2">
        <v>5</v>
      </c>
      <c r="E1326" s="2">
        <v>1</v>
      </c>
      <c r="F1326" s="1">
        <v>16.72820755</v>
      </c>
      <c r="G1326" s="2">
        <v>49</v>
      </c>
      <c r="H1326" s="2">
        <v>32</v>
      </c>
      <c r="I1326" s="2">
        <v>18</v>
      </c>
      <c r="J1326" s="2">
        <v>2</v>
      </c>
      <c r="K1326" s="2">
        <v>0</v>
      </c>
      <c r="L132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26" t="str">
        <f>IF(Table1[[#This Row],[Experience Years]]&lt;=2,"Entry Level",IF(Table1[[#This Row],[Experience Years]]&lt;=7,"Mid Level",IF(Table1[[#This Row],[Experience Years]]&lt;=15,"Senior Level")))</f>
        <v>Mid Level</v>
      </c>
      <c r="N1326" s="1">
        <f>AVERAGE(Table1[[#This Row],[Interview Score]:[Personality Score]])</f>
        <v>33</v>
      </c>
      <c r="O13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26" s="2" t="str">
        <f t="shared" si="20"/>
        <v>10-20</v>
      </c>
    </row>
    <row r="1327" spans="1:16" x14ac:dyDescent="0.25">
      <c r="A1327">
        <v>45</v>
      </c>
      <c r="B1327" s="2">
        <v>0</v>
      </c>
      <c r="C1327" s="2">
        <v>4</v>
      </c>
      <c r="D1327" s="2">
        <v>4</v>
      </c>
      <c r="E1327" s="2">
        <v>1</v>
      </c>
      <c r="F1327" s="1">
        <v>5.2185448220000001</v>
      </c>
      <c r="G1327" s="2">
        <v>36</v>
      </c>
      <c r="H1327" s="2">
        <v>63</v>
      </c>
      <c r="I1327" s="2">
        <v>98</v>
      </c>
      <c r="J1327" s="2">
        <v>1</v>
      </c>
      <c r="K1327" s="2">
        <v>1</v>
      </c>
      <c r="L132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27" s="2" t="str">
        <f>IF(Table1[[#This Row],[Experience Years]]&lt;=2,"Entry Level",IF(Table1[[#This Row],[Experience Years]]&lt;=7,"Mid Level",IF(Table1[[#This Row],[Experience Years]]&lt;=15,"Senior Level")))</f>
        <v>Mid Level</v>
      </c>
      <c r="N1327" s="1">
        <f>AVERAGE(Table1[[#This Row],[Interview Score]:[Personality Score]])</f>
        <v>65.666666666666671</v>
      </c>
      <c r="O13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27" s="2" t="str">
        <f t="shared" si="20"/>
        <v>0-10</v>
      </c>
    </row>
    <row r="1328" spans="1:16" x14ac:dyDescent="0.25">
      <c r="A1328">
        <v>38</v>
      </c>
      <c r="B1328" s="2">
        <v>1</v>
      </c>
      <c r="C1328" s="2">
        <v>3</v>
      </c>
      <c r="D1328" s="2">
        <v>12</v>
      </c>
      <c r="E1328" s="2">
        <v>1</v>
      </c>
      <c r="F1328" s="1">
        <v>35.250304329999999</v>
      </c>
      <c r="G1328" s="2">
        <v>45</v>
      </c>
      <c r="H1328" s="2">
        <v>25</v>
      </c>
      <c r="I1328" s="2">
        <v>75</v>
      </c>
      <c r="J1328" s="2">
        <v>2</v>
      </c>
      <c r="K1328" s="2">
        <v>0</v>
      </c>
      <c r="L132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28" t="str">
        <f>IF(Table1[[#This Row],[Experience Years]]&lt;=2,"Entry Level",IF(Table1[[#This Row],[Experience Years]]&lt;=7,"Mid Level",IF(Table1[[#This Row],[Experience Years]]&lt;=15,"Senior Level")))</f>
        <v>Senior Level</v>
      </c>
      <c r="N1328" s="1">
        <f>AVERAGE(Table1[[#This Row],[Interview Score]:[Personality Score]])</f>
        <v>48.333333333333336</v>
      </c>
      <c r="O13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28" s="2" t="str">
        <f t="shared" si="20"/>
        <v>30-40</v>
      </c>
    </row>
    <row r="1329" spans="1:16" x14ac:dyDescent="0.25">
      <c r="A1329">
        <v>32</v>
      </c>
      <c r="B1329" s="2">
        <v>1</v>
      </c>
      <c r="C1329" s="2">
        <v>4</v>
      </c>
      <c r="D1329" s="2">
        <v>15</v>
      </c>
      <c r="E1329" s="2">
        <v>3</v>
      </c>
      <c r="F1329" s="1">
        <v>36.38766038</v>
      </c>
      <c r="G1329" s="2">
        <v>41</v>
      </c>
      <c r="H1329" s="2">
        <v>47</v>
      </c>
      <c r="I1329" s="2">
        <v>53</v>
      </c>
      <c r="J1329" s="2">
        <v>2</v>
      </c>
      <c r="K1329" s="2">
        <v>0</v>
      </c>
      <c r="L132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29" t="str">
        <f>IF(Table1[[#This Row],[Experience Years]]&lt;=2,"Entry Level",IF(Table1[[#This Row],[Experience Years]]&lt;=7,"Mid Level",IF(Table1[[#This Row],[Experience Years]]&lt;=15,"Senior Level")))</f>
        <v>Senior Level</v>
      </c>
      <c r="N1329" s="1">
        <f>AVERAGE(Table1[[#This Row],[Interview Score]:[Personality Score]])</f>
        <v>47</v>
      </c>
      <c r="O13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29" s="2" t="str">
        <f t="shared" si="20"/>
        <v>30-40</v>
      </c>
    </row>
    <row r="1330" spans="1:16" x14ac:dyDescent="0.25">
      <c r="A1330">
        <v>31</v>
      </c>
      <c r="B1330" s="2">
        <v>0</v>
      </c>
      <c r="C1330" s="2">
        <v>1</v>
      </c>
      <c r="D1330" s="2">
        <v>2</v>
      </c>
      <c r="E1330" s="2">
        <v>2</v>
      </c>
      <c r="F1330" s="1">
        <v>18.99962094</v>
      </c>
      <c r="G1330" s="2">
        <v>14</v>
      </c>
      <c r="H1330" s="2">
        <v>39</v>
      </c>
      <c r="I1330" s="2">
        <v>68</v>
      </c>
      <c r="J1330" s="2">
        <v>2</v>
      </c>
      <c r="K1330" s="2">
        <v>0</v>
      </c>
      <c r="L133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30" s="2" t="str">
        <f>IF(Table1[[#This Row],[Experience Years]]&lt;=2,"Entry Level",IF(Table1[[#This Row],[Experience Years]]&lt;=7,"Mid Level",IF(Table1[[#This Row],[Experience Years]]&lt;=15,"Senior Level")))</f>
        <v>Entry Level</v>
      </c>
      <c r="N1330" s="1">
        <f>AVERAGE(Table1[[#This Row],[Interview Score]:[Personality Score]])</f>
        <v>40.333333333333336</v>
      </c>
      <c r="O13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30" s="2" t="str">
        <f t="shared" si="20"/>
        <v>10-20</v>
      </c>
    </row>
    <row r="1331" spans="1:16" x14ac:dyDescent="0.25">
      <c r="A1331">
        <v>24</v>
      </c>
      <c r="B1331" s="2">
        <v>0</v>
      </c>
      <c r="C1331" s="2">
        <v>3</v>
      </c>
      <c r="D1331" s="2">
        <v>5</v>
      </c>
      <c r="E1331" s="2">
        <v>2</v>
      </c>
      <c r="F1331" s="1">
        <v>4.8361699729999996</v>
      </c>
      <c r="G1331" s="2">
        <v>32</v>
      </c>
      <c r="H1331" s="2">
        <v>16</v>
      </c>
      <c r="I1331" s="2">
        <v>9</v>
      </c>
      <c r="J1331" s="2">
        <v>3</v>
      </c>
      <c r="K1331" s="2">
        <v>0</v>
      </c>
      <c r="L133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31" s="2" t="str">
        <f>IF(Table1[[#This Row],[Experience Years]]&lt;=2,"Entry Level",IF(Table1[[#This Row],[Experience Years]]&lt;=7,"Mid Level",IF(Table1[[#This Row],[Experience Years]]&lt;=15,"Senior Level")))</f>
        <v>Mid Level</v>
      </c>
      <c r="N1331" s="1">
        <f>AVERAGE(Table1[[#This Row],[Interview Score]:[Personality Score]])</f>
        <v>19</v>
      </c>
      <c r="O13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31" s="2" t="str">
        <f t="shared" si="20"/>
        <v>0-10</v>
      </c>
    </row>
    <row r="1332" spans="1:16" x14ac:dyDescent="0.25">
      <c r="A1332">
        <v>25</v>
      </c>
      <c r="B1332" s="2">
        <v>0</v>
      </c>
      <c r="C1332" s="2">
        <v>3</v>
      </c>
      <c r="D1332" s="2">
        <v>7</v>
      </c>
      <c r="E1332" s="2">
        <v>3</v>
      </c>
      <c r="F1332" s="1">
        <v>22.314885870000001</v>
      </c>
      <c r="G1332" s="2">
        <v>79</v>
      </c>
      <c r="H1332" s="2">
        <v>39</v>
      </c>
      <c r="I1332" s="2">
        <v>32</v>
      </c>
      <c r="J1332" s="2">
        <v>2</v>
      </c>
      <c r="K1332" s="2">
        <v>0</v>
      </c>
      <c r="L133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32" s="2" t="str">
        <f>IF(Table1[[#This Row],[Experience Years]]&lt;=2,"Entry Level",IF(Table1[[#This Row],[Experience Years]]&lt;=7,"Mid Level",IF(Table1[[#This Row],[Experience Years]]&lt;=15,"Senior Level")))</f>
        <v>Mid Level</v>
      </c>
      <c r="N1332" s="1">
        <f>AVERAGE(Table1[[#This Row],[Interview Score]:[Personality Score]])</f>
        <v>50</v>
      </c>
      <c r="O13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32" s="2" t="str">
        <f t="shared" si="20"/>
        <v>20-30</v>
      </c>
    </row>
    <row r="1333" spans="1:16" x14ac:dyDescent="0.25">
      <c r="A1333">
        <v>45</v>
      </c>
      <c r="B1333" s="2">
        <v>1</v>
      </c>
      <c r="C1333" s="2">
        <v>2</v>
      </c>
      <c r="D1333" s="2">
        <v>8</v>
      </c>
      <c r="E1333" s="2">
        <v>1</v>
      </c>
      <c r="F1333" s="1">
        <v>23.116772900000001</v>
      </c>
      <c r="G1333" s="2">
        <v>10</v>
      </c>
      <c r="H1333" s="2">
        <v>6</v>
      </c>
      <c r="I1333" s="2">
        <v>12</v>
      </c>
      <c r="J1333" s="2">
        <v>2</v>
      </c>
      <c r="K1333" s="2">
        <v>0</v>
      </c>
      <c r="L133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33" t="str">
        <f>IF(Table1[[#This Row],[Experience Years]]&lt;=2,"Entry Level",IF(Table1[[#This Row],[Experience Years]]&lt;=7,"Mid Level",IF(Table1[[#This Row],[Experience Years]]&lt;=15,"Senior Level")))</f>
        <v>Senior Level</v>
      </c>
      <c r="N1333" s="1">
        <f>AVERAGE(Table1[[#This Row],[Interview Score]:[Personality Score]])</f>
        <v>9.3333333333333339</v>
      </c>
      <c r="O13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33" s="2" t="str">
        <f t="shared" si="20"/>
        <v>20-30</v>
      </c>
    </row>
    <row r="1334" spans="1:16" x14ac:dyDescent="0.25">
      <c r="A1334">
        <v>41</v>
      </c>
      <c r="B1334" s="2">
        <v>0</v>
      </c>
      <c r="C1334" s="2">
        <v>4</v>
      </c>
      <c r="D1334" s="2">
        <v>0</v>
      </c>
      <c r="E1334" s="2">
        <v>1</v>
      </c>
      <c r="F1334" s="1">
        <v>34.433544240000003</v>
      </c>
      <c r="G1334" s="2">
        <v>19</v>
      </c>
      <c r="H1334" s="2">
        <v>56</v>
      </c>
      <c r="I1334" s="2">
        <v>98</v>
      </c>
      <c r="J1334" s="2">
        <v>2</v>
      </c>
      <c r="K1334" s="2">
        <v>0</v>
      </c>
      <c r="L133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34" s="2" t="str">
        <f>IF(Table1[[#This Row],[Experience Years]]&lt;=2,"Entry Level",IF(Table1[[#This Row],[Experience Years]]&lt;=7,"Mid Level",IF(Table1[[#This Row],[Experience Years]]&lt;=15,"Senior Level")))</f>
        <v>Entry Level</v>
      </c>
      <c r="N1334" s="1">
        <f>AVERAGE(Table1[[#This Row],[Interview Score]:[Personality Score]])</f>
        <v>57.666666666666664</v>
      </c>
      <c r="O13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34" s="2" t="str">
        <f t="shared" si="20"/>
        <v>30-40</v>
      </c>
    </row>
    <row r="1335" spans="1:16" x14ac:dyDescent="0.25">
      <c r="A1335">
        <v>23</v>
      </c>
      <c r="B1335" s="2">
        <v>1</v>
      </c>
      <c r="C1335" s="2">
        <v>1</v>
      </c>
      <c r="D1335" s="2">
        <v>2</v>
      </c>
      <c r="E1335" s="2">
        <v>5</v>
      </c>
      <c r="F1335" s="1">
        <v>16.77081956</v>
      </c>
      <c r="G1335" s="2">
        <v>23</v>
      </c>
      <c r="H1335" s="2">
        <v>7</v>
      </c>
      <c r="I1335" s="2">
        <v>50</v>
      </c>
      <c r="J1335" s="2">
        <v>3</v>
      </c>
      <c r="K1335" s="2">
        <v>0</v>
      </c>
      <c r="L133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35" t="str">
        <f>IF(Table1[[#This Row],[Experience Years]]&lt;=2,"Entry Level",IF(Table1[[#This Row],[Experience Years]]&lt;=7,"Mid Level",IF(Table1[[#This Row],[Experience Years]]&lt;=15,"Senior Level")))</f>
        <v>Entry Level</v>
      </c>
      <c r="N1335" s="1">
        <f>AVERAGE(Table1[[#This Row],[Interview Score]:[Personality Score]])</f>
        <v>26.666666666666668</v>
      </c>
      <c r="O13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35" s="2" t="str">
        <f t="shared" si="20"/>
        <v>10-20</v>
      </c>
    </row>
    <row r="1336" spans="1:16" x14ac:dyDescent="0.25">
      <c r="A1336">
        <v>38</v>
      </c>
      <c r="B1336" s="2">
        <v>1</v>
      </c>
      <c r="C1336" s="2">
        <v>2</v>
      </c>
      <c r="D1336" s="2">
        <v>2</v>
      </c>
      <c r="E1336" s="2">
        <v>4</v>
      </c>
      <c r="F1336" s="1">
        <v>35.12996399</v>
      </c>
      <c r="G1336" s="2">
        <v>63</v>
      </c>
      <c r="H1336" s="2">
        <v>55</v>
      </c>
      <c r="I1336" s="2">
        <v>31</v>
      </c>
      <c r="J1336" s="2">
        <v>2</v>
      </c>
      <c r="K1336" s="2">
        <v>0</v>
      </c>
      <c r="L1336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36" t="str">
        <f>IF(Table1[[#This Row],[Experience Years]]&lt;=2,"Entry Level",IF(Table1[[#This Row],[Experience Years]]&lt;=7,"Mid Level",IF(Table1[[#This Row],[Experience Years]]&lt;=15,"Senior Level")))</f>
        <v>Entry Level</v>
      </c>
      <c r="N1336" s="1">
        <f>AVERAGE(Table1[[#This Row],[Interview Score]:[Personality Score]])</f>
        <v>49.666666666666664</v>
      </c>
      <c r="O13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36" s="2" t="str">
        <f t="shared" si="20"/>
        <v>30-40</v>
      </c>
    </row>
    <row r="1337" spans="1:16" x14ac:dyDescent="0.25">
      <c r="A1337">
        <v>39</v>
      </c>
      <c r="B1337" s="2">
        <v>0</v>
      </c>
      <c r="C1337" s="2">
        <v>2</v>
      </c>
      <c r="D1337" s="2">
        <v>10</v>
      </c>
      <c r="E1337" s="2">
        <v>2</v>
      </c>
      <c r="F1337" s="1">
        <v>44.57442709</v>
      </c>
      <c r="G1337" s="2">
        <v>79</v>
      </c>
      <c r="H1337" s="2">
        <v>30</v>
      </c>
      <c r="I1337" s="2">
        <v>74</v>
      </c>
      <c r="J1337" s="2">
        <v>2</v>
      </c>
      <c r="K1337" s="2">
        <v>0</v>
      </c>
      <c r="L133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37" s="2" t="str">
        <f>IF(Table1[[#This Row],[Experience Years]]&lt;=2,"Entry Level",IF(Table1[[#This Row],[Experience Years]]&lt;=7,"Mid Level",IF(Table1[[#This Row],[Experience Years]]&lt;=15,"Senior Level")))</f>
        <v>Senior Level</v>
      </c>
      <c r="N1337" s="1">
        <f>AVERAGE(Table1[[#This Row],[Interview Score]:[Personality Score]])</f>
        <v>61</v>
      </c>
      <c r="O13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37" s="2" t="str">
        <f t="shared" si="20"/>
        <v>40-50</v>
      </c>
    </row>
    <row r="1338" spans="1:16" x14ac:dyDescent="0.25">
      <c r="A1338">
        <v>20</v>
      </c>
      <c r="B1338" s="2">
        <v>0</v>
      </c>
      <c r="C1338" s="2">
        <v>2</v>
      </c>
      <c r="D1338" s="2">
        <v>7</v>
      </c>
      <c r="E1338" s="2">
        <v>2</v>
      </c>
      <c r="F1338" s="1">
        <v>12.874302119999999</v>
      </c>
      <c r="G1338" s="2">
        <v>93</v>
      </c>
      <c r="H1338" s="2">
        <v>58</v>
      </c>
      <c r="I1338" s="2">
        <v>23</v>
      </c>
      <c r="J1338" s="2">
        <v>1</v>
      </c>
      <c r="K1338" s="2">
        <v>1</v>
      </c>
      <c r="L133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38" s="2" t="str">
        <f>IF(Table1[[#This Row],[Experience Years]]&lt;=2,"Entry Level",IF(Table1[[#This Row],[Experience Years]]&lt;=7,"Mid Level",IF(Table1[[#This Row],[Experience Years]]&lt;=15,"Senior Level")))</f>
        <v>Mid Level</v>
      </c>
      <c r="N1338" s="1">
        <f>AVERAGE(Table1[[#This Row],[Interview Score]:[Personality Score]])</f>
        <v>58</v>
      </c>
      <c r="O13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38" s="2" t="str">
        <f t="shared" si="20"/>
        <v>10-20</v>
      </c>
    </row>
    <row r="1339" spans="1:16" x14ac:dyDescent="0.25">
      <c r="A1339">
        <v>39</v>
      </c>
      <c r="B1339" s="2">
        <v>1</v>
      </c>
      <c r="C1339" s="2">
        <v>3</v>
      </c>
      <c r="D1339" s="2">
        <v>0</v>
      </c>
      <c r="E1339" s="2">
        <v>2</v>
      </c>
      <c r="F1339" s="1">
        <v>49.945977810000002</v>
      </c>
      <c r="G1339" s="2">
        <v>97</v>
      </c>
      <c r="H1339" s="2">
        <v>57</v>
      </c>
      <c r="I1339" s="2">
        <v>34</v>
      </c>
      <c r="J1339" s="2">
        <v>2</v>
      </c>
      <c r="K1339" s="2">
        <v>0</v>
      </c>
      <c r="L133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39" t="str">
        <f>IF(Table1[[#This Row],[Experience Years]]&lt;=2,"Entry Level",IF(Table1[[#This Row],[Experience Years]]&lt;=7,"Mid Level",IF(Table1[[#This Row],[Experience Years]]&lt;=15,"Senior Level")))</f>
        <v>Entry Level</v>
      </c>
      <c r="N1339" s="1">
        <f>AVERAGE(Table1[[#This Row],[Interview Score]:[Personality Score]])</f>
        <v>62.666666666666664</v>
      </c>
      <c r="O13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39" s="2" t="str">
        <f t="shared" si="20"/>
        <v>40-50</v>
      </c>
    </row>
    <row r="1340" spans="1:16" x14ac:dyDescent="0.25">
      <c r="A1340">
        <v>36</v>
      </c>
      <c r="B1340" s="2">
        <v>0</v>
      </c>
      <c r="C1340" s="2">
        <v>2</v>
      </c>
      <c r="D1340" s="2">
        <v>4</v>
      </c>
      <c r="E1340" s="2">
        <v>4</v>
      </c>
      <c r="F1340" s="1">
        <v>20.31840686</v>
      </c>
      <c r="G1340" s="2">
        <v>64</v>
      </c>
      <c r="H1340" s="2">
        <v>11</v>
      </c>
      <c r="I1340" s="2">
        <v>82</v>
      </c>
      <c r="J1340" s="2">
        <v>1</v>
      </c>
      <c r="K1340" s="2">
        <v>0</v>
      </c>
      <c r="L134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40" s="2" t="str">
        <f>IF(Table1[[#This Row],[Experience Years]]&lt;=2,"Entry Level",IF(Table1[[#This Row],[Experience Years]]&lt;=7,"Mid Level",IF(Table1[[#This Row],[Experience Years]]&lt;=15,"Senior Level")))</f>
        <v>Mid Level</v>
      </c>
      <c r="N1340" s="1">
        <f>AVERAGE(Table1[[#This Row],[Interview Score]:[Personality Score]])</f>
        <v>52.333333333333336</v>
      </c>
      <c r="O13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40" s="2" t="str">
        <f t="shared" si="20"/>
        <v>20-30</v>
      </c>
    </row>
    <row r="1341" spans="1:16" x14ac:dyDescent="0.25">
      <c r="A1341">
        <v>31</v>
      </c>
      <c r="B1341" s="2">
        <v>1</v>
      </c>
      <c r="C1341" s="2">
        <v>2</v>
      </c>
      <c r="D1341" s="2">
        <v>2</v>
      </c>
      <c r="E1341" s="2">
        <v>5</v>
      </c>
      <c r="F1341" s="1">
        <v>14.362934259999999</v>
      </c>
      <c r="G1341" s="2">
        <v>87</v>
      </c>
      <c r="H1341" s="2">
        <v>47</v>
      </c>
      <c r="I1341" s="2">
        <v>69</v>
      </c>
      <c r="J1341" s="2">
        <v>2</v>
      </c>
      <c r="K1341" s="2">
        <v>0</v>
      </c>
      <c r="L134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41" t="str">
        <f>IF(Table1[[#This Row],[Experience Years]]&lt;=2,"Entry Level",IF(Table1[[#This Row],[Experience Years]]&lt;=7,"Mid Level",IF(Table1[[#This Row],[Experience Years]]&lt;=15,"Senior Level")))</f>
        <v>Entry Level</v>
      </c>
      <c r="N1341" s="1">
        <f>AVERAGE(Table1[[#This Row],[Interview Score]:[Personality Score]])</f>
        <v>67.666666666666671</v>
      </c>
      <c r="O13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41" s="2" t="str">
        <f t="shared" si="20"/>
        <v>10-20</v>
      </c>
    </row>
    <row r="1342" spans="1:16" x14ac:dyDescent="0.25">
      <c r="A1342">
        <v>34</v>
      </c>
      <c r="B1342" s="2">
        <v>0</v>
      </c>
      <c r="C1342" s="2">
        <v>2</v>
      </c>
      <c r="D1342" s="2">
        <v>1</v>
      </c>
      <c r="E1342" s="2">
        <v>4</v>
      </c>
      <c r="F1342" s="1">
        <v>22.075559129999998</v>
      </c>
      <c r="G1342" s="2">
        <v>87</v>
      </c>
      <c r="H1342" s="2">
        <v>30</v>
      </c>
      <c r="I1342" s="2">
        <v>39</v>
      </c>
      <c r="J1342" s="2">
        <v>3</v>
      </c>
      <c r="K1342" s="2">
        <v>0</v>
      </c>
      <c r="L134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42" s="2" t="str">
        <f>IF(Table1[[#This Row],[Experience Years]]&lt;=2,"Entry Level",IF(Table1[[#This Row],[Experience Years]]&lt;=7,"Mid Level",IF(Table1[[#This Row],[Experience Years]]&lt;=15,"Senior Level")))</f>
        <v>Entry Level</v>
      </c>
      <c r="N1342" s="1">
        <f>AVERAGE(Table1[[#This Row],[Interview Score]:[Personality Score]])</f>
        <v>52</v>
      </c>
      <c r="O13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42" s="2" t="str">
        <f t="shared" si="20"/>
        <v>20-30</v>
      </c>
    </row>
    <row r="1343" spans="1:16" x14ac:dyDescent="0.25">
      <c r="A1343">
        <v>20</v>
      </c>
      <c r="B1343" s="2">
        <v>0</v>
      </c>
      <c r="C1343" s="2">
        <v>3</v>
      </c>
      <c r="D1343" s="2">
        <v>14</v>
      </c>
      <c r="E1343" s="2">
        <v>1</v>
      </c>
      <c r="F1343" s="1">
        <v>5.7198737949999998</v>
      </c>
      <c r="G1343" s="2">
        <v>72</v>
      </c>
      <c r="H1343" s="2">
        <v>82</v>
      </c>
      <c r="I1343" s="2">
        <v>53</v>
      </c>
      <c r="J1343" s="2">
        <v>2</v>
      </c>
      <c r="K1343" s="2">
        <v>1</v>
      </c>
      <c r="L134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43" s="2" t="str">
        <f>IF(Table1[[#This Row],[Experience Years]]&lt;=2,"Entry Level",IF(Table1[[#This Row],[Experience Years]]&lt;=7,"Mid Level",IF(Table1[[#This Row],[Experience Years]]&lt;=15,"Senior Level")))</f>
        <v>Senior Level</v>
      </c>
      <c r="N1343" s="1">
        <f>AVERAGE(Table1[[#This Row],[Interview Score]:[Personality Score]])</f>
        <v>69</v>
      </c>
      <c r="O13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43" s="2" t="str">
        <f t="shared" si="20"/>
        <v>0-10</v>
      </c>
    </row>
    <row r="1344" spans="1:16" x14ac:dyDescent="0.25">
      <c r="A1344">
        <v>45</v>
      </c>
      <c r="B1344" s="2">
        <v>0</v>
      </c>
      <c r="C1344" s="2">
        <v>1</v>
      </c>
      <c r="D1344" s="2">
        <v>7</v>
      </c>
      <c r="E1344" s="2">
        <v>1</v>
      </c>
      <c r="F1344" s="1">
        <v>7.285295326</v>
      </c>
      <c r="G1344" s="2">
        <v>85</v>
      </c>
      <c r="H1344" s="2">
        <v>62</v>
      </c>
      <c r="I1344" s="2">
        <v>43</v>
      </c>
      <c r="J1344" s="2">
        <v>2</v>
      </c>
      <c r="K1344" s="2">
        <v>0</v>
      </c>
      <c r="L134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44" s="2" t="str">
        <f>IF(Table1[[#This Row],[Experience Years]]&lt;=2,"Entry Level",IF(Table1[[#This Row],[Experience Years]]&lt;=7,"Mid Level",IF(Table1[[#This Row],[Experience Years]]&lt;=15,"Senior Level")))</f>
        <v>Mid Level</v>
      </c>
      <c r="N1344" s="1">
        <f>AVERAGE(Table1[[#This Row],[Interview Score]:[Personality Score]])</f>
        <v>63.333333333333336</v>
      </c>
      <c r="O13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44" s="2" t="str">
        <f t="shared" si="20"/>
        <v>0-10</v>
      </c>
    </row>
    <row r="1345" spans="1:16" x14ac:dyDescent="0.25">
      <c r="A1345">
        <v>33</v>
      </c>
      <c r="B1345" s="2">
        <v>1</v>
      </c>
      <c r="C1345" s="2">
        <v>2</v>
      </c>
      <c r="D1345" s="2">
        <v>2</v>
      </c>
      <c r="E1345" s="2">
        <v>2</v>
      </c>
      <c r="F1345" s="1">
        <v>21.721702350000001</v>
      </c>
      <c r="G1345" s="2">
        <v>75</v>
      </c>
      <c r="H1345" s="2">
        <v>73</v>
      </c>
      <c r="I1345" s="2">
        <v>61</v>
      </c>
      <c r="J1345" s="2">
        <v>2</v>
      </c>
      <c r="K1345" s="2">
        <v>0</v>
      </c>
      <c r="L134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45" t="str">
        <f>IF(Table1[[#This Row],[Experience Years]]&lt;=2,"Entry Level",IF(Table1[[#This Row],[Experience Years]]&lt;=7,"Mid Level",IF(Table1[[#This Row],[Experience Years]]&lt;=15,"Senior Level")))</f>
        <v>Entry Level</v>
      </c>
      <c r="N1345" s="1">
        <f>AVERAGE(Table1[[#This Row],[Interview Score]:[Personality Score]])</f>
        <v>69.666666666666671</v>
      </c>
      <c r="O13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45" s="2" t="str">
        <f t="shared" si="20"/>
        <v>20-30</v>
      </c>
    </row>
    <row r="1346" spans="1:16" x14ac:dyDescent="0.25">
      <c r="A1346">
        <v>25</v>
      </c>
      <c r="B1346" s="2">
        <v>0</v>
      </c>
      <c r="C1346" s="2">
        <v>4</v>
      </c>
      <c r="D1346" s="2">
        <v>6</v>
      </c>
      <c r="E1346" s="2">
        <v>3</v>
      </c>
      <c r="F1346" s="1">
        <v>39.122226099999999</v>
      </c>
      <c r="G1346" s="2">
        <v>16</v>
      </c>
      <c r="H1346" s="2">
        <v>38</v>
      </c>
      <c r="I1346" s="2">
        <v>98</v>
      </c>
      <c r="J1346" s="2">
        <v>2</v>
      </c>
      <c r="K1346" s="2">
        <v>0</v>
      </c>
      <c r="L134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46" s="2" t="str">
        <f>IF(Table1[[#This Row],[Experience Years]]&lt;=2,"Entry Level",IF(Table1[[#This Row],[Experience Years]]&lt;=7,"Mid Level",IF(Table1[[#This Row],[Experience Years]]&lt;=15,"Senior Level")))</f>
        <v>Mid Level</v>
      </c>
      <c r="N1346" s="1">
        <f>AVERAGE(Table1[[#This Row],[Interview Score]:[Personality Score]])</f>
        <v>50.666666666666664</v>
      </c>
      <c r="O13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46" s="2" t="str">
        <f t="shared" ref="P1346:P1409" si="21">IF(F1346&lt;10,"0-10",IF(F1346&lt;20,"10-20",IF(F1346&lt;30,"20-30",IF(F1346&lt;40,"30-40",IF(F1346&lt;50,"40-50","50+")))))</f>
        <v>30-40</v>
      </c>
    </row>
    <row r="1347" spans="1:16" x14ac:dyDescent="0.25">
      <c r="A1347">
        <v>24</v>
      </c>
      <c r="B1347" s="2">
        <v>1</v>
      </c>
      <c r="C1347" s="2">
        <v>3</v>
      </c>
      <c r="D1347" s="2">
        <v>11</v>
      </c>
      <c r="E1347" s="2">
        <v>2</v>
      </c>
      <c r="F1347" s="1">
        <v>46.015611980000003</v>
      </c>
      <c r="G1347" s="2">
        <v>88</v>
      </c>
      <c r="H1347" s="2">
        <v>75</v>
      </c>
      <c r="I1347" s="2">
        <v>67</v>
      </c>
      <c r="J1347" s="2">
        <v>2</v>
      </c>
      <c r="K1347" s="2">
        <v>1</v>
      </c>
      <c r="L134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47" t="str">
        <f>IF(Table1[[#This Row],[Experience Years]]&lt;=2,"Entry Level",IF(Table1[[#This Row],[Experience Years]]&lt;=7,"Mid Level",IF(Table1[[#This Row],[Experience Years]]&lt;=15,"Senior Level")))</f>
        <v>Senior Level</v>
      </c>
      <c r="N1347" s="1">
        <f>AVERAGE(Table1[[#This Row],[Interview Score]:[Personality Score]])</f>
        <v>76.666666666666671</v>
      </c>
      <c r="O13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347" s="2" t="str">
        <f t="shared" si="21"/>
        <v>40-50</v>
      </c>
    </row>
    <row r="1348" spans="1:16" x14ac:dyDescent="0.25">
      <c r="A1348">
        <v>49</v>
      </c>
      <c r="B1348" s="2">
        <v>1</v>
      </c>
      <c r="C1348" s="2">
        <v>2</v>
      </c>
      <c r="D1348" s="2">
        <v>10</v>
      </c>
      <c r="E1348" s="2">
        <v>3</v>
      </c>
      <c r="F1348" s="1">
        <v>34.240899540000001</v>
      </c>
      <c r="G1348" s="2">
        <v>91</v>
      </c>
      <c r="H1348" s="2">
        <v>19</v>
      </c>
      <c r="I1348" s="2">
        <v>32</v>
      </c>
      <c r="J1348" s="2">
        <v>2</v>
      </c>
      <c r="K1348" s="2">
        <v>0</v>
      </c>
      <c r="L134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48" t="str">
        <f>IF(Table1[[#This Row],[Experience Years]]&lt;=2,"Entry Level",IF(Table1[[#This Row],[Experience Years]]&lt;=7,"Mid Level",IF(Table1[[#This Row],[Experience Years]]&lt;=15,"Senior Level")))</f>
        <v>Senior Level</v>
      </c>
      <c r="N1348" s="1">
        <f>AVERAGE(Table1[[#This Row],[Interview Score]:[Personality Score]])</f>
        <v>47.333333333333336</v>
      </c>
      <c r="O13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48" s="2" t="str">
        <f t="shared" si="21"/>
        <v>30-40</v>
      </c>
    </row>
    <row r="1349" spans="1:16" x14ac:dyDescent="0.25">
      <c r="A1349">
        <v>30</v>
      </c>
      <c r="B1349" s="2">
        <v>1</v>
      </c>
      <c r="C1349" s="2">
        <v>3</v>
      </c>
      <c r="D1349" s="2">
        <v>0</v>
      </c>
      <c r="E1349" s="2">
        <v>4</v>
      </c>
      <c r="F1349" s="1">
        <v>6.2609777619999996</v>
      </c>
      <c r="G1349" s="2">
        <v>60</v>
      </c>
      <c r="H1349" s="2">
        <v>100</v>
      </c>
      <c r="I1349" s="2">
        <v>76</v>
      </c>
      <c r="J1349" s="2">
        <v>1</v>
      </c>
      <c r="K1349" s="2">
        <v>1</v>
      </c>
      <c r="L134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49" t="str">
        <f>IF(Table1[[#This Row],[Experience Years]]&lt;=2,"Entry Level",IF(Table1[[#This Row],[Experience Years]]&lt;=7,"Mid Level",IF(Table1[[#This Row],[Experience Years]]&lt;=15,"Senior Level")))</f>
        <v>Entry Level</v>
      </c>
      <c r="N1349" s="1">
        <f>AVERAGE(Table1[[#This Row],[Interview Score]:[Personality Score]])</f>
        <v>78.666666666666671</v>
      </c>
      <c r="O13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349" s="2" t="str">
        <f t="shared" si="21"/>
        <v>0-10</v>
      </c>
    </row>
    <row r="1350" spans="1:16" x14ac:dyDescent="0.25">
      <c r="A1350">
        <v>50</v>
      </c>
      <c r="B1350" s="2">
        <v>1</v>
      </c>
      <c r="C1350" s="2">
        <v>3</v>
      </c>
      <c r="D1350" s="2">
        <v>5</v>
      </c>
      <c r="E1350" s="2">
        <v>1</v>
      </c>
      <c r="F1350" s="1">
        <v>34.600988110000003</v>
      </c>
      <c r="G1350" s="2">
        <v>14</v>
      </c>
      <c r="H1350" s="2">
        <v>47</v>
      </c>
      <c r="I1350" s="2">
        <v>55</v>
      </c>
      <c r="J1350" s="2">
        <v>1</v>
      </c>
      <c r="K1350" s="2">
        <v>0</v>
      </c>
      <c r="L135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50" t="str">
        <f>IF(Table1[[#This Row],[Experience Years]]&lt;=2,"Entry Level",IF(Table1[[#This Row],[Experience Years]]&lt;=7,"Mid Level",IF(Table1[[#This Row],[Experience Years]]&lt;=15,"Senior Level")))</f>
        <v>Mid Level</v>
      </c>
      <c r="N1350" s="1">
        <f>AVERAGE(Table1[[#This Row],[Interview Score]:[Personality Score]])</f>
        <v>38.666666666666664</v>
      </c>
      <c r="O13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50" s="2" t="str">
        <f t="shared" si="21"/>
        <v>30-40</v>
      </c>
    </row>
    <row r="1351" spans="1:16" x14ac:dyDescent="0.25">
      <c r="A1351">
        <v>23</v>
      </c>
      <c r="B1351" s="2">
        <v>0</v>
      </c>
      <c r="C1351" s="2">
        <v>3</v>
      </c>
      <c r="D1351" s="2">
        <v>2</v>
      </c>
      <c r="E1351" s="2">
        <v>3</v>
      </c>
      <c r="F1351" s="1">
        <v>32.771396039999999</v>
      </c>
      <c r="G1351" s="2">
        <v>93</v>
      </c>
      <c r="H1351" s="2">
        <v>70</v>
      </c>
      <c r="I1351" s="2">
        <v>35</v>
      </c>
      <c r="J1351" s="2">
        <v>2</v>
      </c>
      <c r="K1351" s="2">
        <v>0</v>
      </c>
      <c r="L135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51" s="2" t="str">
        <f>IF(Table1[[#This Row],[Experience Years]]&lt;=2,"Entry Level",IF(Table1[[#This Row],[Experience Years]]&lt;=7,"Mid Level",IF(Table1[[#This Row],[Experience Years]]&lt;=15,"Senior Level")))</f>
        <v>Entry Level</v>
      </c>
      <c r="N1351" s="1">
        <f>AVERAGE(Table1[[#This Row],[Interview Score]:[Personality Score]])</f>
        <v>66</v>
      </c>
      <c r="O13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51" s="2" t="str">
        <f t="shared" si="21"/>
        <v>30-40</v>
      </c>
    </row>
    <row r="1352" spans="1:16" x14ac:dyDescent="0.25">
      <c r="A1352">
        <v>32</v>
      </c>
      <c r="B1352" s="2">
        <v>1</v>
      </c>
      <c r="C1352" s="2">
        <v>2</v>
      </c>
      <c r="D1352" s="2">
        <v>7</v>
      </c>
      <c r="E1352" s="2">
        <v>4</v>
      </c>
      <c r="F1352" s="1">
        <v>41.288195909999999</v>
      </c>
      <c r="G1352" s="2">
        <v>50</v>
      </c>
      <c r="H1352" s="2">
        <v>53</v>
      </c>
      <c r="I1352" s="2">
        <v>53</v>
      </c>
      <c r="J1352" s="2">
        <v>2</v>
      </c>
      <c r="K1352" s="2">
        <v>0</v>
      </c>
      <c r="L135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52" t="str">
        <f>IF(Table1[[#This Row],[Experience Years]]&lt;=2,"Entry Level",IF(Table1[[#This Row],[Experience Years]]&lt;=7,"Mid Level",IF(Table1[[#This Row],[Experience Years]]&lt;=15,"Senior Level")))</f>
        <v>Mid Level</v>
      </c>
      <c r="N1352" s="1">
        <f>AVERAGE(Table1[[#This Row],[Interview Score]:[Personality Score]])</f>
        <v>52</v>
      </c>
      <c r="O13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52" s="2" t="str">
        <f t="shared" si="21"/>
        <v>40-50</v>
      </c>
    </row>
    <row r="1353" spans="1:16" x14ac:dyDescent="0.25">
      <c r="A1353">
        <v>30</v>
      </c>
      <c r="B1353" s="2">
        <v>1</v>
      </c>
      <c r="C1353" s="2">
        <v>2</v>
      </c>
      <c r="D1353" s="2">
        <v>5</v>
      </c>
      <c r="E1353" s="2">
        <v>1</v>
      </c>
      <c r="F1353" s="1">
        <v>42.26243333</v>
      </c>
      <c r="G1353" s="2">
        <v>26</v>
      </c>
      <c r="H1353" s="2">
        <v>77</v>
      </c>
      <c r="I1353" s="2">
        <v>18</v>
      </c>
      <c r="J1353" s="2">
        <v>1</v>
      </c>
      <c r="K1353" s="2">
        <v>0</v>
      </c>
      <c r="L135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53" t="str">
        <f>IF(Table1[[#This Row],[Experience Years]]&lt;=2,"Entry Level",IF(Table1[[#This Row],[Experience Years]]&lt;=7,"Mid Level",IF(Table1[[#This Row],[Experience Years]]&lt;=15,"Senior Level")))</f>
        <v>Mid Level</v>
      </c>
      <c r="N1353" s="1">
        <f>AVERAGE(Table1[[#This Row],[Interview Score]:[Personality Score]])</f>
        <v>40.333333333333336</v>
      </c>
      <c r="O13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53" s="2" t="str">
        <f t="shared" si="21"/>
        <v>40-50</v>
      </c>
    </row>
    <row r="1354" spans="1:16" x14ac:dyDescent="0.25">
      <c r="A1354">
        <v>22</v>
      </c>
      <c r="B1354" s="2">
        <v>0</v>
      </c>
      <c r="C1354" s="2">
        <v>2</v>
      </c>
      <c r="D1354" s="2">
        <v>11</v>
      </c>
      <c r="E1354" s="2">
        <v>3</v>
      </c>
      <c r="F1354" s="1">
        <v>44.410153790000003</v>
      </c>
      <c r="G1354" s="2">
        <v>85</v>
      </c>
      <c r="H1354" s="2">
        <v>74</v>
      </c>
      <c r="I1354" s="2">
        <v>42</v>
      </c>
      <c r="J1354" s="2">
        <v>2</v>
      </c>
      <c r="K1354" s="2">
        <v>0</v>
      </c>
      <c r="L135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54" s="2" t="str">
        <f>IF(Table1[[#This Row],[Experience Years]]&lt;=2,"Entry Level",IF(Table1[[#This Row],[Experience Years]]&lt;=7,"Mid Level",IF(Table1[[#This Row],[Experience Years]]&lt;=15,"Senior Level")))</f>
        <v>Senior Level</v>
      </c>
      <c r="N1354" s="1">
        <f>AVERAGE(Table1[[#This Row],[Interview Score]:[Personality Score]])</f>
        <v>67</v>
      </c>
      <c r="O13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54" s="2" t="str">
        <f t="shared" si="21"/>
        <v>40-50</v>
      </c>
    </row>
    <row r="1355" spans="1:16" x14ac:dyDescent="0.25">
      <c r="A1355">
        <v>20</v>
      </c>
      <c r="B1355" s="2">
        <v>1</v>
      </c>
      <c r="C1355" s="2">
        <v>2</v>
      </c>
      <c r="D1355" s="2">
        <v>1</v>
      </c>
      <c r="E1355" s="2">
        <v>2</v>
      </c>
      <c r="F1355" s="1">
        <v>21.706575730000001</v>
      </c>
      <c r="G1355" s="2">
        <v>73</v>
      </c>
      <c r="H1355" s="2">
        <v>70</v>
      </c>
      <c r="I1355" s="2">
        <v>11</v>
      </c>
      <c r="J1355" s="2">
        <v>1</v>
      </c>
      <c r="K1355" s="2">
        <v>1</v>
      </c>
      <c r="L135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55" t="str">
        <f>IF(Table1[[#This Row],[Experience Years]]&lt;=2,"Entry Level",IF(Table1[[#This Row],[Experience Years]]&lt;=7,"Mid Level",IF(Table1[[#This Row],[Experience Years]]&lt;=15,"Senior Level")))</f>
        <v>Entry Level</v>
      </c>
      <c r="N1355" s="1">
        <f>AVERAGE(Table1[[#This Row],[Interview Score]:[Personality Score]])</f>
        <v>51.333333333333336</v>
      </c>
      <c r="O13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55" s="2" t="str">
        <f t="shared" si="21"/>
        <v>20-30</v>
      </c>
    </row>
    <row r="1356" spans="1:16" x14ac:dyDescent="0.25">
      <c r="A1356">
        <v>25</v>
      </c>
      <c r="B1356" s="2">
        <v>0</v>
      </c>
      <c r="C1356" s="2">
        <v>2</v>
      </c>
      <c r="D1356" s="2">
        <v>5</v>
      </c>
      <c r="E1356" s="2">
        <v>2</v>
      </c>
      <c r="F1356" s="1">
        <v>35.893219770000002</v>
      </c>
      <c r="G1356" s="2">
        <v>60</v>
      </c>
      <c r="H1356" s="2">
        <v>28</v>
      </c>
      <c r="I1356" s="2">
        <v>10</v>
      </c>
      <c r="J1356" s="2">
        <v>1</v>
      </c>
      <c r="K1356" s="2">
        <v>0</v>
      </c>
      <c r="L135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56" s="2" t="str">
        <f>IF(Table1[[#This Row],[Experience Years]]&lt;=2,"Entry Level",IF(Table1[[#This Row],[Experience Years]]&lt;=7,"Mid Level",IF(Table1[[#This Row],[Experience Years]]&lt;=15,"Senior Level")))</f>
        <v>Mid Level</v>
      </c>
      <c r="N1356" s="1">
        <f>AVERAGE(Table1[[#This Row],[Interview Score]:[Personality Score]])</f>
        <v>32.666666666666664</v>
      </c>
      <c r="O13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56" s="2" t="str">
        <f t="shared" si="21"/>
        <v>30-40</v>
      </c>
    </row>
    <row r="1357" spans="1:16" x14ac:dyDescent="0.25">
      <c r="A1357">
        <v>37</v>
      </c>
      <c r="B1357" s="2">
        <v>1</v>
      </c>
      <c r="C1357" s="2">
        <v>1</v>
      </c>
      <c r="D1357" s="2">
        <v>6</v>
      </c>
      <c r="E1357" s="2">
        <v>2</v>
      </c>
      <c r="F1357" s="1">
        <v>14.41251795</v>
      </c>
      <c r="G1357" s="2">
        <v>57</v>
      </c>
      <c r="H1357" s="2">
        <v>73</v>
      </c>
      <c r="I1357" s="2">
        <v>69</v>
      </c>
      <c r="J1357" s="2">
        <v>2</v>
      </c>
      <c r="K1357" s="2">
        <v>0</v>
      </c>
      <c r="L1357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57" t="str">
        <f>IF(Table1[[#This Row],[Experience Years]]&lt;=2,"Entry Level",IF(Table1[[#This Row],[Experience Years]]&lt;=7,"Mid Level",IF(Table1[[#This Row],[Experience Years]]&lt;=15,"Senior Level")))</f>
        <v>Mid Level</v>
      </c>
      <c r="N1357" s="1">
        <f>AVERAGE(Table1[[#This Row],[Interview Score]:[Personality Score]])</f>
        <v>66.333333333333329</v>
      </c>
      <c r="O13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57" s="2" t="str">
        <f t="shared" si="21"/>
        <v>10-20</v>
      </c>
    </row>
    <row r="1358" spans="1:16" x14ac:dyDescent="0.25">
      <c r="A1358">
        <v>43</v>
      </c>
      <c r="B1358" s="2">
        <v>0</v>
      </c>
      <c r="C1358" s="2">
        <v>2</v>
      </c>
      <c r="D1358" s="2">
        <v>4</v>
      </c>
      <c r="E1358" s="2">
        <v>4</v>
      </c>
      <c r="F1358" s="1">
        <v>50.966813999999999</v>
      </c>
      <c r="G1358" s="2">
        <v>30</v>
      </c>
      <c r="H1358" s="2">
        <v>92</v>
      </c>
      <c r="I1358" s="2">
        <v>11</v>
      </c>
      <c r="J1358" s="2">
        <v>2</v>
      </c>
      <c r="K1358" s="2">
        <v>0</v>
      </c>
      <c r="L135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58" s="2" t="str">
        <f>IF(Table1[[#This Row],[Experience Years]]&lt;=2,"Entry Level",IF(Table1[[#This Row],[Experience Years]]&lt;=7,"Mid Level",IF(Table1[[#This Row],[Experience Years]]&lt;=15,"Senior Level")))</f>
        <v>Mid Level</v>
      </c>
      <c r="N1358" s="1">
        <f>AVERAGE(Table1[[#This Row],[Interview Score]:[Personality Score]])</f>
        <v>44.333333333333336</v>
      </c>
      <c r="O13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58" s="2" t="str">
        <f t="shared" si="21"/>
        <v>50+</v>
      </c>
    </row>
    <row r="1359" spans="1:16" x14ac:dyDescent="0.25">
      <c r="A1359">
        <v>29</v>
      </c>
      <c r="B1359" s="2">
        <v>1</v>
      </c>
      <c r="C1359" s="2">
        <v>2</v>
      </c>
      <c r="D1359" s="2">
        <v>2</v>
      </c>
      <c r="E1359" s="2">
        <v>2</v>
      </c>
      <c r="F1359" s="1">
        <v>9.7667120690000004</v>
      </c>
      <c r="G1359" s="2">
        <v>90</v>
      </c>
      <c r="H1359" s="2">
        <v>72</v>
      </c>
      <c r="I1359" s="2">
        <v>90</v>
      </c>
      <c r="J1359" s="2">
        <v>2</v>
      </c>
      <c r="K1359" s="2">
        <v>0</v>
      </c>
      <c r="L135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59" t="str">
        <f>IF(Table1[[#This Row],[Experience Years]]&lt;=2,"Entry Level",IF(Table1[[#This Row],[Experience Years]]&lt;=7,"Mid Level",IF(Table1[[#This Row],[Experience Years]]&lt;=15,"Senior Level")))</f>
        <v>Entry Level</v>
      </c>
      <c r="N1359" s="1">
        <f>AVERAGE(Table1[[#This Row],[Interview Score]:[Personality Score]])</f>
        <v>84</v>
      </c>
      <c r="O13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359" s="2" t="str">
        <f t="shared" si="21"/>
        <v>0-10</v>
      </c>
    </row>
    <row r="1360" spans="1:16" x14ac:dyDescent="0.25">
      <c r="A1360">
        <v>24</v>
      </c>
      <c r="B1360" s="2">
        <v>0</v>
      </c>
      <c r="C1360" s="2">
        <v>2</v>
      </c>
      <c r="D1360" s="2">
        <v>3</v>
      </c>
      <c r="E1360" s="2">
        <v>5</v>
      </c>
      <c r="F1360" s="1">
        <v>1.5057215829999999</v>
      </c>
      <c r="G1360" s="2">
        <v>11</v>
      </c>
      <c r="H1360" s="2">
        <v>99</v>
      </c>
      <c r="I1360" s="2">
        <v>40</v>
      </c>
      <c r="J1360" s="2">
        <v>2</v>
      </c>
      <c r="K1360" s="2">
        <v>0</v>
      </c>
      <c r="L136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60" s="2" t="str">
        <f>IF(Table1[[#This Row],[Experience Years]]&lt;=2,"Entry Level",IF(Table1[[#This Row],[Experience Years]]&lt;=7,"Mid Level",IF(Table1[[#This Row],[Experience Years]]&lt;=15,"Senior Level")))</f>
        <v>Mid Level</v>
      </c>
      <c r="N1360" s="1">
        <f>AVERAGE(Table1[[#This Row],[Interview Score]:[Personality Score]])</f>
        <v>50</v>
      </c>
      <c r="O13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60" s="2" t="str">
        <f t="shared" si="21"/>
        <v>0-10</v>
      </c>
    </row>
    <row r="1361" spans="1:16" x14ac:dyDescent="0.25">
      <c r="A1361">
        <v>42</v>
      </c>
      <c r="B1361" s="2">
        <v>1</v>
      </c>
      <c r="C1361" s="2">
        <v>3</v>
      </c>
      <c r="D1361" s="2">
        <v>3</v>
      </c>
      <c r="E1361" s="2">
        <v>1</v>
      </c>
      <c r="F1361" s="1">
        <v>8.4404357260000005</v>
      </c>
      <c r="G1361" s="2">
        <v>45</v>
      </c>
      <c r="H1361" s="2">
        <v>47</v>
      </c>
      <c r="I1361" s="2">
        <v>24</v>
      </c>
      <c r="J1361" s="2">
        <v>3</v>
      </c>
      <c r="K1361" s="2">
        <v>0</v>
      </c>
      <c r="L136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61" t="str">
        <f>IF(Table1[[#This Row],[Experience Years]]&lt;=2,"Entry Level",IF(Table1[[#This Row],[Experience Years]]&lt;=7,"Mid Level",IF(Table1[[#This Row],[Experience Years]]&lt;=15,"Senior Level")))</f>
        <v>Mid Level</v>
      </c>
      <c r="N1361" s="1">
        <f>AVERAGE(Table1[[#This Row],[Interview Score]:[Personality Score]])</f>
        <v>38.666666666666664</v>
      </c>
      <c r="O13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61" s="2" t="str">
        <f t="shared" si="21"/>
        <v>0-10</v>
      </c>
    </row>
    <row r="1362" spans="1:16" x14ac:dyDescent="0.25">
      <c r="A1362">
        <v>29</v>
      </c>
      <c r="B1362" s="2">
        <v>1</v>
      </c>
      <c r="C1362" s="2">
        <v>2</v>
      </c>
      <c r="D1362" s="2">
        <v>5</v>
      </c>
      <c r="E1362" s="2">
        <v>4</v>
      </c>
      <c r="F1362" s="1">
        <v>39.793614480000002</v>
      </c>
      <c r="G1362" s="2">
        <v>30</v>
      </c>
      <c r="H1362" s="2">
        <v>73</v>
      </c>
      <c r="I1362" s="2">
        <v>2</v>
      </c>
      <c r="J1362" s="2">
        <v>2</v>
      </c>
      <c r="K1362" s="2">
        <v>0</v>
      </c>
      <c r="L136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62" t="str">
        <f>IF(Table1[[#This Row],[Experience Years]]&lt;=2,"Entry Level",IF(Table1[[#This Row],[Experience Years]]&lt;=7,"Mid Level",IF(Table1[[#This Row],[Experience Years]]&lt;=15,"Senior Level")))</f>
        <v>Mid Level</v>
      </c>
      <c r="N1362" s="1">
        <f>AVERAGE(Table1[[#This Row],[Interview Score]:[Personality Score]])</f>
        <v>35</v>
      </c>
      <c r="O13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62" s="2" t="str">
        <f t="shared" si="21"/>
        <v>30-40</v>
      </c>
    </row>
    <row r="1363" spans="1:16" x14ac:dyDescent="0.25">
      <c r="A1363">
        <v>31</v>
      </c>
      <c r="B1363" s="2">
        <v>0</v>
      </c>
      <c r="C1363" s="2">
        <v>1</v>
      </c>
      <c r="D1363" s="2">
        <v>9</v>
      </c>
      <c r="E1363" s="2">
        <v>2</v>
      </c>
      <c r="F1363" s="1">
        <v>23.33918383</v>
      </c>
      <c r="G1363" s="2">
        <v>31</v>
      </c>
      <c r="H1363" s="2">
        <v>82</v>
      </c>
      <c r="I1363" s="2">
        <v>2</v>
      </c>
      <c r="J1363" s="2">
        <v>1</v>
      </c>
      <c r="K1363" s="2">
        <v>1</v>
      </c>
      <c r="L1363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63" s="2" t="str">
        <f>IF(Table1[[#This Row],[Experience Years]]&lt;=2,"Entry Level",IF(Table1[[#This Row],[Experience Years]]&lt;=7,"Mid Level",IF(Table1[[#This Row],[Experience Years]]&lt;=15,"Senior Level")))</f>
        <v>Senior Level</v>
      </c>
      <c r="N1363" s="1">
        <f>AVERAGE(Table1[[#This Row],[Interview Score]:[Personality Score]])</f>
        <v>38.333333333333336</v>
      </c>
      <c r="O13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63" s="2" t="str">
        <f t="shared" si="21"/>
        <v>20-30</v>
      </c>
    </row>
    <row r="1364" spans="1:16" x14ac:dyDescent="0.25">
      <c r="A1364">
        <v>21</v>
      </c>
      <c r="B1364" s="2">
        <v>0</v>
      </c>
      <c r="C1364" s="2">
        <v>3</v>
      </c>
      <c r="D1364" s="2">
        <v>0</v>
      </c>
      <c r="E1364" s="2">
        <v>1</v>
      </c>
      <c r="F1364" s="1">
        <v>23.375012389999998</v>
      </c>
      <c r="G1364" s="2">
        <v>31</v>
      </c>
      <c r="H1364" s="2">
        <v>55</v>
      </c>
      <c r="I1364" s="2">
        <v>83</v>
      </c>
      <c r="J1364" s="2">
        <v>2</v>
      </c>
      <c r="K1364" s="2">
        <v>0</v>
      </c>
      <c r="L136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64" s="2" t="str">
        <f>IF(Table1[[#This Row],[Experience Years]]&lt;=2,"Entry Level",IF(Table1[[#This Row],[Experience Years]]&lt;=7,"Mid Level",IF(Table1[[#This Row],[Experience Years]]&lt;=15,"Senior Level")))</f>
        <v>Entry Level</v>
      </c>
      <c r="N1364" s="1">
        <f>AVERAGE(Table1[[#This Row],[Interview Score]:[Personality Score]])</f>
        <v>56.333333333333336</v>
      </c>
      <c r="O13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64" s="2" t="str">
        <f t="shared" si="21"/>
        <v>20-30</v>
      </c>
    </row>
    <row r="1365" spans="1:16" x14ac:dyDescent="0.25">
      <c r="A1365">
        <v>32</v>
      </c>
      <c r="B1365" s="2">
        <v>0</v>
      </c>
      <c r="C1365" s="2">
        <v>1</v>
      </c>
      <c r="D1365" s="2">
        <v>10</v>
      </c>
      <c r="E1365" s="2">
        <v>3</v>
      </c>
      <c r="F1365" s="1">
        <v>48.751145979999997</v>
      </c>
      <c r="G1365" s="2">
        <v>98</v>
      </c>
      <c r="H1365" s="2">
        <v>94</v>
      </c>
      <c r="I1365" s="2">
        <v>27</v>
      </c>
      <c r="J1365" s="2">
        <v>1</v>
      </c>
      <c r="K1365" s="2">
        <v>1</v>
      </c>
      <c r="L136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65" s="2" t="str">
        <f>IF(Table1[[#This Row],[Experience Years]]&lt;=2,"Entry Level",IF(Table1[[#This Row],[Experience Years]]&lt;=7,"Mid Level",IF(Table1[[#This Row],[Experience Years]]&lt;=15,"Senior Level")))</f>
        <v>Senior Level</v>
      </c>
      <c r="N1365" s="1">
        <f>AVERAGE(Table1[[#This Row],[Interview Score]:[Personality Score]])</f>
        <v>73</v>
      </c>
      <c r="O13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365" s="2" t="str">
        <f t="shared" si="21"/>
        <v>40-50</v>
      </c>
    </row>
    <row r="1366" spans="1:16" x14ac:dyDescent="0.25">
      <c r="A1366">
        <v>27</v>
      </c>
      <c r="B1366" s="2">
        <v>0</v>
      </c>
      <c r="C1366" s="2">
        <v>3</v>
      </c>
      <c r="D1366" s="2">
        <v>3</v>
      </c>
      <c r="E1366" s="2">
        <v>2</v>
      </c>
      <c r="F1366" s="1">
        <v>46.981745400000001</v>
      </c>
      <c r="G1366" s="2">
        <v>52</v>
      </c>
      <c r="H1366" s="2">
        <v>16</v>
      </c>
      <c r="I1366" s="2">
        <v>22</v>
      </c>
      <c r="J1366" s="2">
        <v>3</v>
      </c>
      <c r="K1366" s="2">
        <v>0</v>
      </c>
      <c r="L136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66" s="2" t="str">
        <f>IF(Table1[[#This Row],[Experience Years]]&lt;=2,"Entry Level",IF(Table1[[#This Row],[Experience Years]]&lt;=7,"Mid Level",IF(Table1[[#This Row],[Experience Years]]&lt;=15,"Senior Level")))</f>
        <v>Mid Level</v>
      </c>
      <c r="N1366" s="1">
        <f>AVERAGE(Table1[[#This Row],[Interview Score]:[Personality Score]])</f>
        <v>30</v>
      </c>
      <c r="O13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66" s="2" t="str">
        <f t="shared" si="21"/>
        <v>40-50</v>
      </c>
    </row>
    <row r="1367" spans="1:16" x14ac:dyDescent="0.25">
      <c r="A1367">
        <v>21</v>
      </c>
      <c r="B1367" s="2">
        <v>1</v>
      </c>
      <c r="C1367" s="2">
        <v>3</v>
      </c>
      <c r="D1367" s="2">
        <v>9</v>
      </c>
      <c r="E1367" s="2">
        <v>1</v>
      </c>
      <c r="F1367" s="1">
        <v>16.55973689</v>
      </c>
      <c r="G1367" s="2">
        <v>60</v>
      </c>
      <c r="H1367" s="2">
        <v>8</v>
      </c>
      <c r="I1367" s="2">
        <v>47</v>
      </c>
      <c r="J1367" s="2">
        <v>1</v>
      </c>
      <c r="K1367" s="2">
        <v>1</v>
      </c>
      <c r="L136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67" t="str">
        <f>IF(Table1[[#This Row],[Experience Years]]&lt;=2,"Entry Level",IF(Table1[[#This Row],[Experience Years]]&lt;=7,"Mid Level",IF(Table1[[#This Row],[Experience Years]]&lt;=15,"Senior Level")))</f>
        <v>Senior Level</v>
      </c>
      <c r="N1367" s="1">
        <f>AVERAGE(Table1[[#This Row],[Interview Score]:[Personality Score]])</f>
        <v>38.333333333333336</v>
      </c>
      <c r="O13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67" s="2" t="str">
        <f t="shared" si="21"/>
        <v>10-20</v>
      </c>
    </row>
    <row r="1368" spans="1:16" x14ac:dyDescent="0.25">
      <c r="A1368">
        <v>39</v>
      </c>
      <c r="B1368" s="2">
        <v>1</v>
      </c>
      <c r="C1368" s="2">
        <v>2</v>
      </c>
      <c r="D1368" s="2">
        <v>12</v>
      </c>
      <c r="E1368" s="2">
        <v>5</v>
      </c>
      <c r="F1368" s="1">
        <v>11.45290644</v>
      </c>
      <c r="G1368" s="2">
        <v>45</v>
      </c>
      <c r="H1368" s="2">
        <v>96</v>
      </c>
      <c r="I1368" s="2">
        <v>66</v>
      </c>
      <c r="J1368" s="2">
        <v>2</v>
      </c>
      <c r="K1368" s="2">
        <v>0</v>
      </c>
      <c r="L136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68" t="str">
        <f>IF(Table1[[#This Row],[Experience Years]]&lt;=2,"Entry Level",IF(Table1[[#This Row],[Experience Years]]&lt;=7,"Mid Level",IF(Table1[[#This Row],[Experience Years]]&lt;=15,"Senior Level")))</f>
        <v>Senior Level</v>
      </c>
      <c r="N1368" s="1">
        <f>AVERAGE(Table1[[#This Row],[Interview Score]:[Personality Score]])</f>
        <v>69</v>
      </c>
      <c r="O13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68" s="2" t="str">
        <f t="shared" si="21"/>
        <v>10-20</v>
      </c>
    </row>
    <row r="1369" spans="1:16" x14ac:dyDescent="0.25">
      <c r="A1369">
        <v>20</v>
      </c>
      <c r="B1369" s="2">
        <v>0</v>
      </c>
      <c r="C1369" s="2">
        <v>3</v>
      </c>
      <c r="D1369" s="2">
        <v>3</v>
      </c>
      <c r="E1369" s="2">
        <v>3</v>
      </c>
      <c r="F1369" s="1">
        <v>43.424110499999998</v>
      </c>
      <c r="G1369" s="2">
        <v>84</v>
      </c>
      <c r="H1369" s="2">
        <v>33</v>
      </c>
      <c r="I1369" s="2">
        <v>41</v>
      </c>
      <c r="J1369" s="2">
        <v>1</v>
      </c>
      <c r="K1369" s="2">
        <v>1</v>
      </c>
      <c r="L136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69" s="2" t="str">
        <f>IF(Table1[[#This Row],[Experience Years]]&lt;=2,"Entry Level",IF(Table1[[#This Row],[Experience Years]]&lt;=7,"Mid Level",IF(Table1[[#This Row],[Experience Years]]&lt;=15,"Senior Level")))</f>
        <v>Mid Level</v>
      </c>
      <c r="N1369" s="1">
        <f>AVERAGE(Table1[[#This Row],[Interview Score]:[Personality Score]])</f>
        <v>52.666666666666664</v>
      </c>
      <c r="O13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69" s="2" t="str">
        <f t="shared" si="21"/>
        <v>40-50</v>
      </c>
    </row>
    <row r="1370" spans="1:16" x14ac:dyDescent="0.25">
      <c r="A1370">
        <v>50</v>
      </c>
      <c r="B1370" s="2">
        <v>1</v>
      </c>
      <c r="C1370" s="2">
        <v>2</v>
      </c>
      <c r="D1370" s="2">
        <v>9</v>
      </c>
      <c r="E1370" s="2">
        <v>5</v>
      </c>
      <c r="F1370" s="1">
        <v>46.300953550000003</v>
      </c>
      <c r="G1370" s="2">
        <v>73</v>
      </c>
      <c r="H1370" s="2">
        <v>44</v>
      </c>
      <c r="I1370" s="2">
        <v>87</v>
      </c>
      <c r="J1370" s="2">
        <v>3</v>
      </c>
      <c r="K1370" s="2">
        <v>0</v>
      </c>
      <c r="L137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70" t="str">
        <f>IF(Table1[[#This Row],[Experience Years]]&lt;=2,"Entry Level",IF(Table1[[#This Row],[Experience Years]]&lt;=7,"Mid Level",IF(Table1[[#This Row],[Experience Years]]&lt;=15,"Senior Level")))</f>
        <v>Senior Level</v>
      </c>
      <c r="N1370" s="1">
        <f>AVERAGE(Table1[[#This Row],[Interview Score]:[Personality Score]])</f>
        <v>68</v>
      </c>
      <c r="O13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70" s="2" t="str">
        <f t="shared" si="21"/>
        <v>40-50</v>
      </c>
    </row>
    <row r="1371" spans="1:16" x14ac:dyDescent="0.25">
      <c r="A1371">
        <v>24</v>
      </c>
      <c r="B1371" s="2">
        <v>0</v>
      </c>
      <c r="C1371" s="2">
        <v>2</v>
      </c>
      <c r="D1371" s="2">
        <v>15</v>
      </c>
      <c r="E1371" s="2">
        <v>1</v>
      </c>
      <c r="F1371" s="1">
        <v>28.079846140000001</v>
      </c>
      <c r="G1371" s="2">
        <v>79</v>
      </c>
      <c r="H1371" s="2">
        <v>87</v>
      </c>
      <c r="I1371" s="2">
        <v>39</v>
      </c>
      <c r="J1371" s="2">
        <v>2</v>
      </c>
      <c r="K1371" s="2">
        <v>0</v>
      </c>
      <c r="L137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71" s="2" t="str">
        <f>IF(Table1[[#This Row],[Experience Years]]&lt;=2,"Entry Level",IF(Table1[[#This Row],[Experience Years]]&lt;=7,"Mid Level",IF(Table1[[#This Row],[Experience Years]]&lt;=15,"Senior Level")))</f>
        <v>Senior Level</v>
      </c>
      <c r="N1371" s="1">
        <f>AVERAGE(Table1[[#This Row],[Interview Score]:[Personality Score]])</f>
        <v>68.333333333333329</v>
      </c>
      <c r="O13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371" s="2" t="str">
        <f t="shared" si="21"/>
        <v>20-30</v>
      </c>
    </row>
    <row r="1372" spans="1:16" x14ac:dyDescent="0.25">
      <c r="A1372">
        <v>28</v>
      </c>
      <c r="B1372" s="2">
        <v>0</v>
      </c>
      <c r="C1372" s="2">
        <v>1</v>
      </c>
      <c r="D1372" s="2">
        <v>0</v>
      </c>
      <c r="E1372" s="2">
        <v>5</v>
      </c>
      <c r="F1372" s="1">
        <v>32.471185560000002</v>
      </c>
      <c r="G1372" s="2">
        <v>6</v>
      </c>
      <c r="H1372" s="2">
        <v>8</v>
      </c>
      <c r="I1372" s="2">
        <v>5</v>
      </c>
      <c r="J1372" s="2">
        <v>3</v>
      </c>
      <c r="K1372" s="2">
        <v>0</v>
      </c>
      <c r="L137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72" s="2" t="str">
        <f>IF(Table1[[#This Row],[Experience Years]]&lt;=2,"Entry Level",IF(Table1[[#This Row],[Experience Years]]&lt;=7,"Mid Level",IF(Table1[[#This Row],[Experience Years]]&lt;=15,"Senior Level")))</f>
        <v>Entry Level</v>
      </c>
      <c r="N1372" s="1">
        <f>AVERAGE(Table1[[#This Row],[Interview Score]:[Personality Score]])</f>
        <v>6.333333333333333</v>
      </c>
      <c r="O13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72" s="2" t="str">
        <f t="shared" si="21"/>
        <v>30-40</v>
      </c>
    </row>
    <row r="1373" spans="1:16" x14ac:dyDescent="0.25">
      <c r="A1373">
        <v>36</v>
      </c>
      <c r="B1373" s="2">
        <v>1</v>
      </c>
      <c r="C1373" s="2">
        <v>2</v>
      </c>
      <c r="D1373" s="2">
        <v>8</v>
      </c>
      <c r="E1373" s="2">
        <v>1</v>
      </c>
      <c r="F1373" s="1">
        <v>13.84571423</v>
      </c>
      <c r="G1373" s="2">
        <v>3</v>
      </c>
      <c r="H1373" s="2">
        <v>6</v>
      </c>
      <c r="I1373" s="2">
        <v>19</v>
      </c>
      <c r="J1373" s="2">
        <v>1</v>
      </c>
      <c r="K1373" s="2">
        <v>0</v>
      </c>
      <c r="L137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73" t="str">
        <f>IF(Table1[[#This Row],[Experience Years]]&lt;=2,"Entry Level",IF(Table1[[#This Row],[Experience Years]]&lt;=7,"Mid Level",IF(Table1[[#This Row],[Experience Years]]&lt;=15,"Senior Level")))</f>
        <v>Senior Level</v>
      </c>
      <c r="N1373" s="1">
        <f>AVERAGE(Table1[[#This Row],[Interview Score]:[Personality Score]])</f>
        <v>9.3333333333333339</v>
      </c>
      <c r="O13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73" s="2" t="str">
        <f t="shared" si="21"/>
        <v>10-20</v>
      </c>
    </row>
    <row r="1374" spans="1:16" x14ac:dyDescent="0.25">
      <c r="A1374">
        <v>28</v>
      </c>
      <c r="B1374" s="2">
        <v>1</v>
      </c>
      <c r="C1374" s="2">
        <v>4</v>
      </c>
      <c r="D1374" s="2">
        <v>3</v>
      </c>
      <c r="E1374" s="2">
        <v>1</v>
      </c>
      <c r="F1374" s="1">
        <v>41.040134399999999</v>
      </c>
      <c r="G1374" s="2">
        <v>90</v>
      </c>
      <c r="H1374" s="2">
        <v>15</v>
      </c>
      <c r="I1374" s="2">
        <v>10</v>
      </c>
      <c r="J1374" s="2">
        <v>1</v>
      </c>
      <c r="K1374" s="2">
        <v>1</v>
      </c>
      <c r="L137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74" t="str">
        <f>IF(Table1[[#This Row],[Experience Years]]&lt;=2,"Entry Level",IF(Table1[[#This Row],[Experience Years]]&lt;=7,"Mid Level",IF(Table1[[#This Row],[Experience Years]]&lt;=15,"Senior Level")))</f>
        <v>Mid Level</v>
      </c>
      <c r="N1374" s="1">
        <f>AVERAGE(Table1[[#This Row],[Interview Score]:[Personality Score]])</f>
        <v>38.333333333333336</v>
      </c>
      <c r="O13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74" s="2" t="str">
        <f t="shared" si="21"/>
        <v>40-50</v>
      </c>
    </row>
    <row r="1375" spans="1:16" x14ac:dyDescent="0.25">
      <c r="A1375">
        <v>30</v>
      </c>
      <c r="B1375" s="2">
        <v>1</v>
      </c>
      <c r="C1375" s="2">
        <v>2</v>
      </c>
      <c r="D1375" s="2">
        <v>6</v>
      </c>
      <c r="E1375" s="2">
        <v>5</v>
      </c>
      <c r="F1375" s="1">
        <v>32.606121420000001</v>
      </c>
      <c r="G1375" s="2">
        <v>51</v>
      </c>
      <c r="H1375" s="2">
        <v>18</v>
      </c>
      <c r="I1375" s="2">
        <v>95</v>
      </c>
      <c r="J1375" s="2">
        <v>1</v>
      </c>
      <c r="K1375" s="2">
        <v>1</v>
      </c>
      <c r="L137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75" t="str">
        <f>IF(Table1[[#This Row],[Experience Years]]&lt;=2,"Entry Level",IF(Table1[[#This Row],[Experience Years]]&lt;=7,"Mid Level",IF(Table1[[#This Row],[Experience Years]]&lt;=15,"Senior Level")))</f>
        <v>Mid Level</v>
      </c>
      <c r="N1375" s="1">
        <f>AVERAGE(Table1[[#This Row],[Interview Score]:[Personality Score]])</f>
        <v>54.666666666666664</v>
      </c>
      <c r="O13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75" s="2" t="str">
        <f t="shared" si="21"/>
        <v>30-40</v>
      </c>
    </row>
    <row r="1376" spans="1:16" x14ac:dyDescent="0.25">
      <c r="A1376">
        <v>34</v>
      </c>
      <c r="B1376" s="2">
        <v>1</v>
      </c>
      <c r="C1376" s="2">
        <v>2</v>
      </c>
      <c r="D1376" s="2">
        <v>11</v>
      </c>
      <c r="E1376" s="2">
        <v>1</v>
      </c>
      <c r="F1376" s="1">
        <v>26.175675559999998</v>
      </c>
      <c r="G1376" s="2">
        <v>88</v>
      </c>
      <c r="H1376" s="2">
        <v>5</v>
      </c>
      <c r="I1376" s="2">
        <v>26</v>
      </c>
      <c r="J1376" s="2">
        <v>3</v>
      </c>
      <c r="K1376" s="2">
        <v>0</v>
      </c>
      <c r="L137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76" t="str">
        <f>IF(Table1[[#This Row],[Experience Years]]&lt;=2,"Entry Level",IF(Table1[[#This Row],[Experience Years]]&lt;=7,"Mid Level",IF(Table1[[#This Row],[Experience Years]]&lt;=15,"Senior Level")))</f>
        <v>Senior Level</v>
      </c>
      <c r="N1376" s="1">
        <f>AVERAGE(Table1[[#This Row],[Interview Score]:[Personality Score]])</f>
        <v>39.666666666666664</v>
      </c>
      <c r="O13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76" s="2" t="str">
        <f t="shared" si="21"/>
        <v>20-30</v>
      </c>
    </row>
    <row r="1377" spans="1:16" x14ac:dyDescent="0.25">
      <c r="A1377">
        <v>43</v>
      </c>
      <c r="B1377" s="2">
        <v>1</v>
      </c>
      <c r="C1377" s="2">
        <v>2</v>
      </c>
      <c r="D1377" s="2">
        <v>13</v>
      </c>
      <c r="E1377" s="2">
        <v>2</v>
      </c>
      <c r="F1377" s="1">
        <v>4.005427804</v>
      </c>
      <c r="G1377" s="2">
        <v>30</v>
      </c>
      <c r="H1377" s="2">
        <v>10</v>
      </c>
      <c r="I1377" s="2">
        <v>20</v>
      </c>
      <c r="J1377" s="2">
        <v>3</v>
      </c>
      <c r="K1377" s="2">
        <v>0</v>
      </c>
      <c r="L137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77" t="str">
        <f>IF(Table1[[#This Row],[Experience Years]]&lt;=2,"Entry Level",IF(Table1[[#This Row],[Experience Years]]&lt;=7,"Mid Level",IF(Table1[[#This Row],[Experience Years]]&lt;=15,"Senior Level")))</f>
        <v>Senior Level</v>
      </c>
      <c r="N1377" s="1">
        <f>AVERAGE(Table1[[#This Row],[Interview Score]:[Personality Score]])</f>
        <v>20</v>
      </c>
      <c r="O13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77" s="2" t="str">
        <f t="shared" si="21"/>
        <v>0-10</v>
      </c>
    </row>
    <row r="1378" spans="1:16" x14ac:dyDescent="0.25">
      <c r="A1378">
        <v>25</v>
      </c>
      <c r="B1378" s="2">
        <v>1</v>
      </c>
      <c r="C1378" s="2">
        <v>2</v>
      </c>
      <c r="D1378" s="2">
        <v>2</v>
      </c>
      <c r="E1378" s="2">
        <v>1</v>
      </c>
      <c r="F1378" s="1">
        <v>46.796748129999997</v>
      </c>
      <c r="G1378" s="2">
        <v>74</v>
      </c>
      <c r="H1378" s="2">
        <v>75</v>
      </c>
      <c r="I1378" s="2">
        <v>12</v>
      </c>
      <c r="J1378" s="2">
        <v>1</v>
      </c>
      <c r="K1378" s="2">
        <v>1</v>
      </c>
      <c r="L137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78" t="str">
        <f>IF(Table1[[#This Row],[Experience Years]]&lt;=2,"Entry Level",IF(Table1[[#This Row],[Experience Years]]&lt;=7,"Mid Level",IF(Table1[[#This Row],[Experience Years]]&lt;=15,"Senior Level")))</f>
        <v>Entry Level</v>
      </c>
      <c r="N1378" s="1">
        <f>AVERAGE(Table1[[#This Row],[Interview Score]:[Personality Score]])</f>
        <v>53.666666666666664</v>
      </c>
      <c r="O13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78" s="2" t="str">
        <f t="shared" si="21"/>
        <v>40-50</v>
      </c>
    </row>
    <row r="1379" spans="1:16" x14ac:dyDescent="0.25">
      <c r="A1379">
        <v>42</v>
      </c>
      <c r="B1379" s="2">
        <v>1</v>
      </c>
      <c r="C1379" s="2">
        <v>1</v>
      </c>
      <c r="D1379" s="2">
        <v>9</v>
      </c>
      <c r="E1379" s="2">
        <v>4</v>
      </c>
      <c r="F1379" s="1">
        <v>31.772571020000001</v>
      </c>
      <c r="G1379" s="2">
        <v>83</v>
      </c>
      <c r="H1379" s="2">
        <v>60</v>
      </c>
      <c r="I1379" s="2">
        <v>85</v>
      </c>
      <c r="J1379" s="2">
        <v>1</v>
      </c>
      <c r="K1379" s="2">
        <v>1</v>
      </c>
      <c r="L137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79" t="str">
        <f>IF(Table1[[#This Row],[Experience Years]]&lt;=2,"Entry Level",IF(Table1[[#This Row],[Experience Years]]&lt;=7,"Mid Level",IF(Table1[[#This Row],[Experience Years]]&lt;=15,"Senior Level")))</f>
        <v>Senior Level</v>
      </c>
      <c r="N1379" s="1">
        <f>AVERAGE(Table1[[#This Row],[Interview Score]:[Personality Score]])</f>
        <v>76</v>
      </c>
      <c r="O13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379" s="2" t="str">
        <f t="shared" si="21"/>
        <v>30-40</v>
      </c>
    </row>
    <row r="1380" spans="1:16" x14ac:dyDescent="0.25">
      <c r="A1380">
        <v>22</v>
      </c>
      <c r="B1380" s="2">
        <v>0</v>
      </c>
      <c r="C1380" s="2">
        <v>2</v>
      </c>
      <c r="D1380" s="2">
        <v>11</v>
      </c>
      <c r="E1380" s="2">
        <v>1</v>
      </c>
      <c r="F1380" s="1">
        <v>10.63455473</v>
      </c>
      <c r="G1380" s="2">
        <v>35</v>
      </c>
      <c r="H1380" s="2">
        <v>41</v>
      </c>
      <c r="I1380" s="2">
        <v>34</v>
      </c>
      <c r="J1380" s="2">
        <v>2</v>
      </c>
      <c r="K1380" s="2">
        <v>0</v>
      </c>
      <c r="L138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80" s="2" t="str">
        <f>IF(Table1[[#This Row],[Experience Years]]&lt;=2,"Entry Level",IF(Table1[[#This Row],[Experience Years]]&lt;=7,"Mid Level",IF(Table1[[#This Row],[Experience Years]]&lt;=15,"Senior Level")))</f>
        <v>Senior Level</v>
      </c>
      <c r="N1380" s="1">
        <f>AVERAGE(Table1[[#This Row],[Interview Score]:[Personality Score]])</f>
        <v>36.666666666666664</v>
      </c>
      <c r="O13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80" s="2" t="str">
        <f t="shared" si="21"/>
        <v>10-20</v>
      </c>
    </row>
    <row r="1381" spans="1:16" x14ac:dyDescent="0.25">
      <c r="A1381">
        <v>49</v>
      </c>
      <c r="B1381" s="2">
        <v>0</v>
      </c>
      <c r="C1381" s="2">
        <v>3</v>
      </c>
      <c r="D1381" s="2">
        <v>2</v>
      </c>
      <c r="E1381" s="2">
        <v>4</v>
      </c>
      <c r="F1381" s="1">
        <v>31.319305849999999</v>
      </c>
      <c r="G1381" s="2">
        <v>53</v>
      </c>
      <c r="H1381" s="2">
        <v>12</v>
      </c>
      <c r="I1381" s="2">
        <v>46</v>
      </c>
      <c r="J1381" s="2">
        <v>1</v>
      </c>
      <c r="K1381" s="2">
        <v>0</v>
      </c>
      <c r="L138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81" s="2" t="str">
        <f>IF(Table1[[#This Row],[Experience Years]]&lt;=2,"Entry Level",IF(Table1[[#This Row],[Experience Years]]&lt;=7,"Mid Level",IF(Table1[[#This Row],[Experience Years]]&lt;=15,"Senior Level")))</f>
        <v>Entry Level</v>
      </c>
      <c r="N1381" s="1">
        <f>AVERAGE(Table1[[#This Row],[Interview Score]:[Personality Score]])</f>
        <v>37</v>
      </c>
      <c r="O13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81" s="2" t="str">
        <f t="shared" si="21"/>
        <v>30-40</v>
      </c>
    </row>
    <row r="1382" spans="1:16" x14ac:dyDescent="0.25">
      <c r="A1382">
        <v>50</v>
      </c>
      <c r="B1382" s="2">
        <v>0</v>
      </c>
      <c r="C1382" s="2">
        <v>2</v>
      </c>
      <c r="D1382" s="2">
        <v>13</v>
      </c>
      <c r="E1382" s="2">
        <v>1</v>
      </c>
      <c r="F1382" s="1">
        <v>34.873167709999997</v>
      </c>
      <c r="G1382" s="2">
        <v>53</v>
      </c>
      <c r="H1382" s="2">
        <v>11</v>
      </c>
      <c r="I1382" s="2">
        <v>85</v>
      </c>
      <c r="J1382" s="2">
        <v>1</v>
      </c>
      <c r="K1382" s="2">
        <v>1</v>
      </c>
      <c r="L138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82" s="2" t="str">
        <f>IF(Table1[[#This Row],[Experience Years]]&lt;=2,"Entry Level",IF(Table1[[#This Row],[Experience Years]]&lt;=7,"Mid Level",IF(Table1[[#This Row],[Experience Years]]&lt;=15,"Senior Level")))</f>
        <v>Senior Level</v>
      </c>
      <c r="N1382" s="1">
        <f>AVERAGE(Table1[[#This Row],[Interview Score]:[Personality Score]])</f>
        <v>49.666666666666664</v>
      </c>
      <c r="O13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82" s="2" t="str">
        <f t="shared" si="21"/>
        <v>30-40</v>
      </c>
    </row>
    <row r="1383" spans="1:16" x14ac:dyDescent="0.25">
      <c r="A1383">
        <v>36</v>
      </c>
      <c r="B1383" s="2">
        <v>0</v>
      </c>
      <c r="C1383" s="2">
        <v>2</v>
      </c>
      <c r="D1383" s="2">
        <v>7</v>
      </c>
      <c r="E1383" s="2">
        <v>1</v>
      </c>
      <c r="F1383" s="1">
        <v>27.288516829999999</v>
      </c>
      <c r="G1383" s="2">
        <v>16</v>
      </c>
      <c r="H1383" s="2">
        <v>84</v>
      </c>
      <c r="I1383" s="2">
        <v>27</v>
      </c>
      <c r="J1383" s="2">
        <v>1</v>
      </c>
      <c r="K1383" s="2">
        <v>1</v>
      </c>
      <c r="L138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83" s="2" t="str">
        <f>IF(Table1[[#This Row],[Experience Years]]&lt;=2,"Entry Level",IF(Table1[[#This Row],[Experience Years]]&lt;=7,"Mid Level",IF(Table1[[#This Row],[Experience Years]]&lt;=15,"Senior Level")))</f>
        <v>Mid Level</v>
      </c>
      <c r="N1383" s="1">
        <f>AVERAGE(Table1[[#This Row],[Interview Score]:[Personality Score]])</f>
        <v>42.333333333333336</v>
      </c>
      <c r="O13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83" s="2" t="str">
        <f t="shared" si="21"/>
        <v>20-30</v>
      </c>
    </row>
    <row r="1384" spans="1:16" x14ac:dyDescent="0.25">
      <c r="A1384">
        <v>24</v>
      </c>
      <c r="B1384" s="2">
        <v>0</v>
      </c>
      <c r="C1384" s="2">
        <v>1</v>
      </c>
      <c r="D1384" s="2">
        <v>7</v>
      </c>
      <c r="E1384" s="2">
        <v>5</v>
      </c>
      <c r="F1384" s="1">
        <v>36.905086900000001</v>
      </c>
      <c r="G1384" s="2">
        <v>74</v>
      </c>
      <c r="H1384" s="2">
        <v>73</v>
      </c>
      <c r="I1384" s="2">
        <v>20</v>
      </c>
      <c r="J1384" s="2">
        <v>1</v>
      </c>
      <c r="K1384" s="2">
        <v>1</v>
      </c>
      <c r="L138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84" s="2" t="str">
        <f>IF(Table1[[#This Row],[Experience Years]]&lt;=2,"Entry Level",IF(Table1[[#This Row],[Experience Years]]&lt;=7,"Mid Level",IF(Table1[[#This Row],[Experience Years]]&lt;=15,"Senior Level")))</f>
        <v>Mid Level</v>
      </c>
      <c r="N1384" s="1">
        <f>AVERAGE(Table1[[#This Row],[Interview Score]:[Personality Score]])</f>
        <v>55.666666666666664</v>
      </c>
      <c r="O13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84" s="2" t="str">
        <f t="shared" si="21"/>
        <v>30-40</v>
      </c>
    </row>
    <row r="1385" spans="1:16" x14ac:dyDescent="0.25">
      <c r="A1385">
        <v>49</v>
      </c>
      <c r="B1385" s="2">
        <v>1</v>
      </c>
      <c r="C1385" s="2">
        <v>2</v>
      </c>
      <c r="D1385" s="2">
        <v>10</v>
      </c>
      <c r="E1385" s="2">
        <v>2</v>
      </c>
      <c r="F1385" s="1">
        <v>30.072697399999999</v>
      </c>
      <c r="G1385" s="2">
        <v>29</v>
      </c>
      <c r="H1385" s="2">
        <v>19</v>
      </c>
      <c r="I1385" s="2">
        <v>17</v>
      </c>
      <c r="J1385" s="2">
        <v>1</v>
      </c>
      <c r="K1385" s="2">
        <v>1</v>
      </c>
      <c r="L138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85" t="str">
        <f>IF(Table1[[#This Row],[Experience Years]]&lt;=2,"Entry Level",IF(Table1[[#This Row],[Experience Years]]&lt;=7,"Mid Level",IF(Table1[[#This Row],[Experience Years]]&lt;=15,"Senior Level")))</f>
        <v>Senior Level</v>
      </c>
      <c r="N1385" s="1">
        <f>AVERAGE(Table1[[#This Row],[Interview Score]:[Personality Score]])</f>
        <v>21.666666666666668</v>
      </c>
      <c r="O13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85" s="2" t="str">
        <f t="shared" si="21"/>
        <v>30-40</v>
      </c>
    </row>
    <row r="1386" spans="1:16" x14ac:dyDescent="0.25">
      <c r="A1386">
        <v>47</v>
      </c>
      <c r="B1386" s="2">
        <v>0</v>
      </c>
      <c r="C1386" s="2">
        <v>3</v>
      </c>
      <c r="D1386" s="2">
        <v>11</v>
      </c>
      <c r="E1386" s="2">
        <v>2</v>
      </c>
      <c r="F1386" s="1">
        <v>48.388479099999998</v>
      </c>
      <c r="G1386" s="2">
        <v>98</v>
      </c>
      <c r="H1386" s="2">
        <v>49</v>
      </c>
      <c r="I1386" s="2">
        <v>30</v>
      </c>
      <c r="J1386" s="2">
        <v>1</v>
      </c>
      <c r="K1386" s="2">
        <v>0</v>
      </c>
      <c r="L138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386" s="2" t="str">
        <f>IF(Table1[[#This Row],[Experience Years]]&lt;=2,"Entry Level",IF(Table1[[#This Row],[Experience Years]]&lt;=7,"Mid Level",IF(Table1[[#This Row],[Experience Years]]&lt;=15,"Senior Level")))</f>
        <v>Senior Level</v>
      </c>
      <c r="N1386" s="1">
        <f>AVERAGE(Table1[[#This Row],[Interview Score]:[Personality Score]])</f>
        <v>59</v>
      </c>
      <c r="O13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86" s="2" t="str">
        <f t="shared" si="21"/>
        <v>40-50</v>
      </c>
    </row>
    <row r="1387" spans="1:16" x14ac:dyDescent="0.25">
      <c r="A1387">
        <v>31</v>
      </c>
      <c r="B1387" s="2">
        <v>0</v>
      </c>
      <c r="C1387" s="2">
        <v>1</v>
      </c>
      <c r="D1387" s="2">
        <v>0</v>
      </c>
      <c r="E1387" s="2">
        <v>3</v>
      </c>
      <c r="F1387" s="1">
        <v>3.6848539300000001</v>
      </c>
      <c r="G1387" s="2">
        <v>21</v>
      </c>
      <c r="H1387" s="2">
        <v>35</v>
      </c>
      <c r="I1387" s="2">
        <v>59</v>
      </c>
      <c r="J1387" s="2">
        <v>2</v>
      </c>
      <c r="K1387" s="2">
        <v>1</v>
      </c>
      <c r="L138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87" s="2" t="str">
        <f>IF(Table1[[#This Row],[Experience Years]]&lt;=2,"Entry Level",IF(Table1[[#This Row],[Experience Years]]&lt;=7,"Mid Level",IF(Table1[[#This Row],[Experience Years]]&lt;=15,"Senior Level")))</f>
        <v>Entry Level</v>
      </c>
      <c r="N1387" s="1">
        <f>AVERAGE(Table1[[#This Row],[Interview Score]:[Personality Score]])</f>
        <v>38.333333333333336</v>
      </c>
      <c r="O13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87" s="2" t="str">
        <f t="shared" si="21"/>
        <v>0-10</v>
      </c>
    </row>
    <row r="1388" spans="1:16" x14ac:dyDescent="0.25">
      <c r="A1388">
        <v>37</v>
      </c>
      <c r="B1388" s="2">
        <v>0</v>
      </c>
      <c r="C1388" s="2">
        <v>1</v>
      </c>
      <c r="D1388" s="2">
        <v>9</v>
      </c>
      <c r="E1388" s="2">
        <v>5</v>
      </c>
      <c r="F1388" s="1">
        <v>6.3122854229999996</v>
      </c>
      <c r="G1388" s="2">
        <v>42</v>
      </c>
      <c r="H1388" s="2">
        <v>91</v>
      </c>
      <c r="I1388" s="2">
        <v>36</v>
      </c>
      <c r="J1388" s="2">
        <v>3</v>
      </c>
      <c r="K1388" s="2">
        <v>1</v>
      </c>
      <c r="L138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88" s="2" t="str">
        <f>IF(Table1[[#This Row],[Experience Years]]&lt;=2,"Entry Level",IF(Table1[[#This Row],[Experience Years]]&lt;=7,"Mid Level",IF(Table1[[#This Row],[Experience Years]]&lt;=15,"Senior Level")))</f>
        <v>Senior Level</v>
      </c>
      <c r="N1388" s="1">
        <f>AVERAGE(Table1[[#This Row],[Interview Score]:[Personality Score]])</f>
        <v>56.333333333333336</v>
      </c>
      <c r="O13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88" s="2" t="str">
        <f t="shared" si="21"/>
        <v>0-10</v>
      </c>
    </row>
    <row r="1389" spans="1:16" x14ac:dyDescent="0.25">
      <c r="A1389">
        <v>33</v>
      </c>
      <c r="B1389" s="2">
        <v>0</v>
      </c>
      <c r="C1389" s="2">
        <v>2</v>
      </c>
      <c r="D1389" s="2">
        <v>1</v>
      </c>
      <c r="E1389" s="2">
        <v>5</v>
      </c>
      <c r="F1389" s="1">
        <v>9.6835818479999993</v>
      </c>
      <c r="G1389" s="2">
        <v>26</v>
      </c>
      <c r="H1389" s="2">
        <v>87</v>
      </c>
      <c r="I1389" s="2">
        <v>20</v>
      </c>
      <c r="J1389" s="2">
        <v>2</v>
      </c>
      <c r="K1389" s="2">
        <v>1</v>
      </c>
      <c r="L138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89" s="2" t="str">
        <f>IF(Table1[[#This Row],[Experience Years]]&lt;=2,"Entry Level",IF(Table1[[#This Row],[Experience Years]]&lt;=7,"Mid Level",IF(Table1[[#This Row],[Experience Years]]&lt;=15,"Senior Level")))</f>
        <v>Entry Level</v>
      </c>
      <c r="N1389" s="1">
        <f>AVERAGE(Table1[[#This Row],[Interview Score]:[Personality Score]])</f>
        <v>44.333333333333336</v>
      </c>
      <c r="O13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89" s="2" t="str">
        <f t="shared" si="21"/>
        <v>0-10</v>
      </c>
    </row>
    <row r="1390" spans="1:16" x14ac:dyDescent="0.25">
      <c r="A1390">
        <v>40</v>
      </c>
      <c r="B1390" s="2">
        <v>0</v>
      </c>
      <c r="C1390" s="2">
        <v>3</v>
      </c>
      <c r="D1390" s="2">
        <v>15</v>
      </c>
      <c r="E1390" s="2">
        <v>2</v>
      </c>
      <c r="F1390" s="1">
        <v>35.50855353</v>
      </c>
      <c r="G1390" s="2">
        <v>36</v>
      </c>
      <c r="H1390" s="2">
        <v>68</v>
      </c>
      <c r="I1390" s="2">
        <v>13</v>
      </c>
      <c r="J1390" s="2">
        <v>2</v>
      </c>
      <c r="K1390" s="2">
        <v>0</v>
      </c>
      <c r="L139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390" s="2" t="str">
        <f>IF(Table1[[#This Row],[Experience Years]]&lt;=2,"Entry Level",IF(Table1[[#This Row],[Experience Years]]&lt;=7,"Mid Level",IF(Table1[[#This Row],[Experience Years]]&lt;=15,"Senior Level")))</f>
        <v>Senior Level</v>
      </c>
      <c r="N1390" s="1">
        <f>AVERAGE(Table1[[#This Row],[Interview Score]:[Personality Score]])</f>
        <v>39</v>
      </c>
      <c r="O13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90" s="2" t="str">
        <f t="shared" si="21"/>
        <v>30-40</v>
      </c>
    </row>
    <row r="1391" spans="1:16" x14ac:dyDescent="0.25">
      <c r="A1391">
        <v>43</v>
      </c>
      <c r="B1391" s="2">
        <v>0</v>
      </c>
      <c r="C1391" s="2">
        <v>2</v>
      </c>
      <c r="D1391" s="2">
        <v>7</v>
      </c>
      <c r="E1391" s="2">
        <v>5</v>
      </c>
      <c r="F1391" s="1">
        <v>33.279793640000001</v>
      </c>
      <c r="G1391" s="2">
        <v>45</v>
      </c>
      <c r="H1391" s="2">
        <v>36</v>
      </c>
      <c r="I1391" s="2">
        <v>88</v>
      </c>
      <c r="J1391" s="2">
        <v>1</v>
      </c>
      <c r="K1391" s="2">
        <v>1</v>
      </c>
      <c r="L1391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391" s="2" t="str">
        <f>IF(Table1[[#This Row],[Experience Years]]&lt;=2,"Entry Level",IF(Table1[[#This Row],[Experience Years]]&lt;=7,"Mid Level",IF(Table1[[#This Row],[Experience Years]]&lt;=15,"Senior Level")))</f>
        <v>Mid Level</v>
      </c>
      <c r="N1391" s="1">
        <f>AVERAGE(Table1[[#This Row],[Interview Score]:[Personality Score]])</f>
        <v>56.333333333333336</v>
      </c>
      <c r="O13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91" s="2" t="str">
        <f t="shared" si="21"/>
        <v>30-40</v>
      </c>
    </row>
    <row r="1392" spans="1:16" x14ac:dyDescent="0.25">
      <c r="A1392">
        <v>30</v>
      </c>
      <c r="B1392" s="2">
        <v>0</v>
      </c>
      <c r="C1392" s="2">
        <v>2</v>
      </c>
      <c r="D1392" s="2">
        <v>0</v>
      </c>
      <c r="E1392" s="2">
        <v>2</v>
      </c>
      <c r="F1392" s="1">
        <v>45.602943009999997</v>
      </c>
      <c r="G1392" s="2">
        <v>34</v>
      </c>
      <c r="H1392" s="2">
        <v>11</v>
      </c>
      <c r="I1392" s="2">
        <v>90</v>
      </c>
      <c r="J1392" s="2">
        <v>2</v>
      </c>
      <c r="K1392" s="2">
        <v>1</v>
      </c>
      <c r="L139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92" s="2" t="str">
        <f>IF(Table1[[#This Row],[Experience Years]]&lt;=2,"Entry Level",IF(Table1[[#This Row],[Experience Years]]&lt;=7,"Mid Level",IF(Table1[[#This Row],[Experience Years]]&lt;=15,"Senior Level")))</f>
        <v>Entry Level</v>
      </c>
      <c r="N1392" s="1">
        <f>AVERAGE(Table1[[#This Row],[Interview Score]:[Personality Score]])</f>
        <v>45</v>
      </c>
      <c r="O13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92" s="2" t="str">
        <f t="shared" si="21"/>
        <v>40-50</v>
      </c>
    </row>
    <row r="1393" spans="1:16" x14ac:dyDescent="0.25">
      <c r="A1393">
        <v>28</v>
      </c>
      <c r="B1393" s="2">
        <v>1</v>
      </c>
      <c r="C1393" s="2">
        <v>3</v>
      </c>
      <c r="D1393" s="2">
        <v>14</v>
      </c>
      <c r="E1393" s="2">
        <v>5</v>
      </c>
      <c r="F1393" s="1">
        <v>37.643872639999998</v>
      </c>
      <c r="G1393" s="2">
        <v>3</v>
      </c>
      <c r="H1393" s="2">
        <v>98</v>
      </c>
      <c r="I1393" s="2">
        <v>59</v>
      </c>
      <c r="J1393" s="2">
        <v>2</v>
      </c>
      <c r="K1393" s="2">
        <v>1</v>
      </c>
      <c r="L139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93" t="str">
        <f>IF(Table1[[#This Row],[Experience Years]]&lt;=2,"Entry Level",IF(Table1[[#This Row],[Experience Years]]&lt;=7,"Mid Level",IF(Table1[[#This Row],[Experience Years]]&lt;=15,"Senior Level")))</f>
        <v>Senior Level</v>
      </c>
      <c r="N1393" s="1">
        <f>AVERAGE(Table1[[#This Row],[Interview Score]:[Personality Score]])</f>
        <v>53.333333333333336</v>
      </c>
      <c r="O13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93" s="2" t="str">
        <f t="shared" si="21"/>
        <v>30-40</v>
      </c>
    </row>
    <row r="1394" spans="1:16" x14ac:dyDescent="0.25">
      <c r="A1394">
        <v>21</v>
      </c>
      <c r="B1394" s="2">
        <v>1</v>
      </c>
      <c r="C1394" s="2">
        <v>2</v>
      </c>
      <c r="D1394" s="2">
        <v>11</v>
      </c>
      <c r="E1394" s="2">
        <v>1</v>
      </c>
      <c r="F1394" s="1">
        <v>26.417774380000001</v>
      </c>
      <c r="G1394" s="2">
        <v>79</v>
      </c>
      <c r="H1394" s="2">
        <v>39</v>
      </c>
      <c r="I1394" s="2">
        <v>22</v>
      </c>
      <c r="J1394" s="2">
        <v>2</v>
      </c>
      <c r="K1394" s="2">
        <v>0</v>
      </c>
      <c r="L1394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94" t="str">
        <f>IF(Table1[[#This Row],[Experience Years]]&lt;=2,"Entry Level",IF(Table1[[#This Row],[Experience Years]]&lt;=7,"Mid Level",IF(Table1[[#This Row],[Experience Years]]&lt;=15,"Senior Level")))</f>
        <v>Senior Level</v>
      </c>
      <c r="N1394" s="1">
        <f>AVERAGE(Table1[[#This Row],[Interview Score]:[Personality Score]])</f>
        <v>46.666666666666664</v>
      </c>
      <c r="O13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94" s="2" t="str">
        <f t="shared" si="21"/>
        <v>20-30</v>
      </c>
    </row>
    <row r="1395" spans="1:16" x14ac:dyDescent="0.25">
      <c r="A1395">
        <v>31</v>
      </c>
      <c r="B1395" s="2">
        <v>0</v>
      </c>
      <c r="C1395" s="2">
        <v>3</v>
      </c>
      <c r="D1395" s="2">
        <v>7</v>
      </c>
      <c r="E1395" s="2">
        <v>2</v>
      </c>
      <c r="F1395" s="1">
        <v>50.591589620000001</v>
      </c>
      <c r="G1395" s="2">
        <v>79</v>
      </c>
      <c r="H1395" s="2">
        <v>53</v>
      </c>
      <c r="I1395" s="2">
        <v>94</v>
      </c>
      <c r="J1395" s="2">
        <v>1</v>
      </c>
      <c r="K1395" s="2">
        <v>1</v>
      </c>
      <c r="L1395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395" s="2" t="str">
        <f>IF(Table1[[#This Row],[Experience Years]]&lt;=2,"Entry Level",IF(Table1[[#This Row],[Experience Years]]&lt;=7,"Mid Level",IF(Table1[[#This Row],[Experience Years]]&lt;=15,"Senior Level")))</f>
        <v>Mid Level</v>
      </c>
      <c r="N1395" s="1">
        <f>AVERAGE(Table1[[#This Row],[Interview Score]:[Personality Score]])</f>
        <v>75.333333333333329</v>
      </c>
      <c r="O13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395" s="2" t="str">
        <f t="shared" si="21"/>
        <v>50+</v>
      </c>
    </row>
    <row r="1396" spans="1:16" x14ac:dyDescent="0.25">
      <c r="A1396">
        <v>22</v>
      </c>
      <c r="B1396" s="2">
        <v>1</v>
      </c>
      <c r="C1396" s="2">
        <v>3</v>
      </c>
      <c r="D1396" s="2">
        <v>7</v>
      </c>
      <c r="E1396" s="2">
        <v>2</v>
      </c>
      <c r="F1396" s="1">
        <v>14.305397810000001</v>
      </c>
      <c r="G1396" s="2">
        <v>84</v>
      </c>
      <c r="H1396" s="2">
        <v>1</v>
      </c>
      <c r="I1396" s="2">
        <v>28</v>
      </c>
      <c r="J1396" s="2">
        <v>3</v>
      </c>
      <c r="K1396" s="2">
        <v>0</v>
      </c>
      <c r="L139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96" t="str">
        <f>IF(Table1[[#This Row],[Experience Years]]&lt;=2,"Entry Level",IF(Table1[[#This Row],[Experience Years]]&lt;=7,"Mid Level",IF(Table1[[#This Row],[Experience Years]]&lt;=15,"Senior Level")))</f>
        <v>Mid Level</v>
      </c>
      <c r="N1396" s="1">
        <f>AVERAGE(Table1[[#This Row],[Interview Score]:[Personality Score]])</f>
        <v>37.666666666666664</v>
      </c>
      <c r="O13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96" s="2" t="str">
        <f t="shared" si="21"/>
        <v>10-20</v>
      </c>
    </row>
    <row r="1397" spans="1:16" x14ac:dyDescent="0.25">
      <c r="A1397">
        <v>22</v>
      </c>
      <c r="B1397" s="2">
        <v>1</v>
      </c>
      <c r="C1397" s="2">
        <v>2</v>
      </c>
      <c r="D1397" s="2">
        <v>15</v>
      </c>
      <c r="E1397" s="2">
        <v>4</v>
      </c>
      <c r="F1397" s="1">
        <v>42.659582989999997</v>
      </c>
      <c r="G1397" s="2">
        <v>25</v>
      </c>
      <c r="H1397" s="2">
        <v>49</v>
      </c>
      <c r="I1397" s="2">
        <v>46</v>
      </c>
      <c r="J1397" s="2">
        <v>1</v>
      </c>
      <c r="K1397" s="2">
        <v>0</v>
      </c>
      <c r="L139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97" t="str">
        <f>IF(Table1[[#This Row],[Experience Years]]&lt;=2,"Entry Level",IF(Table1[[#This Row],[Experience Years]]&lt;=7,"Mid Level",IF(Table1[[#This Row],[Experience Years]]&lt;=15,"Senior Level")))</f>
        <v>Senior Level</v>
      </c>
      <c r="N1397" s="1">
        <f>AVERAGE(Table1[[#This Row],[Interview Score]:[Personality Score]])</f>
        <v>40</v>
      </c>
      <c r="O13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397" s="2" t="str">
        <f t="shared" si="21"/>
        <v>40-50</v>
      </c>
    </row>
    <row r="1398" spans="1:16" x14ac:dyDescent="0.25">
      <c r="A1398">
        <v>20</v>
      </c>
      <c r="B1398" s="2">
        <v>1</v>
      </c>
      <c r="C1398" s="2">
        <v>2</v>
      </c>
      <c r="D1398" s="2">
        <v>1</v>
      </c>
      <c r="E1398" s="2">
        <v>5</v>
      </c>
      <c r="F1398" s="1">
        <v>22.339518609999999</v>
      </c>
      <c r="G1398" s="2">
        <v>99</v>
      </c>
      <c r="H1398" s="2">
        <v>40</v>
      </c>
      <c r="I1398" s="2">
        <v>29</v>
      </c>
      <c r="J1398" s="2">
        <v>2</v>
      </c>
      <c r="K1398" s="2">
        <v>0</v>
      </c>
      <c r="L139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398" t="str">
        <f>IF(Table1[[#This Row],[Experience Years]]&lt;=2,"Entry Level",IF(Table1[[#This Row],[Experience Years]]&lt;=7,"Mid Level",IF(Table1[[#This Row],[Experience Years]]&lt;=15,"Senior Level")))</f>
        <v>Entry Level</v>
      </c>
      <c r="N1398" s="1">
        <f>AVERAGE(Table1[[#This Row],[Interview Score]:[Personality Score]])</f>
        <v>56</v>
      </c>
      <c r="O13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98" s="2" t="str">
        <f t="shared" si="21"/>
        <v>20-30</v>
      </c>
    </row>
    <row r="1399" spans="1:16" x14ac:dyDescent="0.25">
      <c r="A1399">
        <v>27</v>
      </c>
      <c r="B1399" s="2">
        <v>1</v>
      </c>
      <c r="C1399" s="2">
        <v>1</v>
      </c>
      <c r="D1399" s="2">
        <v>3</v>
      </c>
      <c r="E1399" s="2">
        <v>5</v>
      </c>
      <c r="F1399" s="1">
        <v>33.436756940000002</v>
      </c>
      <c r="G1399" s="2">
        <v>18</v>
      </c>
      <c r="H1399" s="2">
        <v>44</v>
      </c>
      <c r="I1399" s="2">
        <v>89</v>
      </c>
      <c r="J1399" s="2">
        <v>3</v>
      </c>
      <c r="K1399" s="2">
        <v>0</v>
      </c>
      <c r="L139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399" t="str">
        <f>IF(Table1[[#This Row],[Experience Years]]&lt;=2,"Entry Level",IF(Table1[[#This Row],[Experience Years]]&lt;=7,"Mid Level",IF(Table1[[#This Row],[Experience Years]]&lt;=15,"Senior Level")))</f>
        <v>Mid Level</v>
      </c>
      <c r="N1399" s="1">
        <f>AVERAGE(Table1[[#This Row],[Interview Score]:[Personality Score]])</f>
        <v>50.333333333333336</v>
      </c>
      <c r="O13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399" s="2" t="str">
        <f t="shared" si="21"/>
        <v>30-40</v>
      </c>
    </row>
    <row r="1400" spans="1:16" x14ac:dyDescent="0.25">
      <c r="A1400">
        <v>41</v>
      </c>
      <c r="B1400" s="2">
        <v>0</v>
      </c>
      <c r="C1400" s="2">
        <v>2</v>
      </c>
      <c r="D1400" s="2">
        <v>5</v>
      </c>
      <c r="E1400" s="2">
        <v>2</v>
      </c>
      <c r="F1400" s="1">
        <v>37.363423519999998</v>
      </c>
      <c r="G1400" s="2">
        <v>80</v>
      </c>
      <c r="H1400" s="2">
        <v>8</v>
      </c>
      <c r="I1400" s="2">
        <v>83</v>
      </c>
      <c r="J1400" s="2">
        <v>2</v>
      </c>
      <c r="K1400" s="2">
        <v>1</v>
      </c>
      <c r="L140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00" s="2" t="str">
        <f>IF(Table1[[#This Row],[Experience Years]]&lt;=2,"Entry Level",IF(Table1[[#This Row],[Experience Years]]&lt;=7,"Mid Level",IF(Table1[[#This Row],[Experience Years]]&lt;=15,"Senior Level")))</f>
        <v>Mid Level</v>
      </c>
      <c r="N1400" s="1">
        <f>AVERAGE(Table1[[#This Row],[Interview Score]:[Personality Score]])</f>
        <v>57</v>
      </c>
      <c r="O14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00" s="2" t="str">
        <f t="shared" si="21"/>
        <v>30-40</v>
      </c>
    </row>
    <row r="1401" spans="1:16" x14ac:dyDescent="0.25">
      <c r="A1401">
        <v>47</v>
      </c>
      <c r="B1401" s="2">
        <v>1</v>
      </c>
      <c r="C1401" s="2">
        <v>4</v>
      </c>
      <c r="D1401" s="2">
        <v>11</v>
      </c>
      <c r="E1401" s="2">
        <v>1</v>
      </c>
      <c r="F1401" s="1">
        <v>32.687704359999998</v>
      </c>
      <c r="G1401" s="2">
        <v>44</v>
      </c>
      <c r="H1401" s="2">
        <v>61</v>
      </c>
      <c r="I1401" s="2">
        <v>37</v>
      </c>
      <c r="J1401" s="2">
        <v>2</v>
      </c>
      <c r="K1401" s="2">
        <v>0</v>
      </c>
      <c r="L140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01" t="str">
        <f>IF(Table1[[#This Row],[Experience Years]]&lt;=2,"Entry Level",IF(Table1[[#This Row],[Experience Years]]&lt;=7,"Mid Level",IF(Table1[[#This Row],[Experience Years]]&lt;=15,"Senior Level")))</f>
        <v>Senior Level</v>
      </c>
      <c r="N1401" s="1">
        <f>AVERAGE(Table1[[#This Row],[Interview Score]:[Personality Score]])</f>
        <v>47.333333333333336</v>
      </c>
      <c r="O14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01" s="2" t="str">
        <f t="shared" si="21"/>
        <v>30-40</v>
      </c>
    </row>
    <row r="1402" spans="1:16" x14ac:dyDescent="0.25">
      <c r="A1402">
        <v>48</v>
      </c>
      <c r="B1402" s="2">
        <v>1</v>
      </c>
      <c r="C1402" s="2">
        <v>2</v>
      </c>
      <c r="D1402" s="2">
        <v>10</v>
      </c>
      <c r="E1402" s="2">
        <v>1</v>
      </c>
      <c r="F1402" s="1">
        <v>8.0253651549999994</v>
      </c>
      <c r="G1402" s="2">
        <v>25</v>
      </c>
      <c r="H1402" s="2">
        <v>85</v>
      </c>
      <c r="I1402" s="2">
        <v>82</v>
      </c>
      <c r="J1402" s="2">
        <v>3</v>
      </c>
      <c r="K1402" s="2">
        <v>0</v>
      </c>
      <c r="L140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02" t="str">
        <f>IF(Table1[[#This Row],[Experience Years]]&lt;=2,"Entry Level",IF(Table1[[#This Row],[Experience Years]]&lt;=7,"Mid Level",IF(Table1[[#This Row],[Experience Years]]&lt;=15,"Senior Level")))</f>
        <v>Senior Level</v>
      </c>
      <c r="N1402" s="1">
        <f>AVERAGE(Table1[[#This Row],[Interview Score]:[Personality Score]])</f>
        <v>64</v>
      </c>
      <c r="O140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02" s="2" t="str">
        <f t="shared" si="21"/>
        <v>0-10</v>
      </c>
    </row>
    <row r="1403" spans="1:16" x14ac:dyDescent="0.25">
      <c r="A1403">
        <v>27</v>
      </c>
      <c r="B1403" s="2">
        <v>1</v>
      </c>
      <c r="C1403" s="2">
        <v>2</v>
      </c>
      <c r="D1403" s="2">
        <v>8</v>
      </c>
      <c r="E1403" s="2">
        <v>1</v>
      </c>
      <c r="F1403" s="1">
        <v>23.147550540000001</v>
      </c>
      <c r="G1403" s="2">
        <v>21</v>
      </c>
      <c r="H1403" s="2">
        <v>46</v>
      </c>
      <c r="I1403" s="2">
        <v>26</v>
      </c>
      <c r="J1403" s="2">
        <v>2</v>
      </c>
      <c r="K1403" s="2">
        <v>1</v>
      </c>
      <c r="L1403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03" t="str">
        <f>IF(Table1[[#This Row],[Experience Years]]&lt;=2,"Entry Level",IF(Table1[[#This Row],[Experience Years]]&lt;=7,"Mid Level",IF(Table1[[#This Row],[Experience Years]]&lt;=15,"Senior Level")))</f>
        <v>Senior Level</v>
      </c>
      <c r="N1403" s="1">
        <f>AVERAGE(Table1[[#This Row],[Interview Score]:[Personality Score]])</f>
        <v>31</v>
      </c>
      <c r="O140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03" s="2" t="str">
        <f t="shared" si="21"/>
        <v>20-30</v>
      </c>
    </row>
    <row r="1404" spans="1:16" x14ac:dyDescent="0.25">
      <c r="A1404">
        <v>30</v>
      </c>
      <c r="B1404" s="2">
        <v>0</v>
      </c>
      <c r="C1404" s="2">
        <v>3</v>
      </c>
      <c r="D1404" s="2">
        <v>14</v>
      </c>
      <c r="E1404" s="2">
        <v>5</v>
      </c>
      <c r="F1404" s="1">
        <v>29.0719189</v>
      </c>
      <c r="G1404" s="2">
        <v>57</v>
      </c>
      <c r="H1404" s="2">
        <v>4</v>
      </c>
      <c r="I1404" s="2">
        <v>88</v>
      </c>
      <c r="J1404" s="2">
        <v>1</v>
      </c>
      <c r="K1404" s="2">
        <v>0</v>
      </c>
      <c r="L140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04" s="2" t="str">
        <f>IF(Table1[[#This Row],[Experience Years]]&lt;=2,"Entry Level",IF(Table1[[#This Row],[Experience Years]]&lt;=7,"Mid Level",IF(Table1[[#This Row],[Experience Years]]&lt;=15,"Senior Level")))</f>
        <v>Senior Level</v>
      </c>
      <c r="N1404" s="1">
        <f>AVERAGE(Table1[[#This Row],[Interview Score]:[Personality Score]])</f>
        <v>49.666666666666664</v>
      </c>
      <c r="O140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04" s="2" t="str">
        <f t="shared" si="21"/>
        <v>20-30</v>
      </c>
    </row>
    <row r="1405" spans="1:16" x14ac:dyDescent="0.25">
      <c r="A1405">
        <v>28</v>
      </c>
      <c r="B1405" s="2">
        <v>0</v>
      </c>
      <c r="C1405" s="2">
        <v>2</v>
      </c>
      <c r="D1405" s="2">
        <v>15</v>
      </c>
      <c r="E1405" s="2">
        <v>4</v>
      </c>
      <c r="F1405" s="1">
        <v>43.452187960000003</v>
      </c>
      <c r="G1405" s="2">
        <v>62</v>
      </c>
      <c r="H1405" s="2">
        <v>75</v>
      </c>
      <c r="I1405" s="2">
        <v>86</v>
      </c>
      <c r="J1405" s="2">
        <v>3</v>
      </c>
      <c r="K1405" s="2">
        <v>0</v>
      </c>
      <c r="L140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05" s="2" t="str">
        <f>IF(Table1[[#This Row],[Experience Years]]&lt;=2,"Entry Level",IF(Table1[[#This Row],[Experience Years]]&lt;=7,"Mid Level",IF(Table1[[#This Row],[Experience Years]]&lt;=15,"Senior Level")))</f>
        <v>Senior Level</v>
      </c>
      <c r="N1405" s="1">
        <f>AVERAGE(Table1[[#This Row],[Interview Score]:[Personality Score]])</f>
        <v>74.333333333333329</v>
      </c>
      <c r="O140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05" s="2" t="str">
        <f t="shared" si="21"/>
        <v>40-50</v>
      </c>
    </row>
    <row r="1406" spans="1:16" x14ac:dyDescent="0.25">
      <c r="A1406">
        <v>24</v>
      </c>
      <c r="B1406" s="2">
        <v>0</v>
      </c>
      <c r="C1406" s="2">
        <v>1</v>
      </c>
      <c r="D1406" s="2">
        <v>7</v>
      </c>
      <c r="E1406" s="2">
        <v>2</v>
      </c>
      <c r="F1406" s="1">
        <v>23.18228744</v>
      </c>
      <c r="G1406" s="2">
        <v>27</v>
      </c>
      <c r="H1406" s="2">
        <v>0</v>
      </c>
      <c r="I1406" s="2">
        <v>92</v>
      </c>
      <c r="J1406" s="2">
        <v>1</v>
      </c>
      <c r="K1406" s="2">
        <v>0</v>
      </c>
      <c r="L140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06" s="2" t="str">
        <f>IF(Table1[[#This Row],[Experience Years]]&lt;=2,"Entry Level",IF(Table1[[#This Row],[Experience Years]]&lt;=7,"Mid Level",IF(Table1[[#This Row],[Experience Years]]&lt;=15,"Senior Level")))</f>
        <v>Mid Level</v>
      </c>
      <c r="N1406" s="1">
        <f>AVERAGE(Table1[[#This Row],[Interview Score]:[Personality Score]])</f>
        <v>39.666666666666664</v>
      </c>
      <c r="O140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06" s="2" t="str">
        <f t="shared" si="21"/>
        <v>20-30</v>
      </c>
    </row>
    <row r="1407" spans="1:16" x14ac:dyDescent="0.25">
      <c r="A1407">
        <v>33</v>
      </c>
      <c r="B1407" s="2">
        <v>0</v>
      </c>
      <c r="C1407" s="2">
        <v>2</v>
      </c>
      <c r="D1407" s="2">
        <v>11</v>
      </c>
      <c r="E1407" s="2">
        <v>3</v>
      </c>
      <c r="F1407" s="1">
        <v>46.937365239999998</v>
      </c>
      <c r="G1407" s="2">
        <v>64</v>
      </c>
      <c r="H1407" s="2">
        <v>43</v>
      </c>
      <c r="I1407" s="2">
        <v>14</v>
      </c>
      <c r="J1407" s="2">
        <v>3</v>
      </c>
      <c r="K1407" s="2">
        <v>0</v>
      </c>
      <c r="L1407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07" s="2" t="str">
        <f>IF(Table1[[#This Row],[Experience Years]]&lt;=2,"Entry Level",IF(Table1[[#This Row],[Experience Years]]&lt;=7,"Mid Level",IF(Table1[[#This Row],[Experience Years]]&lt;=15,"Senior Level")))</f>
        <v>Senior Level</v>
      </c>
      <c r="N1407" s="1">
        <f>AVERAGE(Table1[[#This Row],[Interview Score]:[Personality Score]])</f>
        <v>40.333333333333336</v>
      </c>
      <c r="O140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07" s="2" t="str">
        <f t="shared" si="21"/>
        <v>40-50</v>
      </c>
    </row>
    <row r="1408" spans="1:16" x14ac:dyDescent="0.25">
      <c r="A1408">
        <v>47</v>
      </c>
      <c r="B1408" s="2">
        <v>0</v>
      </c>
      <c r="C1408" s="2">
        <v>2</v>
      </c>
      <c r="D1408" s="2">
        <v>14</v>
      </c>
      <c r="E1408" s="2">
        <v>4</v>
      </c>
      <c r="F1408" s="1">
        <v>23.018711150000001</v>
      </c>
      <c r="G1408" s="2">
        <v>43</v>
      </c>
      <c r="H1408" s="2">
        <v>21</v>
      </c>
      <c r="I1408" s="2">
        <v>58</v>
      </c>
      <c r="J1408" s="2">
        <v>1</v>
      </c>
      <c r="K1408" s="2">
        <v>0</v>
      </c>
      <c r="L140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08" s="2" t="str">
        <f>IF(Table1[[#This Row],[Experience Years]]&lt;=2,"Entry Level",IF(Table1[[#This Row],[Experience Years]]&lt;=7,"Mid Level",IF(Table1[[#This Row],[Experience Years]]&lt;=15,"Senior Level")))</f>
        <v>Senior Level</v>
      </c>
      <c r="N1408" s="1">
        <f>AVERAGE(Table1[[#This Row],[Interview Score]:[Personality Score]])</f>
        <v>40.666666666666664</v>
      </c>
      <c r="O140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08" s="2" t="str">
        <f t="shared" si="21"/>
        <v>20-30</v>
      </c>
    </row>
    <row r="1409" spans="1:16" x14ac:dyDescent="0.25">
      <c r="A1409">
        <v>49</v>
      </c>
      <c r="B1409" s="2">
        <v>0</v>
      </c>
      <c r="C1409" s="2">
        <v>3</v>
      </c>
      <c r="D1409" s="2">
        <v>7</v>
      </c>
      <c r="E1409" s="2">
        <v>3</v>
      </c>
      <c r="F1409" s="1">
        <v>28.43899296</v>
      </c>
      <c r="G1409" s="2">
        <v>99</v>
      </c>
      <c r="H1409" s="2">
        <v>37</v>
      </c>
      <c r="I1409" s="2">
        <v>2</v>
      </c>
      <c r="J1409" s="2">
        <v>2</v>
      </c>
      <c r="K1409" s="2">
        <v>0</v>
      </c>
      <c r="L140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09" s="2" t="str">
        <f>IF(Table1[[#This Row],[Experience Years]]&lt;=2,"Entry Level",IF(Table1[[#This Row],[Experience Years]]&lt;=7,"Mid Level",IF(Table1[[#This Row],[Experience Years]]&lt;=15,"Senior Level")))</f>
        <v>Mid Level</v>
      </c>
      <c r="N1409" s="1">
        <f>AVERAGE(Table1[[#This Row],[Interview Score]:[Personality Score]])</f>
        <v>46</v>
      </c>
      <c r="O140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09" s="2" t="str">
        <f t="shared" si="21"/>
        <v>20-30</v>
      </c>
    </row>
    <row r="1410" spans="1:16" x14ac:dyDescent="0.25">
      <c r="A1410">
        <v>22</v>
      </c>
      <c r="B1410" s="2">
        <v>0</v>
      </c>
      <c r="C1410" s="2">
        <v>1</v>
      </c>
      <c r="D1410" s="2">
        <v>6</v>
      </c>
      <c r="E1410" s="2">
        <v>4</v>
      </c>
      <c r="F1410" s="1">
        <v>40.814284149999999</v>
      </c>
      <c r="G1410" s="2">
        <v>42</v>
      </c>
      <c r="H1410" s="2">
        <v>18</v>
      </c>
      <c r="I1410" s="2">
        <v>9</v>
      </c>
      <c r="J1410" s="2">
        <v>2</v>
      </c>
      <c r="K1410" s="2">
        <v>1</v>
      </c>
      <c r="L141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10" s="2" t="str">
        <f>IF(Table1[[#This Row],[Experience Years]]&lt;=2,"Entry Level",IF(Table1[[#This Row],[Experience Years]]&lt;=7,"Mid Level",IF(Table1[[#This Row],[Experience Years]]&lt;=15,"Senior Level")))</f>
        <v>Mid Level</v>
      </c>
      <c r="N1410" s="1">
        <f>AVERAGE(Table1[[#This Row],[Interview Score]:[Personality Score]])</f>
        <v>23</v>
      </c>
      <c r="O141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10" s="2" t="str">
        <f t="shared" ref="P1410:P1473" si="22">IF(F1410&lt;10,"0-10",IF(F1410&lt;20,"10-20",IF(F1410&lt;30,"20-30",IF(F1410&lt;40,"30-40",IF(F1410&lt;50,"40-50","50+")))))</f>
        <v>40-50</v>
      </c>
    </row>
    <row r="1411" spans="1:16" x14ac:dyDescent="0.25">
      <c r="A1411">
        <v>40</v>
      </c>
      <c r="B1411" s="2">
        <v>1</v>
      </c>
      <c r="C1411" s="2">
        <v>2</v>
      </c>
      <c r="D1411" s="2">
        <v>13</v>
      </c>
      <c r="E1411" s="2">
        <v>1</v>
      </c>
      <c r="F1411" s="1">
        <v>30.15338422</v>
      </c>
      <c r="G1411" s="2">
        <v>36</v>
      </c>
      <c r="H1411" s="2">
        <v>79</v>
      </c>
      <c r="I1411" s="2">
        <v>78</v>
      </c>
      <c r="J1411" s="2">
        <v>3</v>
      </c>
      <c r="K1411" s="2">
        <v>1</v>
      </c>
      <c r="L1411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11" t="str">
        <f>IF(Table1[[#This Row],[Experience Years]]&lt;=2,"Entry Level",IF(Table1[[#This Row],[Experience Years]]&lt;=7,"Mid Level",IF(Table1[[#This Row],[Experience Years]]&lt;=15,"Senior Level")))</f>
        <v>Senior Level</v>
      </c>
      <c r="N1411" s="1">
        <f>AVERAGE(Table1[[#This Row],[Interview Score]:[Personality Score]])</f>
        <v>64.333333333333329</v>
      </c>
      <c r="O141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11" s="2" t="str">
        <f t="shared" si="22"/>
        <v>30-40</v>
      </c>
    </row>
    <row r="1412" spans="1:16" x14ac:dyDescent="0.25">
      <c r="A1412">
        <v>24</v>
      </c>
      <c r="B1412" s="2">
        <v>1</v>
      </c>
      <c r="C1412" s="2">
        <v>2</v>
      </c>
      <c r="D1412" s="2">
        <v>12</v>
      </c>
      <c r="E1412" s="2">
        <v>5</v>
      </c>
      <c r="F1412" s="1">
        <v>49.010903620000001</v>
      </c>
      <c r="G1412" s="2">
        <v>65</v>
      </c>
      <c r="H1412" s="2">
        <v>30</v>
      </c>
      <c r="I1412" s="2">
        <v>79</v>
      </c>
      <c r="J1412" s="2">
        <v>2</v>
      </c>
      <c r="K1412" s="2">
        <v>1</v>
      </c>
      <c r="L141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12" t="str">
        <f>IF(Table1[[#This Row],[Experience Years]]&lt;=2,"Entry Level",IF(Table1[[#This Row],[Experience Years]]&lt;=7,"Mid Level",IF(Table1[[#This Row],[Experience Years]]&lt;=15,"Senior Level")))</f>
        <v>Senior Level</v>
      </c>
      <c r="N1412" s="1">
        <f>AVERAGE(Table1[[#This Row],[Interview Score]:[Personality Score]])</f>
        <v>58</v>
      </c>
      <c r="O141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12" s="2" t="str">
        <f t="shared" si="22"/>
        <v>40-50</v>
      </c>
    </row>
    <row r="1413" spans="1:16" x14ac:dyDescent="0.25">
      <c r="A1413">
        <v>24</v>
      </c>
      <c r="B1413" s="2">
        <v>1</v>
      </c>
      <c r="C1413" s="2">
        <v>2</v>
      </c>
      <c r="D1413" s="2">
        <v>8</v>
      </c>
      <c r="E1413" s="2">
        <v>3</v>
      </c>
      <c r="F1413" s="1">
        <v>34.016791529999999</v>
      </c>
      <c r="G1413" s="2">
        <v>16</v>
      </c>
      <c r="H1413" s="2">
        <v>66</v>
      </c>
      <c r="I1413" s="2">
        <v>16</v>
      </c>
      <c r="J1413" s="2">
        <v>1</v>
      </c>
      <c r="K1413" s="2">
        <v>1</v>
      </c>
      <c r="L141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13" t="str">
        <f>IF(Table1[[#This Row],[Experience Years]]&lt;=2,"Entry Level",IF(Table1[[#This Row],[Experience Years]]&lt;=7,"Mid Level",IF(Table1[[#This Row],[Experience Years]]&lt;=15,"Senior Level")))</f>
        <v>Senior Level</v>
      </c>
      <c r="N1413" s="1">
        <f>AVERAGE(Table1[[#This Row],[Interview Score]:[Personality Score]])</f>
        <v>32.666666666666664</v>
      </c>
      <c r="O141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13" s="2" t="str">
        <f t="shared" si="22"/>
        <v>30-40</v>
      </c>
    </row>
    <row r="1414" spans="1:16" x14ac:dyDescent="0.25">
      <c r="A1414">
        <v>38</v>
      </c>
      <c r="B1414" s="2">
        <v>0</v>
      </c>
      <c r="C1414" s="2">
        <v>2</v>
      </c>
      <c r="D1414" s="2">
        <v>14</v>
      </c>
      <c r="E1414" s="2">
        <v>4</v>
      </c>
      <c r="F1414" s="1">
        <v>27.135472700000001</v>
      </c>
      <c r="G1414" s="2">
        <v>39</v>
      </c>
      <c r="H1414" s="2">
        <v>86</v>
      </c>
      <c r="I1414" s="2">
        <v>82</v>
      </c>
      <c r="J1414" s="2">
        <v>2</v>
      </c>
      <c r="K1414" s="2">
        <v>0</v>
      </c>
      <c r="L141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14" s="2" t="str">
        <f>IF(Table1[[#This Row],[Experience Years]]&lt;=2,"Entry Level",IF(Table1[[#This Row],[Experience Years]]&lt;=7,"Mid Level",IF(Table1[[#This Row],[Experience Years]]&lt;=15,"Senior Level")))</f>
        <v>Senior Level</v>
      </c>
      <c r="N1414" s="1">
        <f>AVERAGE(Table1[[#This Row],[Interview Score]:[Personality Score]])</f>
        <v>69</v>
      </c>
      <c r="O141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14" s="2" t="str">
        <f t="shared" si="22"/>
        <v>20-30</v>
      </c>
    </row>
    <row r="1415" spans="1:16" x14ac:dyDescent="0.25">
      <c r="A1415">
        <v>46</v>
      </c>
      <c r="B1415" s="2">
        <v>0</v>
      </c>
      <c r="C1415" s="2">
        <v>2</v>
      </c>
      <c r="D1415" s="2">
        <v>1</v>
      </c>
      <c r="E1415" s="2">
        <v>5</v>
      </c>
      <c r="F1415" s="1">
        <v>2.1795983890000001</v>
      </c>
      <c r="G1415" s="2">
        <v>37</v>
      </c>
      <c r="H1415" s="2">
        <v>41</v>
      </c>
      <c r="I1415" s="2">
        <v>10</v>
      </c>
      <c r="J1415" s="2">
        <v>1</v>
      </c>
      <c r="K1415" s="2">
        <v>0</v>
      </c>
      <c r="L141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15" s="2" t="str">
        <f>IF(Table1[[#This Row],[Experience Years]]&lt;=2,"Entry Level",IF(Table1[[#This Row],[Experience Years]]&lt;=7,"Mid Level",IF(Table1[[#This Row],[Experience Years]]&lt;=15,"Senior Level")))</f>
        <v>Entry Level</v>
      </c>
      <c r="N1415" s="1">
        <f>AVERAGE(Table1[[#This Row],[Interview Score]:[Personality Score]])</f>
        <v>29.333333333333332</v>
      </c>
      <c r="O141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15" s="2" t="str">
        <f t="shared" si="22"/>
        <v>0-10</v>
      </c>
    </row>
    <row r="1416" spans="1:16" x14ac:dyDescent="0.25">
      <c r="A1416">
        <v>33</v>
      </c>
      <c r="B1416" s="2">
        <v>0</v>
      </c>
      <c r="C1416" s="2">
        <v>2</v>
      </c>
      <c r="D1416" s="2">
        <v>2</v>
      </c>
      <c r="E1416" s="2">
        <v>3</v>
      </c>
      <c r="F1416" s="1">
        <v>21.686644879999999</v>
      </c>
      <c r="G1416" s="2">
        <v>84</v>
      </c>
      <c r="H1416" s="2">
        <v>81</v>
      </c>
      <c r="I1416" s="2">
        <v>47</v>
      </c>
      <c r="J1416" s="2">
        <v>2</v>
      </c>
      <c r="K1416" s="2">
        <v>0</v>
      </c>
      <c r="L141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16" s="2" t="str">
        <f>IF(Table1[[#This Row],[Experience Years]]&lt;=2,"Entry Level",IF(Table1[[#This Row],[Experience Years]]&lt;=7,"Mid Level",IF(Table1[[#This Row],[Experience Years]]&lt;=15,"Senior Level")))</f>
        <v>Entry Level</v>
      </c>
      <c r="N1416" s="1">
        <f>AVERAGE(Table1[[#This Row],[Interview Score]:[Personality Score]])</f>
        <v>70.666666666666671</v>
      </c>
      <c r="O141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16" s="2" t="str">
        <f t="shared" si="22"/>
        <v>20-30</v>
      </c>
    </row>
    <row r="1417" spans="1:16" x14ac:dyDescent="0.25">
      <c r="A1417">
        <v>45</v>
      </c>
      <c r="B1417" s="2">
        <v>0</v>
      </c>
      <c r="C1417" s="2">
        <v>4</v>
      </c>
      <c r="D1417" s="2">
        <v>9</v>
      </c>
      <c r="E1417" s="2">
        <v>2</v>
      </c>
      <c r="F1417" s="1">
        <v>15.962420959999999</v>
      </c>
      <c r="G1417" s="2">
        <v>60</v>
      </c>
      <c r="H1417" s="2">
        <v>25</v>
      </c>
      <c r="I1417" s="2">
        <v>4</v>
      </c>
      <c r="J1417" s="2">
        <v>3</v>
      </c>
      <c r="K1417" s="2">
        <v>1</v>
      </c>
      <c r="L1417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17" s="2" t="str">
        <f>IF(Table1[[#This Row],[Experience Years]]&lt;=2,"Entry Level",IF(Table1[[#This Row],[Experience Years]]&lt;=7,"Mid Level",IF(Table1[[#This Row],[Experience Years]]&lt;=15,"Senior Level")))</f>
        <v>Senior Level</v>
      </c>
      <c r="N1417" s="1">
        <f>AVERAGE(Table1[[#This Row],[Interview Score]:[Personality Score]])</f>
        <v>29.666666666666668</v>
      </c>
      <c r="O141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17" s="2" t="str">
        <f t="shared" si="22"/>
        <v>10-20</v>
      </c>
    </row>
    <row r="1418" spans="1:16" x14ac:dyDescent="0.25">
      <c r="A1418">
        <v>49</v>
      </c>
      <c r="B1418" s="2">
        <v>0</v>
      </c>
      <c r="C1418" s="2">
        <v>2</v>
      </c>
      <c r="D1418" s="2">
        <v>7</v>
      </c>
      <c r="E1418" s="2">
        <v>4</v>
      </c>
      <c r="F1418" s="1">
        <v>38.405283390000001</v>
      </c>
      <c r="G1418" s="2">
        <v>8</v>
      </c>
      <c r="H1418" s="2">
        <v>12</v>
      </c>
      <c r="I1418" s="2">
        <v>68</v>
      </c>
      <c r="J1418" s="2">
        <v>2</v>
      </c>
      <c r="K1418" s="2">
        <v>1</v>
      </c>
      <c r="L141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18" s="2" t="str">
        <f>IF(Table1[[#This Row],[Experience Years]]&lt;=2,"Entry Level",IF(Table1[[#This Row],[Experience Years]]&lt;=7,"Mid Level",IF(Table1[[#This Row],[Experience Years]]&lt;=15,"Senior Level")))</f>
        <v>Mid Level</v>
      </c>
      <c r="N1418" s="1">
        <f>AVERAGE(Table1[[#This Row],[Interview Score]:[Personality Score]])</f>
        <v>29.333333333333332</v>
      </c>
      <c r="O141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18" s="2" t="str">
        <f t="shared" si="22"/>
        <v>30-40</v>
      </c>
    </row>
    <row r="1419" spans="1:16" x14ac:dyDescent="0.25">
      <c r="A1419">
        <v>23</v>
      </c>
      <c r="B1419" s="2">
        <v>1</v>
      </c>
      <c r="C1419" s="2">
        <v>1</v>
      </c>
      <c r="D1419" s="2">
        <v>13</v>
      </c>
      <c r="E1419" s="2">
        <v>2</v>
      </c>
      <c r="F1419" s="1">
        <v>11.413883759999999</v>
      </c>
      <c r="G1419" s="2">
        <v>76</v>
      </c>
      <c r="H1419" s="2">
        <v>57</v>
      </c>
      <c r="I1419" s="2">
        <v>63</v>
      </c>
      <c r="J1419" s="2">
        <v>2</v>
      </c>
      <c r="K1419" s="2">
        <v>0</v>
      </c>
      <c r="L141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19" t="str">
        <f>IF(Table1[[#This Row],[Experience Years]]&lt;=2,"Entry Level",IF(Table1[[#This Row],[Experience Years]]&lt;=7,"Mid Level",IF(Table1[[#This Row],[Experience Years]]&lt;=15,"Senior Level")))</f>
        <v>Senior Level</v>
      </c>
      <c r="N1419" s="1">
        <f>AVERAGE(Table1[[#This Row],[Interview Score]:[Personality Score]])</f>
        <v>65.333333333333329</v>
      </c>
      <c r="O141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19" s="2" t="str">
        <f t="shared" si="22"/>
        <v>10-20</v>
      </c>
    </row>
    <row r="1420" spans="1:16" x14ac:dyDescent="0.25">
      <c r="A1420">
        <v>44</v>
      </c>
      <c r="B1420" s="2">
        <v>1</v>
      </c>
      <c r="C1420" s="2">
        <v>2</v>
      </c>
      <c r="D1420" s="2">
        <v>5</v>
      </c>
      <c r="E1420" s="2">
        <v>1</v>
      </c>
      <c r="F1420" s="1">
        <v>11.261004359999999</v>
      </c>
      <c r="G1420" s="2">
        <v>74</v>
      </c>
      <c r="H1420" s="2">
        <v>17</v>
      </c>
      <c r="I1420" s="2">
        <v>13</v>
      </c>
      <c r="J1420" s="2">
        <v>1</v>
      </c>
      <c r="K1420" s="2">
        <v>0</v>
      </c>
      <c r="L142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20" t="str">
        <f>IF(Table1[[#This Row],[Experience Years]]&lt;=2,"Entry Level",IF(Table1[[#This Row],[Experience Years]]&lt;=7,"Mid Level",IF(Table1[[#This Row],[Experience Years]]&lt;=15,"Senior Level")))</f>
        <v>Mid Level</v>
      </c>
      <c r="N1420" s="1">
        <f>AVERAGE(Table1[[#This Row],[Interview Score]:[Personality Score]])</f>
        <v>34.666666666666664</v>
      </c>
      <c r="O142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20" s="2" t="str">
        <f t="shared" si="22"/>
        <v>10-20</v>
      </c>
    </row>
    <row r="1421" spans="1:16" x14ac:dyDescent="0.25">
      <c r="A1421">
        <v>32</v>
      </c>
      <c r="B1421" s="2">
        <v>0</v>
      </c>
      <c r="C1421" s="2">
        <v>3</v>
      </c>
      <c r="D1421" s="2">
        <v>9</v>
      </c>
      <c r="E1421" s="2">
        <v>2</v>
      </c>
      <c r="F1421" s="1">
        <v>10.47595216</v>
      </c>
      <c r="G1421" s="2">
        <v>60</v>
      </c>
      <c r="H1421" s="2">
        <v>66</v>
      </c>
      <c r="I1421" s="2">
        <v>49</v>
      </c>
      <c r="J1421" s="2">
        <v>2</v>
      </c>
      <c r="K1421" s="2">
        <v>1</v>
      </c>
      <c r="L142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21" s="2" t="str">
        <f>IF(Table1[[#This Row],[Experience Years]]&lt;=2,"Entry Level",IF(Table1[[#This Row],[Experience Years]]&lt;=7,"Mid Level",IF(Table1[[#This Row],[Experience Years]]&lt;=15,"Senior Level")))</f>
        <v>Senior Level</v>
      </c>
      <c r="N1421" s="1">
        <f>AVERAGE(Table1[[#This Row],[Interview Score]:[Personality Score]])</f>
        <v>58.333333333333336</v>
      </c>
      <c r="O142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21" s="2" t="str">
        <f t="shared" si="22"/>
        <v>10-20</v>
      </c>
    </row>
    <row r="1422" spans="1:16" x14ac:dyDescent="0.25">
      <c r="A1422">
        <v>29</v>
      </c>
      <c r="B1422" s="2">
        <v>0</v>
      </c>
      <c r="C1422" s="2">
        <v>3</v>
      </c>
      <c r="D1422" s="2">
        <v>8</v>
      </c>
      <c r="E1422" s="2">
        <v>2</v>
      </c>
      <c r="F1422" s="1">
        <v>7.2807806580000003</v>
      </c>
      <c r="G1422" s="2">
        <v>79</v>
      </c>
      <c r="H1422" s="2">
        <v>86</v>
      </c>
      <c r="I1422" s="2">
        <v>25</v>
      </c>
      <c r="J1422" s="2">
        <v>2</v>
      </c>
      <c r="K1422" s="2">
        <v>1</v>
      </c>
      <c r="L1422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22" s="2" t="str">
        <f>IF(Table1[[#This Row],[Experience Years]]&lt;=2,"Entry Level",IF(Table1[[#This Row],[Experience Years]]&lt;=7,"Mid Level",IF(Table1[[#This Row],[Experience Years]]&lt;=15,"Senior Level")))</f>
        <v>Senior Level</v>
      </c>
      <c r="N1422" s="1">
        <f>AVERAGE(Table1[[#This Row],[Interview Score]:[Personality Score]])</f>
        <v>63.333333333333336</v>
      </c>
      <c r="O142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22" s="2" t="str">
        <f t="shared" si="22"/>
        <v>0-10</v>
      </c>
    </row>
    <row r="1423" spans="1:16" x14ac:dyDescent="0.25">
      <c r="A1423">
        <v>44</v>
      </c>
      <c r="B1423" s="2">
        <v>0</v>
      </c>
      <c r="C1423" s="2">
        <v>1</v>
      </c>
      <c r="D1423" s="2">
        <v>9</v>
      </c>
      <c r="E1423" s="2">
        <v>4</v>
      </c>
      <c r="F1423" s="1">
        <v>16.550350179999999</v>
      </c>
      <c r="G1423" s="2">
        <v>15</v>
      </c>
      <c r="H1423" s="2">
        <v>2</v>
      </c>
      <c r="I1423" s="2">
        <v>71</v>
      </c>
      <c r="J1423" s="2">
        <v>2</v>
      </c>
      <c r="K1423" s="2">
        <v>1</v>
      </c>
      <c r="L142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23" s="2" t="str">
        <f>IF(Table1[[#This Row],[Experience Years]]&lt;=2,"Entry Level",IF(Table1[[#This Row],[Experience Years]]&lt;=7,"Mid Level",IF(Table1[[#This Row],[Experience Years]]&lt;=15,"Senior Level")))</f>
        <v>Senior Level</v>
      </c>
      <c r="N1423" s="1">
        <f>AVERAGE(Table1[[#This Row],[Interview Score]:[Personality Score]])</f>
        <v>29.333333333333332</v>
      </c>
      <c r="O142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23" s="2" t="str">
        <f t="shared" si="22"/>
        <v>10-20</v>
      </c>
    </row>
    <row r="1424" spans="1:16" x14ac:dyDescent="0.25">
      <c r="A1424">
        <v>37</v>
      </c>
      <c r="B1424" s="2">
        <v>0</v>
      </c>
      <c r="C1424" s="2">
        <v>4</v>
      </c>
      <c r="D1424" s="2">
        <v>3</v>
      </c>
      <c r="E1424" s="2">
        <v>1</v>
      </c>
      <c r="F1424" s="1">
        <v>45.29610572</v>
      </c>
      <c r="G1424" s="2">
        <v>1</v>
      </c>
      <c r="H1424" s="2">
        <v>54</v>
      </c>
      <c r="I1424" s="2">
        <v>68</v>
      </c>
      <c r="J1424" s="2">
        <v>1</v>
      </c>
      <c r="K1424" s="2">
        <v>1</v>
      </c>
      <c r="L142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24" s="2" t="str">
        <f>IF(Table1[[#This Row],[Experience Years]]&lt;=2,"Entry Level",IF(Table1[[#This Row],[Experience Years]]&lt;=7,"Mid Level",IF(Table1[[#This Row],[Experience Years]]&lt;=15,"Senior Level")))</f>
        <v>Mid Level</v>
      </c>
      <c r="N1424" s="1">
        <f>AVERAGE(Table1[[#This Row],[Interview Score]:[Personality Score]])</f>
        <v>41</v>
      </c>
      <c r="O142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24" s="2" t="str">
        <f t="shared" si="22"/>
        <v>40-50</v>
      </c>
    </row>
    <row r="1425" spans="1:16" x14ac:dyDescent="0.25">
      <c r="A1425">
        <v>27</v>
      </c>
      <c r="B1425" s="2">
        <v>1</v>
      </c>
      <c r="C1425" s="2">
        <v>2</v>
      </c>
      <c r="D1425" s="2">
        <v>15</v>
      </c>
      <c r="E1425" s="2">
        <v>2</v>
      </c>
      <c r="F1425" s="1">
        <v>39.746423620000002</v>
      </c>
      <c r="G1425" s="2">
        <v>71</v>
      </c>
      <c r="H1425" s="2">
        <v>88</v>
      </c>
      <c r="I1425" s="2">
        <v>6</v>
      </c>
      <c r="J1425" s="2">
        <v>2</v>
      </c>
      <c r="K1425" s="2">
        <v>0</v>
      </c>
      <c r="L142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25" t="str">
        <f>IF(Table1[[#This Row],[Experience Years]]&lt;=2,"Entry Level",IF(Table1[[#This Row],[Experience Years]]&lt;=7,"Mid Level",IF(Table1[[#This Row],[Experience Years]]&lt;=15,"Senior Level")))</f>
        <v>Senior Level</v>
      </c>
      <c r="N1425" s="1">
        <f>AVERAGE(Table1[[#This Row],[Interview Score]:[Personality Score]])</f>
        <v>55</v>
      </c>
      <c r="O142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25" s="2" t="str">
        <f t="shared" si="22"/>
        <v>30-40</v>
      </c>
    </row>
    <row r="1426" spans="1:16" x14ac:dyDescent="0.25">
      <c r="A1426">
        <v>27</v>
      </c>
      <c r="B1426" s="2">
        <v>0</v>
      </c>
      <c r="C1426" s="2">
        <v>1</v>
      </c>
      <c r="D1426" s="2">
        <v>7</v>
      </c>
      <c r="E1426" s="2">
        <v>5</v>
      </c>
      <c r="F1426" s="1">
        <v>37.762560819999997</v>
      </c>
      <c r="G1426" s="2">
        <v>42</v>
      </c>
      <c r="H1426" s="2">
        <v>90</v>
      </c>
      <c r="I1426" s="2">
        <v>15</v>
      </c>
      <c r="J1426" s="2">
        <v>1</v>
      </c>
      <c r="K1426" s="2">
        <v>1</v>
      </c>
      <c r="L142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26" s="2" t="str">
        <f>IF(Table1[[#This Row],[Experience Years]]&lt;=2,"Entry Level",IF(Table1[[#This Row],[Experience Years]]&lt;=7,"Mid Level",IF(Table1[[#This Row],[Experience Years]]&lt;=15,"Senior Level")))</f>
        <v>Mid Level</v>
      </c>
      <c r="N1426" s="1">
        <f>AVERAGE(Table1[[#This Row],[Interview Score]:[Personality Score]])</f>
        <v>49</v>
      </c>
      <c r="O142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26" s="2" t="str">
        <f t="shared" si="22"/>
        <v>30-40</v>
      </c>
    </row>
    <row r="1427" spans="1:16" x14ac:dyDescent="0.25">
      <c r="A1427">
        <v>26</v>
      </c>
      <c r="B1427" s="2">
        <v>0</v>
      </c>
      <c r="C1427" s="2">
        <v>1</v>
      </c>
      <c r="D1427" s="2">
        <v>9</v>
      </c>
      <c r="E1427" s="2">
        <v>3</v>
      </c>
      <c r="F1427" s="1">
        <v>40.866840279999998</v>
      </c>
      <c r="G1427" s="2">
        <v>41</v>
      </c>
      <c r="H1427" s="2">
        <v>57</v>
      </c>
      <c r="I1427" s="2">
        <v>54</v>
      </c>
      <c r="J1427" s="2">
        <v>2</v>
      </c>
      <c r="K1427" s="2">
        <v>1</v>
      </c>
      <c r="L142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27" s="2" t="str">
        <f>IF(Table1[[#This Row],[Experience Years]]&lt;=2,"Entry Level",IF(Table1[[#This Row],[Experience Years]]&lt;=7,"Mid Level",IF(Table1[[#This Row],[Experience Years]]&lt;=15,"Senior Level")))</f>
        <v>Senior Level</v>
      </c>
      <c r="N1427" s="1">
        <f>AVERAGE(Table1[[#This Row],[Interview Score]:[Personality Score]])</f>
        <v>50.666666666666664</v>
      </c>
      <c r="O142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27" s="2" t="str">
        <f t="shared" si="22"/>
        <v>40-50</v>
      </c>
    </row>
    <row r="1428" spans="1:16" x14ac:dyDescent="0.25">
      <c r="A1428">
        <v>27</v>
      </c>
      <c r="B1428" s="2">
        <v>0</v>
      </c>
      <c r="C1428" s="2">
        <v>1</v>
      </c>
      <c r="D1428" s="2">
        <v>2</v>
      </c>
      <c r="E1428" s="2">
        <v>2</v>
      </c>
      <c r="F1428" s="1">
        <v>14.470894469999999</v>
      </c>
      <c r="G1428" s="2">
        <v>76</v>
      </c>
      <c r="H1428" s="2">
        <v>62</v>
      </c>
      <c r="I1428" s="2">
        <v>77</v>
      </c>
      <c r="J1428" s="2">
        <v>1</v>
      </c>
      <c r="K1428" s="2">
        <v>0</v>
      </c>
      <c r="L142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28" s="2" t="str">
        <f>IF(Table1[[#This Row],[Experience Years]]&lt;=2,"Entry Level",IF(Table1[[#This Row],[Experience Years]]&lt;=7,"Mid Level",IF(Table1[[#This Row],[Experience Years]]&lt;=15,"Senior Level")))</f>
        <v>Entry Level</v>
      </c>
      <c r="N1428" s="1">
        <f>AVERAGE(Table1[[#This Row],[Interview Score]:[Personality Score]])</f>
        <v>71.666666666666671</v>
      </c>
      <c r="O142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28" s="2" t="str">
        <f t="shared" si="22"/>
        <v>10-20</v>
      </c>
    </row>
    <row r="1429" spans="1:16" x14ac:dyDescent="0.25">
      <c r="A1429">
        <v>33</v>
      </c>
      <c r="B1429" s="2">
        <v>0</v>
      </c>
      <c r="C1429" s="2">
        <v>3</v>
      </c>
      <c r="D1429" s="2">
        <v>2</v>
      </c>
      <c r="E1429" s="2">
        <v>1</v>
      </c>
      <c r="F1429" s="1">
        <v>45.372084540000003</v>
      </c>
      <c r="G1429" s="2">
        <v>56</v>
      </c>
      <c r="H1429" s="2">
        <v>90</v>
      </c>
      <c r="I1429" s="2">
        <v>100</v>
      </c>
      <c r="J1429" s="2">
        <v>3</v>
      </c>
      <c r="K1429" s="2">
        <v>0</v>
      </c>
      <c r="L142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29" s="2" t="str">
        <f>IF(Table1[[#This Row],[Experience Years]]&lt;=2,"Entry Level",IF(Table1[[#This Row],[Experience Years]]&lt;=7,"Mid Level",IF(Table1[[#This Row],[Experience Years]]&lt;=15,"Senior Level")))</f>
        <v>Entry Level</v>
      </c>
      <c r="N1429" s="1">
        <f>AVERAGE(Table1[[#This Row],[Interview Score]:[Personality Score]])</f>
        <v>82</v>
      </c>
      <c r="O142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429" s="2" t="str">
        <f t="shared" si="22"/>
        <v>40-50</v>
      </c>
    </row>
    <row r="1430" spans="1:16" x14ac:dyDescent="0.25">
      <c r="A1430">
        <v>38</v>
      </c>
      <c r="B1430" s="2">
        <v>1</v>
      </c>
      <c r="C1430" s="2">
        <v>1</v>
      </c>
      <c r="D1430" s="2">
        <v>7</v>
      </c>
      <c r="E1430" s="2">
        <v>2</v>
      </c>
      <c r="F1430" s="1">
        <v>7.8651687570000002</v>
      </c>
      <c r="G1430" s="2">
        <v>80</v>
      </c>
      <c r="H1430" s="2">
        <v>51</v>
      </c>
      <c r="I1430" s="2">
        <v>55</v>
      </c>
      <c r="J1430" s="2">
        <v>1</v>
      </c>
      <c r="K1430" s="2">
        <v>0</v>
      </c>
      <c r="L143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30" t="str">
        <f>IF(Table1[[#This Row],[Experience Years]]&lt;=2,"Entry Level",IF(Table1[[#This Row],[Experience Years]]&lt;=7,"Mid Level",IF(Table1[[#This Row],[Experience Years]]&lt;=15,"Senior Level")))</f>
        <v>Mid Level</v>
      </c>
      <c r="N1430" s="1">
        <f>AVERAGE(Table1[[#This Row],[Interview Score]:[Personality Score]])</f>
        <v>62</v>
      </c>
      <c r="O143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30" s="2" t="str">
        <f t="shared" si="22"/>
        <v>0-10</v>
      </c>
    </row>
    <row r="1431" spans="1:16" x14ac:dyDescent="0.25">
      <c r="A1431">
        <v>48</v>
      </c>
      <c r="B1431" s="2">
        <v>0</v>
      </c>
      <c r="C1431" s="2">
        <v>1</v>
      </c>
      <c r="D1431" s="2">
        <v>4</v>
      </c>
      <c r="E1431" s="2">
        <v>3</v>
      </c>
      <c r="F1431" s="1">
        <v>17.817286339999999</v>
      </c>
      <c r="G1431" s="2">
        <v>87</v>
      </c>
      <c r="H1431" s="2">
        <v>88</v>
      </c>
      <c r="I1431" s="2">
        <v>3</v>
      </c>
      <c r="J1431" s="2">
        <v>2</v>
      </c>
      <c r="K1431" s="2">
        <v>1</v>
      </c>
      <c r="L143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31" s="2" t="str">
        <f>IF(Table1[[#This Row],[Experience Years]]&lt;=2,"Entry Level",IF(Table1[[#This Row],[Experience Years]]&lt;=7,"Mid Level",IF(Table1[[#This Row],[Experience Years]]&lt;=15,"Senior Level")))</f>
        <v>Mid Level</v>
      </c>
      <c r="N1431" s="1">
        <f>AVERAGE(Table1[[#This Row],[Interview Score]:[Personality Score]])</f>
        <v>59.333333333333336</v>
      </c>
      <c r="O143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31" s="2" t="str">
        <f t="shared" si="22"/>
        <v>10-20</v>
      </c>
    </row>
    <row r="1432" spans="1:16" x14ac:dyDescent="0.25">
      <c r="A1432">
        <v>25</v>
      </c>
      <c r="B1432" s="2">
        <v>0</v>
      </c>
      <c r="C1432" s="2">
        <v>3</v>
      </c>
      <c r="D1432" s="2">
        <v>2</v>
      </c>
      <c r="E1432" s="2">
        <v>1</v>
      </c>
      <c r="F1432" s="1">
        <v>30.337405950000001</v>
      </c>
      <c r="G1432" s="2">
        <v>66</v>
      </c>
      <c r="H1432" s="2">
        <v>23</v>
      </c>
      <c r="I1432" s="2">
        <v>99</v>
      </c>
      <c r="J1432" s="2">
        <v>1</v>
      </c>
      <c r="K1432" s="2">
        <v>1</v>
      </c>
      <c r="L143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32" s="2" t="str">
        <f>IF(Table1[[#This Row],[Experience Years]]&lt;=2,"Entry Level",IF(Table1[[#This Row],[Experience Years]]&lt;=7,"Mid Level",IF(Table1[[#This Row],[Experience Years]]&lt;=15,"Senior Level")))</f>
        <v>Entry Level</v>
      </c>
      <c r="N1432" s="1">
        <f>AVERAGE(Table1[[#This Row],[Interview Score]:[Personality Score]])</f>
        <v>62.666666666666664</v>
      </c>
      <c r="O143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32" s="2" t="str">
        <f t="shared" si="22"/>
        <v>30-40</v>
      </c>
    </row>
    <row r="1433" spans="1:16" x14ac:dyDescent="0.25">
      <c r="A1433">
        <v>20</v>
      </c>
      <c r="B1433" s="2">
        <v>1</v>
      </c>
      <c r="C1433" s="2">
        <v>2</v>
      </c>
      <c r="D1433" s="2">
        <v>9</v>
      </c>
      <c r="E1433" s="2">
        <v>4</v>
      </c>
      <c r="F1433" s="1">
        <v>6.1452544170000003</v>
      </c>
      <c r="G1433" s="2">
        <v>29</v>
      </c>
      <c r="H1433" s="2">
        <v>71</v>
      </c>
      <c r="I1433" s="2">
        <v>47</v>
      </c>
      <c r="J1433" s="2">
        <v>2</v>
      </c>
      <c r="K1433" s="2">
        <v>1</v>
      </c>
      <c r="L143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33" t="str">
        <f>IF(Table1[[#This Row],[Experience Years]]&lt;=2,"Entry Level",IF(Table1[[#This Row],[Experience Years]]&lt;=7,"Mid Level",IF(Table1[[#This Row],[Experience Years]]&lt;=15,"Senior Level")))</f>
        <v>Senior Level</v>
      </c>
      <c r="N1433" s="1">
        <f>AVERAGE(Table1[[#This Row],[Interview Score]:[Personality Score]])</f>
        <v>49</v>
      </c>
      <c r="O143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33" s="2" t="str">
        <f t="shared" si="22"/>
        <v>0-10</v>
      </c>
    </row>
    <row r="1434" spans="1:16" x14ac:dyDescent="0.25">
      <c r="A1434">
        <v>42</v>
      </c>
      <c r="B1434" s="2">
        <v>1</v>
      </c>
      <c r="C1434" s="2">
        <v>1</v>
      </c>
      <c r="D1434" s="2">
        <v>10</v>
      </c>
      <c r="E1434" s="2">
        <v>1</v>
      </c>
      <c r="F1434" s="1">
        <v>37.506509389999998</v>
      </c>
      <c r="G1434" s="2">
        <v>12</v>
      </c>
      <c r="H1434" s="2">
        <v>8</v>
      </c>
      <c r="I1434" s="2">
        <v>16</v>
      </c>
      <c r="J1434" s="2">
        <v>2</v>
      </c>
      <c r="K1434" s="2">
        <v>1</v>
      </c>
      <c r="L1434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34" t="str">
        <f>IF(Table1[[#This Row],[Experience Years]]&lt;=2,"Entry Level",IF(Table1[[#This Row],[Experience Years]]&lt;=7,"Mid Level",IF(Table1[[#This Row],[Experience Years]]&lt;=15,"Senior Level")))</f>
        <v>Senior Level</v>
      </c>
      <c r="N1434" s="1">
        <f>AVERAGE(Table1[[#This Row],[Interview Score]:[Personality Score]])</f>
        <v>12</v>
      </c>
      <c r="O143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34" s="2" t="str">
        <f t="shared" si="22"/>
        <v>30-40</v>
      </c>
    </row>
    <row r="1435" spans="1:16" x14ac:dyDescent="0.25">
      <c r="A1435">
        <v>50</v>
      </c>
      <c r="B1435" s="2">
        <v>1</v>
      </c>
      <c r="C1435" s="2">
        <v>1</v>
      </c>
      <c r="D1435" s="2">
        <v>15</v>
      </c>
      <c r="E1435" s="2">
        <v>4</v>
      </c>
      <c r="F1435" s="1">
        <v>20.362302410000002</v>
      </c>
      <c r="G1435" s="2">
        <v>18</v>
      </c>
      <c r="H1435" s="2">
        <v>36</v>
      </c>
      <c r="I1435" s="2">
        <v>35</v>
      </c>
      <c r="J1435" s="2">
        <v>2</v>
      </c>
      <c r="K1435" s="2">
        <v>0</v>
      </c>
      <c r="L1435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35" t="str">
        <f>IF(Table1[[#This Row],[Experience Years]]&lt;=2,"Entry Level",IF(Table1[[#This Row],[Experience Years]]&lt;=7,"Mid Level",IF(Table1[[#This Row],[Experience Years]]&lt;=15,"Senior Level")))</f>
        <v>Senior Level</v>
      </c>
      <c r="N1435" s="1">
        <f>AVERAGE(Table1[[#This Row],[Interview Score]:[Personality Score]])</f>
        <v>29.666666666666668</v>
      </c>
      <c r="O143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35" s="2" t="str">
        <f t="shared" si="22"/>
        <v>20-30</v>
      </c>
    </row>
    <row r="1436" spans="1:16" x14ac:dyDescent="0.25">
      <c r="A1436">
        <v>34</v>
      </c>
      <c r="B1436" s="2">
        <v>0</v>
      </c>
      <c r="C1436" s="2">
        <v>1</v>
      </c>
      <c r="D1436" s="2">
        <v>0</v>
      </c>
      <c r="E1436" s="2">
        <v>1</v>
      </c>
      <c r="F1436" s="1">
        <v>40.220283279999997</v>
      </c>
      <c r="G1436" s="2">
        <v>6</v>
      </c>
      <c r="H1436" s="2">
        <v>93</v>
      </c>
      <c r="I1436" s="2">
        <v>69</v>
      </c>
      <c r="J1436" s="2">
        <v>1</v>
      </c>
      <c r="K1436" s="2">
        <v>0</v>
      </c>
      <c r="L143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36" s="2" t="str">
        <f>IF(Table1[[#This Row],[Experience Years]]&lt;=2,"Entry Level",IF(Table1[[#This Row],[Experience Years]]&lt;=7,"Mid Level",IF(Table1[[#This Row],[Experience Years]]&lt;=15,"Senior Level")))</f>
        <v>Entry Level</v>
      </c>
      <c r="N1436" s="1">
        <f>AVERAGE(Table1[[#This Row],[Interview Score]:[Personality Score]])</f>
        <v>56</v>
      </c>
      <c r="O143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36" s="2" t="str">
        <f t="shared" si="22"/>
        <v>40-50</v>
      </c>
    </row>
    <row r="1437" spans="1:16" x14ac:dyDescent="0.25">
      <c r="A1437">
        <v>20</v>
      </c>
      <c r="B1437" s="2">
        <v>0</v>
      </c>
      <c r="C1437" s="2">
        <v>2</v>
      </c>
      <c r="D1437" s="2">
        <v>14</v>
      </c>
      <c r="E1437" s="2">
        <v>3</v>
      </c>
      <c r="F1437" s="1">
        <v>25.644814279999999</v>
      </c>
      <c r="G1437" s="2">
        <v>8</v>
      </c>
      <c r="H1437" s="2">
        <v>82</v>
      </c>
      <c r="I1437" s="2">
        <v>79</v>
      </c>
      <c r="J1437" s="2">
        <v>2</v>
      </c>
      <c r="K1437" s="2">
        <v>1</v>
      </c>
      <c r="L143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37" s="2" t="str">
        <f>IF(Table1[[#This Row],[Experience Years]]&lt;=2,"Entry Level",IF(Table1[[#This Row],[Experience Years]]&lt;=7,"Mid Level",IF(Table1[[#This Row],[Experience Years]]&lt;=15,"Senior Level")))</f>
        <v>Senior Level</v>
      </c>
      <c r="N1437" s="1">
        <f>AVERAGE(Table1[[#This Row],[Interview Score]:[Personality Score]])</f>
        <v>56.333333333333336</v>
      </c>
      <c r="O143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37" s="2" t="str">
        <f t="shared" si="22"/>
        <v>20-30</v>
      </c>
    </row>
    <row r="1438" spans="1:16" x14ac:dyDescent="0.25">
      <c r="A1438">
        <v>44</v>
      </c>
      <c r="B1438" s="2">
        <v>1</v>
      </c>
      <c r="C1438" s="2">
        <v>2</v>
      </c>
      <c r="D1438" s="2">
        <v>2</v>
      </c>
      <c r="E1438" s="2">
        <v>3</v>
      </c>
      <c r="F1438" s="1">
        <v>10.04372622</v>
      </c>
      <c r="G1438" s="2">
        <v>82</v>
      </c>
      <c r="H1438" s="2">
        <v>52</v>
      </c>
      <c r="I1438" s="2">
        <v>92</v>
      </c>
      <c r="J1438" s="2">
        <v>1</v>
      </c>
      <c r="K1438" s="2">
        <v>1</v>
      </c>
      <c r="L1438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38" t="str">
        <f>IF(Table1[[#This Row],[Experience Years]]&lt;=2,"Entry Level",IF(Table1[[#This Row],[Experience Years]]&lt;=7,"Mid Level",IF(Table1[[#This Row],[Experience Years]]&lt;=15,"Senior Level")))</f>
        <v>Entry Level</v>
      </c>
      <c r="N1438" s="1">
        <f>AVERAGE(Table1[[#This Row],[Interview Score]:[Personality Score]])</f>
        <v>75.333333333333329</v>
      </c>
      <c r="O143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38" s="2" t="str">
        <f t="shared" si="22"/>
        <v>10-20</v>
      </c>
    </row>
    <row r="1439" spans="1:16" x14ac:dyDescent="0.25">
      <c r="A1439">
        <v>36</v>
      </c>
      <c r="B1439" s="2">
        <v>1</v>
      </c>
      <c r="C1439" s="2">
        <v>1</v>
      </c>
      <c r="D1439" s="2">
        <v>11</v>
      </c>
      <c r="E1439" s="2">
        <v>1</v>
      </c>
      <c r="F1439" s="1">
        <v>37.738090569999997</v>
      </c>
      <c r="G1439" s="2">
        <v>53</v>
      </c>
      <c r="H1439" s="2">
        <v>79</v>
      </c>
      <c r="I1439" s="2">
        <v>99</v>
      </c>
      <c r="J1439" s="2">
        <v>1</v>
      </c>
      <c r="K1439" s="2">
        <v>1</v>
      </c>
      <c r="L1439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39" t="str">
        <f>IF(Table1[[#This Row],[Experience Years]]&lt;=2,"Entry Level",IF(Table1[[#This Row],[Experience Years]]&lt;=7,"Mid Level",IF(Table1[[#This Row],[Experience Years]]&lt;=15,"Senior Level")))</f>
        <v>Senior Level</v>
      </c>
      <c r="N1439" s="1">
        <f>AVERAGE(Table1[[#This Row],[Interview Score]:[Personality Score]])</f>
        <v>77</v>
      </c>
      <c r="O143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39" s="2" t="str">
        <f t="shared" si="22"/>
        <v>30-40</v>
      </c>
    </row>
    <row r="1440" spans="1:16" x14ac:dyDescent="0.25">
      <c r="A1440">
        <v>20</v>
      </c>
      <c r="B1440" s="2">
        <v>1</v>
      </c>
      <c r="C1440" s="2">
        <v>1</v>
      </c>
      <c r="D1440" s="2">
        <v>8</v>
      </c>
      <c r="E1440" s="2">
        <v>2</v>
      </c>
      <c r="F1440" s="1">
        <v>13.607197790000001</v>
      </c>
      <c r="G1440" s="2">
        <v>85</v>
      </c>
      <c r="H1440" s="2">
        <v>23</v>
      </c>
      <c r="I1440" s="2">
        <v>37</v>
      </c>
      <c r="J1440" s="2">
        <v>2</v>
      </c>
      <c r="K1440" s="2">
        <v>0</v>
      </c>
      <c r="L144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40" t="str">
        <f>IF(Table1[[#This Row],[Experience Years]]&lt;=2,"Entry Level",IF(Table1[[#This Row],[Experience Years]]&lt;=7,"Mid Level",IF(Table1[[#This Row],[Experience Years]]&lt;=15,"Senior Level")))</f>
        <v>Senior Level</v>
      </c>
      <c r="N1440" s="1">
        <f>AVERAGE(Table1[[#This Row],[Interview Score]:[Personality Score]])</f>
        <v>48.333333333333336</v>
      </c>
      <c r="O144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40" s="2" t="str">
        <f t="shared" si="22"/>
        <v>10-20</v>
      </c>
    </row>
    <row r="1441" spans="1:16" x14ac:dyDescent="0.25">
      <c r="A1441">
        <v>34</v>
      </c>
      <c r="B1441" s="2">
        <v>1</v>
      </c>
      <c r="C1441" s="2">
        <v>3</v>
      </c>
      <c r="D1441" s="2">
        <v>4</v>
      </c>
      <c r="E1441" s="2">
        <v>3</v>
      </c>
      <c r="F1441" s="1">
        <v>25.540515060000001</v>
      </c>
      <c r="G1441" s="2">
        <v>81</v>
      </c>
      <c r="H1441" s="2">
        <v>20</v>
      </c>
      <c r="I1441" s="2">
        <v>100</v>
      </c>
      <c r="J1441" s="2">
        <v>1</v>
      </c>
      <c r="K1441" s="2">
        <v>1</v>
      </c>
      <c r="L144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41" t="str">
        <f>IF(Table1[[#This Row],[Experience Years]]&lt;=2,"Entry Level",IF(Table1[[#This Row],[Experience Years]]&lt;=7,"Mid Level",IF(Table1[[#This Row],[Experience Years]]&lt;=15,"Senior Level")))</f>
        <v>Mid Level</v>
      </c>
      <c r="N1441" s="1">
        <f>AVERAGE(Table1[[#This Row],[Interview Score]:[Personality Score]])</f>
        <v>67</v>
      </c>
      <c r="O144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41" s="2" t="str">
        <f t="shared" si="22"/>
        <v>20-30</v>
      </c>
    </row>
    <row r="1442" spans="1:16" x14ac:dyDescent="0.25">
      <c r="A1442">
        <v>42</v>
      </c>
      <c r="B1442" s="2">
        <v>1</v>
      </c>
      <c r="C1442" s="2">
        <v>2</v>
      </c>
      <c r="D1442" s="2">
        <v>11</v>
      </c>
      <c r="E1442" s="2">
        <v>4</v>
      </c>
      <c r="F1442" s="1">
        <v>4.7766634579999998</v>
      </c>
      <c r="G1442" s="2">
        <v>60</v>
      </c>
      <c r="H1442" s="2">
        <v>99</v>
      </c>
      <c r="I1442" s="2">
        <v>61</v>
      </c>
      <c r="J1442" s="2">
        <v>1</v>
      </c>
      <c r="K1442" s="2">
        <v>0</v>
      </c>
      <c r="L1442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42" t="str">
        <f>IF(Table1[[#This Row],[Experience Years]]&lt;=2,"Entry Level",IF(Table1[[#This Row],[Experience Years]]&lt;=7,"Mid Level",IF(Table1[[#This Row],[Experience Years]]&lt;=15,"Senior Level")))</f>
        <v>Senior Level</v>
      </c>
      <c r="N1442" s="1">
        <f>AVERAGE(Table1[[#This Row],[Interview Score]:[Personality Score]])</f>
        <v>73.333333333333329</v>
      </c>
      <c r="O144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42" s="2" t="str">
        <f t="shared" si="22"/>
        <v>0-10</v>
      </c>
    </row>
    <row r="1443" spans="1:16" x14ac:dyDescent="0.25">
      <c r="A1443">
        <v>21</v>
      </c>
      <c r="B1443" s="2">
        <v>1</v>
      </c>
      <c r="C1443" s="2">
        <v>2</v>
      </c>
      <c r="D1443" s="2">
        <v>9</v>
      </c>
      <c r="E1443" s="2">
        <v>4</v>
      </c>
      <c r="F1443" s="1">
        <v>31.89333272</v>
      </c>
      <c r="G1443" s="2">
        <v>86</v>
      </c>
      <c r="H1443" s="2">
        <v>39</v>
      </c>
      <c r="I1443" s="2">
        <v>47</v>
      </c>
      <c r="J1443" s="2">
        <v>3</v>
      </c>
      <c r="K1443" s="2">
        <v>1</v>
      </c>
      <c r="L144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43" t="str">
        <f>IF(Table1[[#This Row],[Experience Years]]&lt;=2,"Entry Level",IF(Table1[[#This Row],[Experience Years]]&lt;=7,"Mid Level",IF(Table1[[#This Row],[Experience Years]]&lt;=15,"Senior Level")))</f>
        <v>Senior Level</v>
      </c>
      <c r="N1443" s="1">
        <f>AVERAGE(Table1[[#This Row],[Interview Score]:[Personality Score]])</f>
        <v>57.333333333333336</v>
      </c>
      <c r="O144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43" s="2" t="str">
        <f t="shared" si="22"/>
        <v>30-40</v>
      </c>
    </row>
    <row r="1444" spans="1:16" x14ac:dyDescent="0.25">
      <c r="A1444">
        <v>33</v>
      </c>
      <c r="B1444" s="2">
        <v>0</v>
      </c>
      <c r="C1444" s="2">
        <v>2</v>
      </c>
      <c r="D1444" s="2">
        <v>14</v>
      </c>
      <c r="E1444" s="2">
        <v>5</v>
      </c>
      <c r="F1444" s="1">
        <v>34.292888310000002</v>
      </c>
      <c r="G1444" s="2">
        <v>1</v>
      </c>
      <c r="H1444" s="2">
        <v>61</v>
      </c>
      <c r="I1444" s="2">
        <v>9</v>
      </c>
      <c r="J1444" s="2">
        <v>3</v>
      </c>
      <c r="K1444" s="2">
        <v>0</v>
      </c>
      <c r="L1444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44" s="2" t="str">
        <f>IF(Table1[[#This Row],[Experience Years]]&lt;=2,"Entry Level",IF(Table1[[#This Row],[Experience Years]]&lt;=7,"Mid Level",IF(Table1[[#This Row],[Experience Years]]&lt;=15,"Senior Level")))</f>
        <v>Senior Level</v>
      </c>
      <c r="N1444" s="1">
        <f>AVERAGE(Table1[[#This Row],[Interview Score]:[Personality Score]])</f>
        <v>23.666666666666668</v>
      </c>
      <c r="O144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44" s="2" t="str">
        <f t="shared" si="22"/>
        <v>30-40</v>
      </c>
    </row>
    <row r="1445" spans="1:16" x14ac:dyDescent="0.25">
      <c r="A1445">
        <v>40</v>
      </c>
      <c r="B1445" s="2">
        <v>0</v>
      </c>
      <c r="C1445" s="2">
        <v>2</v>
      </c>
      <c r="D1445" s="2">
        <v>1</v>
      </c>
      <c r="E1445" s="2">
        <v>4</v>
      </c>
      <c r="F1445" s="1">
        <v>19.9337105</v>
      </c>
      <c r="G1445" s="2">
        <v>49</v>
      </c>
      <c r="H1445" s="2">
        <v>69</v>
      </c>
      <c r="I1445" s="2">
        <v>35</v>
      </c>
      <c r="J1445" s="2">
        <v>2</v>
      </c>
      <c r="K1445" s="2">
        <v>0</v>
      </c>
      <c r="L144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45" s="2" t="str">
        <f>IF(Table1[[#This Row],[Experience Years]]&lt;=2,"Entry Level",IF(Table1[[#This Row],[Experience Years]]&lt;=7,"Mid Level",IF(Table1[[#This Row],[Experience Years]]&lt;=15,"Senior Level")))</f>
        <v>Entry Level</v>
      </c>
      <c r="N1445" s="1">
        <f>AVERAGE(Table1[[#This Row],[Interview Score]:[Personality Score]])</f>
        <v>51</v>
      </c>
      <c r="O144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45" s="2" t="str">
        <f t="shared" si="22"/>
        <v>10-20</v>
      </c>
    </row>
    <row r="1446" spans="1:16" x14ac:dyDescent="0.25">
      <c r="A1446">
        <v>27</v>
      </c>
      <c r="B1446" s="2">
        <v>0</v>
      </c>
      <c r="C1446" s="2">
        <v>2</v>
      </c>
      <c r="D1446" s="2">
        <v>6</v>
      </c>
      <c r="E1446" s="2">
        <v>5</v>
      </c>
      <c r="F1446" s="1">
        <v>48.721139020000003</v>
      </c>
      <c r="G1446" s="2">
        <v>74</v>
      </c>
      <c r="H1446" s="2">
        <v>68</v>
      </c>
      <c r="I1446" s="2">
        <v>28</v>
      </c>
      <c r="J1446" s="2">
        <v>1</v>
      </c>
      <c r="K1446" s="2">
        <v>1</v>
      </c>
      <c r="L144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46" s="2" t="str">
        <f>IF(Table1[[#This Row],[Experience Years]]&lt;=2,"Entry Level",IF(Table1[[#This Row],[Experience Years]]&lt;=7,"Mid Level",IF(Table1[[#This Row],[Experience Years]]&lt;=15,"Senior Level")))</f>
        <v>Mid Level</v>
      </c>
      <c r="N1446" s="1">
        <f>AVERAGE(Table1[[#This Row],[Interview Score]:[Personality Score]])</f>
        <v>56.666666666666664</v>
      </c>
      <c r="O144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46" s="2" t="str">
        <f t="shared" si="22"/>
        <v>40-50</v>
      </c>
    </row>
    <row r="1447" spans="1:16" x14ac:dyDescent="0.25">
      <c r="A1447">
        <v>27</v>
      </c>
      <c r="B1447" s="2">
        <v>1</v>
      </c>
      <c r="C1447" s="2">
        <v>2</v>
      </c>
      <c r="D1447" s="2">
        <v>14</v>
      </c>
      <c r="E1447" s="2">
        <v>1</v>
      </c>
      <c r="F1447" s="1">
        <v>44.708446070000001</v>
      </c>
      <c r="G1447" s="2">
        <v>30</v>
      </c>
      <c r="H1447" s="2">
        <v>13</v>
      </c>
      <c r="I1447" s="2">
        <v>77</v>
      </c>
      <c r="J1447" s="2">
        <v>1</v>
      </c>
      <c r="K1447" s="2">
        <v>0</v>
      </c>
      <c r="L144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47" t="str">
        <f>IF(Table1[[#This Row],[Experience Years]]&lt;=2,"Entry Level",IF(Table1[[#This Row],[Experience Years]]&lt;=7,"Mid Level",IF(Table1[[#This Row],[Experience Years]]&lt;=15,"Senior Level")))</f>
        <v>Senior Level</v>
      </c>
      <c r="N1447" s="1">
        <f>AVERAGE(Table1[[#This Row],[Interview Score]:[Personality Score]])</f>
        <v>40</v>
      </c>
      <c r="O144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47" s="2" t="str">
        <f t="shared" si="22"/>
        <v>40-50</v>
      </c>
    </row>
    <row r="1448" spans="1:16" x14ac:dyDescent="0.25">
      <c r="A1448">
        <v>38</v>
      </c>
      <c r="B1448" s="2">
        <v>1</v>
      </c>
      <c r="C1448" s="2">
        <v>2</v>
      </c>
      <c r="D1448" s="2">
        <v>1</v>
      </c>
      <c r="E1448" s="2">
        <v>1</v>
      </c>
      <c r="F1448" s="1">
        <v>36.39704579</v>
      </c>
      <c r="G1448" s="2">
        <v>32</v>
      </c>
      <c r="H1448" s="2">
        <v>41</v>
      </c>
      <c r="I1448" s="2">
        <v>3</v>
      </c>
      <c r="J1448" s="2">
        <v>2</v>
      </c>
      <c r="K1448" s="2">
        <v>0</v>
      </c>
      <c r="L144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48" t="str">
        <f>IF(Table1[[#This Row],[Experience Years]]&lt;=2,"Entry Level",IF(Table1[[#This Row],[Experience Years]]&lt;=7,"Mid Level",IF(Table1[[#This Row],[Experience Years]]&lt;=15,"Senior Level")))</f>
        <v>Entry Level</v>
      </c>
      <c r="N1448" s="1">
        <f>AVERAGE(Table1[[#This Row],[Interview Score]:[Personality Score]])</f>
        <v>25.333333333333332</v>
      </c>
      <c r="O144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48" s="2" t="str">
        <f t="shared" si="22"/>
        <v>30-40</v>
      </c>
    </row>
    <row r="1449" spans="1:16" x14ac:dyDescent="0.25">
      <c r="A1449">
        <v>26</v>
      </c>
      <c r="B1449" s="2">
        <v>1</v>
      </c>
      <c r="C1449" s="2">
        <v>4</v>
      </c>
      <c r="D1449" s="2">
        <v>3</v>
      </c>
      <c r="E1449" s="2">
        <v>1</v>
      </c>
      <c r="F1449" s="1">
        <v>36.682603720000003</v>
      </c>
      <c r="G1449" s="2">
        <v>77</v>
      </c>
      <c r="H1449" s="2">
        <v>49</v>
      </c>
      <c r="I1449" s="2">
        <v>43</v>
      </c>
      <c r="J1449" s="2">
        <v>1</v>
      </c>
      <c r="K1449" s="2">
        <v>1</v>
      </c>
      <c r="L1449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49" t="str">
        <f>IF(Table1[[#This Row],[Experience Years]]&lt;=2,"Entry Level",IF(Table1[[#This Row],[Experience Years]]&lt;=7,"Mid Level",IF(Table1[[#This Row],[Experience Years]]&lt;=15,"Senior Level")))</f>
        <v>Mid Level</v>
      </c>
      <c r="N1449" s="1">
        <f>AVERAGE(Table1[[#This Row],[Interview Score]:[Personality Score]])</f>
        <v>56.333333333333336</v>
      </c>
      <c r="O144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49" s="2" t="str">
        <f t="shared" si="22"/>
        <v>30-40</v>
      </c>
    </row>
    <row r="1450" spans="1:16" x14ac:dyDescent="0.25">
      <c r="A1450">
        <v>38</v>
      </c>
      <c r="B1450" s="2">
        <v>1</v>
      </c>
      <c r="C1450" s="2">
        <v>1</v>
      </c>
      <c r="D1450" s="2">
        <v>11</v>
      </c>
      <c r="E1450" s="2">
        <v>2</v>
      </c>
      <c r="F1450" s="1">
        <v>13.620085749999999</v>
      </c>
      <c r="G1450" s="2">
        <v>79</v>
      </c>
      <c r="H1450" s="2">
        <v>60</v>
      </c>
      <c r="I1450" s="2">
        <v>55</v>
      </c>
      <c r="J1450" s="2">
        <v>3</v>
      </c>
      <c r="K1450" s="2">
        <v>0</v>
      </c>
      <c r="L1450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50" t="str">
        <f>IF(Table1[[#This Row],[Experience Years]]&lt;=2,"Entry Level",IF(Table1[[#This Row],[Experience Years]]&lt;=7,"Mid Level",IF(Table1[[#This Row],[Experience Years]]&lt;=15,"Senior Level")))</f>
        <v>Senior Level</v>
      </c>
      <c r="N1450" s="1">
        <f>AVERAGE(Table1[[#This Row],[Interview Score]:[Personality Score]])</f>
        <v>64.666666666666671</v>
      </c>
      <c r="O145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50" s="2" t="str">
        <f t="shared" si="22"/>
        <v>10-20</v>
      </c>
    </row>
    <row r="1451" spans="1:16" x14ac:dyDescent="0.25">
      <c r="A1451">
        <v>25</v>
      </c>
      <c r="B1451" s="2">
        <v>1</v>
      </c>
      <c r="C1451" s="2">
        <v>3</v>
      </c>
      <c r="D1451" s="2">
        <v>6</v>
      </c>
      <c r="E1451" s="2">
        <v>2</v>
      </c>
      <c r="F1451" s="1">
        <v>33.840761550000003</v>
      </c>
      <c r="G1451" s="2">
        <v>10</v>
      </c>
      <c r="H1451" s="2">
        <v>3</v>
      </c>
      <c r="I1451" s="2">
        <v>41</v>
      </c>
      <c r="J1451" s="2">
        <v>1</v>
      </c>
      <c r="K1451" s="2">
        <v>1</v>
      </c>
      <c r="L145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51" t="str">
        <f>IF(Table1[[#This Row],[Experience Years]]&lt;=2,"Entry Level",IF(Table1[[#This Row],[Experience Years]]&lt;=7,"Mid Level",IF(Table1[[#This Row],[Experience Years]]&lt;=15,"Senior Level")))</f>
        <v>Mid Level</v>
      </c>
      <c r="N1451" s="1">
        <f>AVERAGE(Table1[[#This Row],[Interview Score]:[Personality Score]])</f>
        <v>18</v>
      </c>
      <c r="O145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51" s="2" t="str">
        <f t="shared" si="22"/>
        <v>30-40</v>
      </c>
    </row>
    <row r="1452" spans="1:16" x14ac:dyDescent="0.25">
      <c r="A1452">
        <v>25</v>
      </c>
      <c r="B1452" s="2">
        <v>1</v>
      </c>
      <c r="C1452" s="2">
        <v>1</v>
      </c>
      <c r="D1452" s="2">
        <v>3</v>
      </c>
      <c r="E1452" s="2">
        <v>5</v>
      </c>
      <c r="F1452" s="1">
        <v>10.910313260000001</v>
      </c>
      <c r="G1452" s="2">
        <v>32</v>
      </c>
      <c r="H1452" s="2">
        <v>71</v>
      </c>
      <c r="I1452" s="2">
        <v>99</v>
      </c>
      <c r="J1452" s="2">
        <v>3</v>
      </c>
      <c r="K1452" s="2">
        <v>0</v>
      </c>
      <c r="L145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52" t="str">
        <f>IF(Table1[[#This Row],[Experience Years]]&lt;=2,"Entry Level",IF(Table1[[#This Row],[Experience Years]]&lt;=7,"Mid Level",IF(Table1[[#This Row],[Experience Years]]&lt;=15,"Senior Level")))</f>
        <v>Mid Level</v>
      </c>
      <c r="N1452" s="1">
        <f>AVERAGE(Table1[[#This Row],[Interview Score]:[Personality Score]])</f>
        <v>67.333333333333329</v>
      </c>
      <c r="O145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52" s="2" t="str">
        <f t="shared" si="22"/>
        <v>10-20</v>
      </c>
    </row>
    <row r="1453" spans="1:16" x14ac:dyDescent="0.25">
      <c r="A1453">
        <v>22</v>
      </c>
      <c r="B1453" s="2">
        <v>0</v>
      </c>
      <c r="C1453" s="2">
        <v>3</v>
      </c>
      <c r="D1453" s="2">
        <v>6</v>
      </c>
      <c r="E1453" s="2">
        <v>4</v>
      </c>
      <c r="F1453" s="1">
        <v>8.2001611959999998</v>
      </c>
      <c r="G1453" s="2">
        <v>6</v>
      </c>
      <c r="H1453" s="2">
        <v>87</v>
      </c>
      <c r="I1453" s="2">
        <v>12</v>
      </c>
      <c r="J1453" s="2">
        <v>2</v>
      </c>
      <c r="K1453" s="2">
        <v>0</v>
      </c>
      <c r="L145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53" s="2" t="str">
        <f>IF(Table1[[#This Row],[Experience Years]]&lt;=2,"Entry Level",IF(Table1[[#This Row],[Experience Years]]&lt;=7,"Mid Level",IF(Table1[[#This Row],[Experience Years]]&lt;=15,"Senior Level")))</f>
        <v>Mid Level</v>
      </c>
      <c r="N1453" s="1">
        <f>AVERAGE(Table1[[#This Row],[Interview Score]:[Personality Score]])</f>
        <v>35</v>
      </c>
      <c r="O145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53" s="2" t="str">
        <f t="shared" si="22"/>
        <v>0-10</v>
      </c>
    </row>
    <row r="1454" spans="1:16" x14ac:dyDescent="0.25">
      <c r="A1454">
        <v>26</v>
      </c>
      <c r="B1454" s="2">
        <v>0</v>
      </c>
      <c r="C1454" s="2">
        <v>2</v>
      </c>
      <c r="D1454" s="2">
        <v>15</v>
      </c>
      <c r="E1454" s="2">
        <v>4</v>
      </c>
      <c r="F1454" s="1">
        <v>50.973394710000001</v>
      </c>
      <c r="G1454" s="2">
        <v>30</v>
      </c>
      <c r="H1454" s="2">
        <v>74</v>
      </c>
      <c r="I1454" s="2">
        <v>45</v>
      </c>
      <c r="J1454" s="2">
        <v>2</v>
      </c>
      <c r="K1454" s="2">
        <v>0</v>
      </c>
      <c r="L145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54" s="2" t="str">
        <f>IF(Table1[[#This Row],[Experience Years]]&lt;=2,"Entry Level",IF(Table1[[#This Row],[Experience Years]]&lt;=7,"Mid Level",IF(Table1[[#This Row],[Experience Years]]&lt;=15,"Senior Level")))</f>
        <v>Senior Level</v>
      </c>
      <c r="N1454" s="1">
        <f>AVERAGE(Table1[[#This Row],[Interview Score]:[Personality Score]])</f>
        <v>49.666666666666664</v>
      </c>
      <c r="O145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54" s="2" t="str">
        <f t="shared" si="22"/>
        <v>50+</v>
      </c>
    </row>
    <row r="1455" spans="1:16" x14ac:dyDescent="0.25">
      <c r="A1455">
        <v>38</v>
      </c>
      <c r="B1455" s="2">
        <v>1</v>
      </c>
      <c r="C1455" s="2">
        <v>3</v>
      </c>
      <c r="D1455" s="2">
        <v>6</v>
      </c>
      <c r="E1455" s="2">
        <v>1</v>
      </c>
      <c r="F1455" s="1">
        <v>32.118796570000001</v>
      </c>
      <c r="G1455" s="2">
        <v>47</v>
      </c>
      <c r="H1455" s="2">
        <v>16</v>
      </c>
      <c r="I1455" s="2">
        <v>81</v>
      </c>
      <c r="J1455" s="2">
        <v>1</v>
      </c>
      <c r="K1455" s="2">
        <v>0</v>
      </c>
      <c r="L1455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55" t="str">
        <f>IF(Table1[[#This Row],[Experience Years]]&lt;=2,"Entry Level",IF(Table1[[#This Row],[Experience Years]]&lt;=7,"Mid Level",IF(Table1[[#This Row],[Experience Years]]&lt;=15,"Senior Level")))</f>
        <v>Mid Level</v>
      </c>
      <c r="N1455" s="1">
        <f>AVERAGE(Table1[[#This Row],[Interview Score]:[Personality Score]])</f>
        <v>48</v>
      </c>
      <c r="O145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55" s="2" t="str">
        <f t="shared" si="22"/>
        <v>30-40</v>
      </c>
    </row>
    <row r="1456" spans="1:16" x14ac:dyDescent="0.25">
      <c r="A1456">
        <v>27</v>
      </c>
      <c r="B1456" s="2">
        <v>0</v>
      </c>
      <c r="C1456" s="2">
        <v>1</v>
      </c>
      <c r="D1456" s="2">
        <v>15</v>
      </c>
      <c r="E1456" s="2">
        <v>3</v>
      </c>
      <c r="F1456" s="1">
        <v>22.549393630000001</v>
      </c>
      <c r="G1456" s="2">
        <v>46</v>
      </c>
      <c r="H1456" s="2">
        <v>84</v>
      </c>
      <c r="I1456" s="2">
        <v>32</v>
      </c>
      <c r="J1456" s="2">
        <v>3</v>
      </c>
      <c r="K1456" s="2">
        <v>1</v>
      </c>
      <c r="L1456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56" s="2" t="str">
        <f>IF(Table1[[#This Row],[Experience Years]]&lt;=2,"Entry Level",IF(Table1[[#This Row],[Experience Years]]&lt;=7,"Mid Level",IF(Table1[[#This Row],[Experience Years]]&lt;=15,"Senior Level")))</f>
        <v>Senior Level</v>
      </c>
      <c r="N1456" s="1">
        <f>AVERAGE(Table1[[#This Row],[Interview Score]:[Personality Score]])</f>
        <v>54</v>
      </c>
      <c r="O145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56" s="2" t="str">
        <f t="shared" si="22"/>
        <v>20-30</v>
      </c>
    </row>
    <row r="1457" spans="1:16" x14ac:dyDescent="0.25">
      <c r="A1457">
        <v>29</v>
      </c>
      <c r="B1457" s="2">
        <v>1</v>
      </c>
      <c r="C1457" s="2">
        <v>2</v>
      </c>
      <c r="D1457" s="2">
        <v>0</v>
      </c>
      <c r="E1457" s="2">
        <v>2</v>
      </c>
      <c r="F1457" s="1">
        <v>15.40822614</v>
      </c>
      <c r="G1457" s="2">
        <v>77</v>
      </c>
      <c r="H1457" s="2">
        <v>56</v>
      </c>
      <c r="I1457" s="2">
        <v>20</v>
      </c>
      <c r="J1457" s="2">
        <v>1</v>
      </c>
      <c r="K1457" s="2">
        <v>1</v>
      </c>
      <c r="L1457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57" t="str">
        <f>IF(Table1[[#This Row],[Experience Years]]&lt;=2,"Entry Level",IF(Table1[[#This Row],[Experience Years]]&lt;=7,"Mid Level",IF(Table1[[#This Row],[Experience Years]]&lt;=15,"Senior Level")))</f>
        <v>Entry Level</v>
      </c>
      <c r="N1457" s="1">
        <f>AVERAGE(Table1[[#This Row],[Interview Score]:[Personality Score]])</f>
        <v>51</v>
      </c>
      <c r="O145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57" s="2" t="str">
        <f t="shared" si="22"/>
        <v>10-20</v>
      </c>
    </row>
    <row r="1458" spans="1:16" x14ac:dyDescent="0.25">
      <c r="A1458">
        <v>39</v>
      </c>
      <c r="B1458" s="2">
        <v>0</v>
      </c>
      <c r="C1458" s="2">
        <v>2</v>
      </c>
      <c r="D1458" s="2">
        <v>5</v>
      </c>
      <c r="E1458" s="2">
        <v>2</v>
      </c>
      <c r="F1458" s="1">
        <v>31.19602218</v>
      </c>
      <c r="G1458" s="2">
        <v>91</v>
      </c>
      <c r="H1458" s="2">
        <v>89</v>
      </c>
      <c r="I1458" s="2">
        <v>79</v>
      </c>
      <c r="J1458" s="2">
        <v>2</v>
      </c>
      <c r="K1458" s="2">
        <v>1</v>
      </c>
      <c r="L1458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58" s="2" t="str">
        <f>IF(Table1[[#This Row],[Experience Years]]&lt;=2,"Entry Level",IF(Table1[[#This Row],[Experience Years]]&lt;=7,"Mid Level",IF(Table1[[#This Row],[Experience Years]]&lt;=15,"Senior Level")))</f>
        <v>Mid Level</v>
      </c>
      <c r="N1458" s="1">
        <f>AVERAGE(Table1[[#This Row],[Interview Score]:[Personality Score]])</f>
        <v>86.333333333333329</v>
      </c>
      <c r="O145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80-89</v>
      </c>
      <c r="P1458" s="2" t="str">
        <f t="shared" si="22"/>
        <v>30-40</v>
      </c>
    </row>
    <row r="1459" spans="1:16" x14ac:dyDescent="0.25">
      <c r="A1459">
        <v>34</v>
      </c>
      <c r="B1459" s="2">
        <v>1</v>
      </c>
      <c r="C1459" s="2">
        <v>3</v>
      </c>
      <c r="D1459" s="2">
        <v>8</v>
      </c>
      <c r="E1459" s="2">
        <v>1</v>
      </c>
      <c r="F1459" s="1">
        <v>3.4796754110000001</v>
      </c>
      <c r="G1459" s="2">
        <v>52</v>
      </c>
      <c r="H1459" s="2">
        <v>47</v>
      </c>
      <c r="I1459" s="2">
        <v>78</v>
      </c>
      <c r="J1459" s="2">
        <v>3</v>
      </c>
      <c r="K1459" s="2">
        <v>0</v>
      </c>
      <c r="L1459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59" t="str">
        <f>IF(Table1[[#This Row],[Experience Years]]&lt;=2,"Entry Level",IF(Table1[[#This Row],[Experience Years]]&lt;=7,"Mid Level",IF(Table1[[#This Row],[Experience Years]]&lt;=15,"Senior Level")))</f>
        <v>Senior Level</v>
      </c>
      <c r="N1459" s="1">
        <f>AVERAGE(Table1[[#This Row],[Interview Score]:[Personality Score]])</f>
        <v>59</v>
      </c>
      <c r="O145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59" s="2" t="str">
        <f t="shared" si="22"/>
        <v>0-10</v>
      </c>
    </row>
    <row r="1460" spans="1:16" x14ac:dyDescent="0.25">
      <c r="A1460">
        <v>34</v>
      </c>
      <c r="B1460" s="2">
        <v>1</v>
      </c>
      <c r="C1460" s="2">
        <v>2</v>
      </c>
      <c r="D1460" s="2">
        <v>1</v>
      </c>
      <c r="E1460" s="2">
        <v>2</v>
      </c>
      <c r="F1460" s="1">
        <v>5.7340495249999996</v>
      </c>
      <c r="G1460" s="2">
        <v>79</v>
      </c>
      <c r="H1460" s="2">
        <v>43</v>
      </c>
      <c r="I1460" s="2">
        <v>56</v>
      </c>
      <c r="J1460" s="2">
        <v>1</v>
      </c>
      <c r="K1460" s="2">
        <v>0</v>
      </c>
      <c r="L146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60" t="str">
        <f>IF(Table1[[#This Row],[Experience Years]]&lt;=2,"Entry Level",IF(Table1[[#This Row],[Experience Years]]&lt;=7,"Mid Level",IF(Table1[[#This Row],[Experience Years]]&lt;=15,"Senior Level")))</f>
        <v>Entry Level</v>
      </c>
      <c r="N1460" s="1">
        <f>AVERAGE(Table1[[#This Row],[Interview Score]:[Personality Score]])</f>
        <v>59.333333333333336</v>
      </c>
      <c r="O146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60" s="2" t="str">
        <f t="shared" si="22"/>
        <v>0-10</v>
      </c>
    </row>
    <row r="1461" spans="1:16" x14ac:dyDescent="0.25">
      <c r="A1461">
        <v>48</v>
      </c>
      <c r="B1461" s="2">
        <v>0</v>
      </c>
      <c r="C1461" s="2">
        <v>2</v>
      </c>
      <c r="D1461" s="2">
        <v>13</v>
      </c>
      <c r="E1461" s="2">
        <v>1</v>
      </c>
      <c r="F1461" s="1">
        <v>2.6428348869999998</v>
      </c>
      <c r="G1461" s="2">
        <v>18</v>
      </c>
      <c r="H1461" s="2">
        <v>44</v>
      </c>
      <c r="I1461" s="2">
        <v>68</v>
      </c>
      <c r="J1461" s="2">
        <v>2</v>
      </c>
      <c r="K1461" s="2">
        <v>1</v>
      </c>
      <c r="L1461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61" s="2" t="str">
        <f>IF(Table1[[#This Row],[Experience Years]]&lt;=2,"Entry Level",IF(Table1[[#This Row],[Experience Years]]&lt;=7,"Mid Level",IF(Table1[[#This Row],[Experience Years]]&lt;=15,"Senior Level")))</f>
        <v>Senior Level</v>
      </c>
      <c r="N1461" s="1">
        <f>AVERAGE(Table1[[#This Row],[Interview Score]:[Personality Score]])</f>
        <v>43.333333333333336</v>
      </c>
      <c r="O146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61" s="2" t="str">
        <f t="shared" si="22"/>
        <v>0-10</v>
      </c>
    </row>
    <row r="1462" spans="1:16" x14ac:dyDescent="0.25">
      <c r="A1462">
        <v>20</v>
      </c>
      <c r="B1462" s="2">
        <v>0</v>
      </c>
      <c r="C1462" s="2">
        <v>2</v>
      </c>
      <c r="D1462" s="2">
        <v>2</v>
      </c>
      <c r="E1462" s="2">
        <v>5</v>
      </c>
      <c r="F1462" s="1">
        <v>25.95849166</v>
      </c>
      <c r="G1462" s="2">
        <v>80</v>
      </c>
      <c r="H1462" s="2">
        <v>90</v>
      </c>
      <c r="I1462" s="2">
        <v>69</v>
      </c>
      <c r="J1462" s="2">
        <v>2</v>
      </c>
      <c r="K1462" s="2">
        <v>1</v>
      </c>
      <c r="L146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62" s="2" t="str">
        <f>IF(Table1[[#This Row],[Experience Years]]&lt;=2,"Entry Level",IF(Table1[[#This Row],[Experience Years]]&lt;=7,"Mid Level",IF(Table1[[#This Row],[Experience Years]]&lt;=15,"Senior Level")))</f>
        <v>Entry Level</v>
      </c>
      <c r="N1462" s="1">
        <f>AVERAGE(Table1[[#This Row],[Interview Score]:[Personality Score]])</f>
        <v>79.666666666666671</v>
      </c>
      <c r="O146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62" s="2" t="str">
        <f t="shared" si="22"/>
        <v>20-30</v>
      </c>
    </row>
    <row r="1463" spans="1:16" x14ac:dyDescent="0.25">
      <c r="A1463">
        <v>39</v>
      </c>
      <c r="B1463" s="2">
        <v>1</v>
      </c>
      <c r="C1463" s="2">
        <v>2</v>
      </c>
      <c r="D1463" s="2">
        <v>9</v>
      </c>
      <c r="E1463" s="2">
        <v>4</v>
      </c>
      <c r="F1463" s="1">
        <v>31.030331459999999</v>
      </c>
      <c r="G1463" s="2">
        <v>89</v>
      </c>
      <c r="H1463" s="2">
        <v>79</v>
      </c>
      <c r="I1463" s="2">
        <v>66</v>
      </c>
      <c r="J1463" s="2">
        <v>2</v>
      </c>
      <c r="K1463" s="2">
        <v>1</v>
      </c>
      <c r="L1463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63" t="str">
        <f>IF(Table1[[#This Row],[Experience Years]]&lt;=2,"Entry Level",IF(Table1[[#This Row],[Experience Years]]&lt;=7,"Mid Level",IF(Table1[[#This Row],[Experience Years]]&lt;=15,"Senior Level")))</f>
        <v>Senior Level</v>
      </c>
      <c r="N1463" s="1">
        <f>AVERAGE(Table1[[#This Row],[Interview Score]:[Personality Score]])</f>
        <v>78</v>
      </c>
      <c r="O146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63" s="2" t="str">
        <f t="shared" si="22"/>
        <v>30-40</v>
      </c>
    </row>
    <row r="1464" spans="1:16" x14ac:dyDescent="0.25">
      <c r="A1464">
        <v>49</v>
      </c>
      <c r="B1464" s="2">
        <v>1</v>
      </c>
      <c r="C1464" s="2">
        <v>2</v>
      </c>
      <c r="D1464" s="2">
        <v>4</v>
      </c>
      <c r="E1464" s="2">
        <v>3</v>
      </c>
      <c r="F1464" s="1">
        <v>4.1239880680000001</v>
      </c>
      <c r="G1464" s="2">
        <v>5</v>
      </c>
      <c r="H1464" s="2">
        <v>89</v>
      </c>
      <c r="I1464" s="2">
        <v>47</v>
      </c>
      <c r="J1464" s="2">
        <v>2</v>
      </c>
      <c r="K1464" s="2">
        <v>1</v>
      </c>
      <c r="L146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64" t="str">
        <f>IF(Table1[[#This Row],[Experience Years]]&lt;=2,"Entry Level",IF(Table1[[#This Row],[Experience Years]]&lt;=7,"Mid Level",IF(Table1[[#This Row],[Experience Years]]&lt;=15,"Senior Level")))</f>
        <v>Mid Level</v>
      </c>
      <c r="N1464" s="1">
        <f>AVERAGE(Table1[[#This Row],[Interview Score]:[Personality Score]])</f>
        <v>47</v>
      </c>
      <c r="O146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64" s="2" t="str">
        <f t="shared" si="22"/>
        <v>0-10</v>
      </c>
    </row>
    <row r="1465" spans="1:16" x14ac:dyDescent="0.25">
      <c r="A1465">
        <v>26</v>
      </c>
      <c r="B1465" s="2">
        <v>0</v>
      </c>
      <c r="C1465" s="2">
        <v>1</v>
      </c>
      <c r="D1465" s="2">
        <v>8</v>
      </c>
      <c r="E1465" s="2">
        <v>4</v>
      </c>
      <c r="F1465" s="1">
        <v>37.06122337</v>
      </c>
      <c r="G1465" s="2">
        <v>48</v>
      </c>
      <c r="H1465" s="2">
        <v>32</v>
      </c>
      <c r="I1465" s="2">
        <v>75</v>
      </c>
      <c r="J1465" s="2">
        <v>2</v>
      </c>
      <c r="K1465" s="2">
        <v>0</v>
      </c>
      <c r="L1465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65" s="2" t="str">
        <f>IF(Table1[[#This Row],[Experience Years]]&lt;=2,"Entry Level",IF(Table1[[#This Row],[Experience Years]]&lt;=7,"Mid Level",IF(Table1[[#This Row],[Experience Years]]&lt;=15,"Senior Level")))</f>
        <v>Senior Level</v>
      </c>
      <c r="N1465" s="1">
        <f>AVERAGE(Table1[[#This Row],[Interview Score]:[Personality Score]])</f>
        <v>51.666666666666664</v>
      </c>
      <c r="O146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65" s="2" t="str">
        <f t="shared" si="22"/>
        <v>30-40</v>
      </c>
    </row>
    <row r="1466" spans="1:16" x14ac:dyDescent="0.25">
      <c r="A1466">
        <v>46</v>
      </c>
      <c r="B1466" s="2">
        <v>0</v>
      </c>
      <c r="C1466" s="2">
        <v>4</v>
      </c>
      <c r="D1466" s="2">
        <v>3</v>
      </c>
      <c r="E1466" s="2">
        <v>4</v>
      </c>
      <c r="F1466" s="1">
        <v>12.51975358</v>
      </c>
      <c r="G1466" s="2">
        <v>72</v>
      </c>
      <c r="H1466" s="2">
        <v>30</v>
      </c>
      <c r="I1466" s="2">
        <v>99</v>
      </c>
      <c r="J1466" s="2">
        <v>2</v>
      </c>
      <c r="K1466" s="2">
        <v>1</v>
      </c>
      <c r="L1466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66" s="2" t="str">
        <f>IF(Table1[[#This Row],[Experience Years]]&lt;=2,"Entry Level",IF(Table1[[#This Row],[Experience Years]]&lt;=7,"Mid Level",IF(Table1[[#This Row],[Experience Years]]&lt;=15,"Senior Level")))</f>
        <v>Mid Level</v>
      </c>
      <c r="N1466" s="1">
        <f>AVERAGE(Table1[[#This Row],[Interview Score]:[Personality Score]])</f>
        <v>67</v>
      </c>
      <c r="O146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66" s="2" t="str">
        <f t="shared" si="22"/>
        <v>10-20</v>
      </c>
    </row>
    <row r="1467" spans="1:16" x14ac:dyDescent="0.25">
      <c r="A1467">
        <v>23</v>
      </c>
      <c r="B1467" s="2">
        <v>1</v>
      </c>
      <c r="C1467" s="2">
        <v>3</v>
      </c>
      <c r="D1467" s="2">
        <v>0</v>
      </c>
      <c r="E1467" s="2">
        <v>5</v>
      </c>
      <c r="F1467" s="1">
        <v>35.260072690000001</v>
      </c>
      <c r="G1467" s="2">
        <v>49</v>
      </c>
      <c r="H1467" s="2">
        <v>46</v>
      </c>
      <c r="I1467" s="2">
        <v>32</v>
      </c>
      <c r="J1467" s="2">
        <v>2</v>
      </c>
      <c r="K1467" s="2">
        <v>0</v>
      </c>
      <c r="L146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67" t="str">
        <f>IF(Table1[[#This Row],[Experience Years]]&lt;=2,"Entry Level",IF(Table1[[#This Row],[Experience Years]]&lt;=7,"Mid Level",IF(Table1[[#This Row],[Experience Years]]&lt;=15,"Senior Level")))</f>
        <v>Entry Level</v>
      </c>
      <c r="N1467" s="1">
        <f>AVERAGE(Table1[[#This Row],[Interview Score]:[Personality Score]])</f>
        <v>42.333333333333336</v>
      </c>
      <c r="O146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67" s="2" t="str">
        <f t="shared" si="22"/>
        <v>30-40</v>
      </c>
    </row>
    <row r="1468" spans="1:16" x14ac:dyDescent="0.25">
      <c r="A1468">
        <v>48</v>
      </c>
      <c r="B1468" s="2">
        <v>0</v>
      </c>
      <c r="C1468" s="2">
        <v>4</v>
      </c>
      <c r="D1468" s="2">
        <v>3</v>
      </c>
      <c r="E1468" s="2">
        <v>2</v>
      </c>
      <c r="F1468" s="1">
        <v>50.094856999999998</v>
      </c>
      <c r="G1468" s="2">
        <v>80</v>
      </c>
      <c r="H1468" s="2">
        <v>5</v>
      </c>
      <c r="I1468" s="2">
        <v>35</v>
      </c>
      <c r="J1468" s="2">
        <v>2</v>
      </c>
      <c r="K1468" s="2">
        <v>1</v>
      </c>
      <c r="L1468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68" s="2" t="str">
        <f>IF(Table1[[#This Row],[Experience Years]]&lt;=2,"Entry Level",IF(Table1[[#This Row],[Experience Years]]&lt;=7,"Mid Level",IF(Table1[[#This Row],[Experience Years]]&lt;=15,"Senior Level")))</f>
        <v>Mid Level</v>
      </c>
      <c r="N1468" s="1">
        <f>AVERAGE(Table1[[#This Row],[Interview Score]:[Personality Score]])</f>
        <v>40</v>
      </c>
      <c r="O146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68" s="2" t="str">
        <f t="shared" si="22"/>
        <v>50+</v>
      </c>
    </row>
    <row r="1469" spans="1:16" x14ac:dyDescent="0.25">
      <c r="A1469">
        <v>25</v>
      </c>
      <c r="B1469" s="2">
        <v>1</v>
      </c>
      <c r="C1469" s="2">
        <v>2</v>
      </c>
      <c r="D1469" s="2">
        <v>5</v>
      </c>
      <c r="E1469" s="2">
        <v>3</v>
      </c>
      <c r="F1469" s="1">
        <v>35.555293499999998</v>
      </c>
      <c r="G1469" s="2">
        <v>94</v>
      </c>
      <c r="H1469" s="2">
        <v>71</v>
      </c>
      <c r="I1469" s="2">
        <v>32</v>
      </c>
      <c r="J1469" s="2">
        <v>1</v>
      </c>
      <c r="K1469" s="2">
        <v>0</v>
      </c>
      <c r="L146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69" t="str">
        <f>IF(Table1[[#This Row],[Experience Years]]&lt;=2,"Entry Level",IF(Table1[[#This Row],[Experience Years]]&lt;=7,"Mid Level",IF(Table1[[#This Row],[Experience Years]]&lt;=15,"Senior Level")))</f>
        <v>Mid Level</v>
      </c>
      <c r="N1469" s="1">
        <f>AVERAGE(Table1[[#This Row],[Interview Score]:[Personality Score]])</f>
        <v>65.666666666666671</v>
      </c>
      <c r="O146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69" s="2" t="str">
        <f t="shared" si="22"/>
        <v>30-40</v>
      </c>
    </row>
    <row r="1470" spans="1:16" x14ac:dyDescent="0.25">
      <c r="A1470">
        <v>44</v>
      </c>
      <c r="B1470" s="2">
        <v>1</v>
      </c>
      <c r="C1470" s="2">
        <v>3</v>
      </c>
      <c r="D1470" s="2">
        <v>4</v>
      </c>
      <c r="E1470" s="2">
        <v>2</v>
      </c>
      <c r="F1470" s="1">
        <v>45.159652649999998</v>
      </c>
      <c r="G1470" s="2">
        <v>11</v>
      </c>
      <c r="H1470" s="2">
        <v>70</v>
      </c>
      <c r="I1470" s="2">
        <v>30</v>
      </c>
      <c r="J1470" s="2">
        <v>3</v>
      </c>
      <c r="K1470" s="2">
        <v>1</v>
      </c>
      <c r="L1470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70" t="str">
        <f>IF(Table1[[#This Row],[Experience Years]]&lt;=2,"Entry Level",IF(Table1[[#This Row],[Experience Years]]&lt;=7,"Mid Level",IF(Table1[[#This Row],[Experience Years]]&lt;=15,"Senior Level")))</f>
        <v>Mid Level</v>
      </c>
      <c r="N1470" s="1">
        <f>AVERAGE(Table1[[#This Row],[Interview Score]:[Personality Score]])</f>
        <v>37</v>
      </c>
      <c r="O147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70" s="2" t="str">
        <f t="shared" si="22"/>
        <v>40-50</v>
      </c>
    </row>
    <row r="1471" spans="1:16" x14ac:dyDescent="0.25">
      <c r="A1471">
        <v>20</v>
      </c>
      <c r="B1471" s="2">
        <v>1</v>
      </c>
      <c r="C1471" s="2">
        <v>3</v>
      </c>
      <c r="D1471" s="2">
        <v>13</v>
      </c>
      <c r="E1471" s="2">
        <v>4</v>
      </c>
      <c r="F1471" s="1">
        <v>48.409925340000001</v>
      </c>
      <c r="G1471" s="2">
        <v>22</v>
      </c>
      <c r="H1471" s="2">
        <v>33</v>
      </c>
      <c r="I1471" s="2">
        <v>20</v>
      </c>
      <c r="J1471" s="2">
        <v>3</v>
      </c>
      <c r="K1471" s="2">
        <v>1</v>
      </c>
      <c r="L147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71" t="str">
        <f>IF(Table1[[#This Row],[Experience Years]]&lt;=2,"Entry Level",IF(Table1[[#This Row],[Experience Years]]&lt;=7,"Mid Level",IF(Table1[[#This Row],[Experience Years]]&lt;=15,"Senior Level")))</f>
        <v>Senior Level</v>
      </c>
      <c r="N1471" s="1">
        <f>AVERAGE(Table1[[#This Row],[Interview Score]:[Personality Score]])</f>
        <v>25</v>
      </c>
      <c r="O147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71" s="2" t="str">
        <f t="shared" si="22"/>
        <v>40-50</v>
      </c>
    </row>
    <row r="1472" spans="1:16" x14ac:dyDescent="0.25">
      <c r="A1472">
        <v>48</v>
      </c>
      <c r="B1472" s="2">
        <v>1</v>
      </c>
      <c r="C1472" s="2">
        <v>2</v>
      </c>
      <c r="D1472" s="2">
        <v>12</v>
      </c>
      <c r="E1472" s="2">
        <v>1</v>
      </c>
      <c r="F1472" s="1">
        <v>25.337552420000002</v>
      </c>
      <c r="G1472" s="2">
        <v>53</v>
      </c>
      <c r="H1472" s="2">
        <v>52</v>
      </c>
      <c r="I1472" s="2">
        <v>26</v>
      </c>
      <c r="J1472" s="2">
        <v>2</v>
      </c>
      <c r="K1472" s="2">
        <v>0</v>
      </c>
      <c r="L1472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72" t="str">
        <f>IF(Table1[[#This Row],[Experience Years]]&lt;=2,"Entry Level",IF(Table1[[#This Row],[Experience Years]]&lt;=7,"Mid Level",IF(Table1[[#This Row],[Experience Years]]&lt;=15,"Senior Level")))</f>
        <v>Senior Level</v>
      </c>
      <c r="N1472" s="1">
        <f>AVERAGE(Table1[[#This Row],[Interview Score]:[Personality Score]])</f>
        <v>43.666666666666664</v>
      </c>
      <c r="O147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72" s="2" t="str">
        <f t="shared" si="22"/>
        <v>20-30</v>
      </c>
    </row>
    <row r="1473" spans="1:16" x14ac:dyDescent="0.25">
      <c r="A1473">
        <v>24</v>
      </c>
      <c r="B1473" s="2">
        <v>0</v>
      </c>
      <c r="C1473" s="2">
        <v>2</v>
      </c>
      <c r="D1473" s="2">
        <v>0</v>
      </c>
      <c r="E1473" s="2">
        <v>4</v>
      </c>
      <c r="F1473" s="1">
        <v>36.116248970000001</v>
      </c>
      <c r="G1473" s="2">
        <v>68</v>
      </c>
      <c r="H1473" s="2">
        <v>13</v>
      </c>
      <c r="I1473" s="2">
        <v>90</v>
      </c>
      <c r="J1473" s="2">
        <v>2</v>
      </c>
      <c r="K1473" s="2">
        <v>0</v>
      </c>
      <c r="L1473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73" s="2" t="str">
        <f>IF(Table1[[#This Row],[Experience Years]]&lt;=2,"Entry Level",IF(Table1[[#This Row],[Experience Years]]&lt;=7,"Mid Level",IF(Table1[[#This Row],[Experience Years]]&lt;=15,"Senior Level")))</f>
        <v>Entry Level</v>
      </c>
      <c r="N1473" s="1">
        <f>AVERAGE(Table1[[#This Row],[Interview Score]:[Personality Score]])</f>
        <v>57</v>
      </c>
      <c r="O147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73" s="2" t="str">
        <f t="shared" si="22"/>
        <v>30-40</v>
      </c>
    </row>
    <row r="1474" spans="1:16" x14ac:dyDescent="0.25">
      <c r="A1474">
        <v>46</v>
      </c>
      <c r="B1474" s="2">
        <v>0</v>
      </c>
      <c r="C1474" s="2">
        <v>2</v>
      </c>
      <c r="D1474" s="2">
        <v>3</v>
      </c>
      <c r="E1474" s="2">
        <v>2</v>
      </c>
      <c r="F1474" s="1">
        <v>43.598462679999997</v>
      </c>
      <c r="G1474" s="2">
        <v>99</v>
      </c>
      <c r="H1474" s="2">
        <v>15</v>
      </c>
      <c r="I1474" s="2">
        <v>71</v>
      </c>
      <c r="J1474" s="2">
        <v>2</v>
      </c>
      <c r="K1474" s="2">
        <v>1</v>
      </c>
      <c r="L1474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74" s="2" t="str">
        <f>IF(Table1[[#This Row],[Experience Years]]&lt;=2,"Entry Level",IF(Table1[[#This Row],[Experience Years]]&lt;=7,"Mid Level",IF(Table1[[#This Row],[Experience Years]]&lt;=15,"Senior Level")))</f>
        <v>Mid Level</v>
      </c>
      <c r="N1474" s="1">
        <f>AVERAGE(Table1[[#This Row],[Interview Score]:[Personality Score]])</f>
        <v>61.666666666666664</v>
      </c>
      <c r="O147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74" s="2" t="str">
        <f t="shared" ref="P1474:P1501" si="23">IF(F1474&lt;10,"0-10",IF(F1474&lt;20,"10-20",IF(F1474&lt;30,"20-30",IF(F1474&lt;40,"30-40",IF(F1474&lt;50,"40-50","50+")))))</f>
        <v>40-50</v>
      </c>
    </row>
    <row r="1475" spans="1:16" x14ac:dyDescent="0.25">
      <c r="A1475">
        <v>42</v>
      </c>
      <c r="B1475" s="2">
        <v>0</v>
      </c>
      <c r="C1475" s="2">
        <v>3</v>
      </c>
      <c r="D1475" s="2">
        <v>5</v>
      </c>
      <c r="E1475" s="2">
        <v>4</v>
      </c>
      <c r="F1475" s="1">
        <v>18.830445640000001</v>
      </c>
      <c r="G1475" s="2">
        <v>58</v>
      </c>
      <c r="H1475" s="2">
        <v>42</v>
      </c>
      <c r="I1475" s="2">
        <v>100</v>
      </c>
      <c r="J1475" s="2">
        <v>2</v>
      </c>
      <c r="K1475" s="2">
        <v>0</v>
      </c>
      <c r="L147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75" s="2" t="str">
        <f>IF(Table1[[#This Row],[Experience Years]]&lt;=2,"Entry Level",IF(Table1[[#This Row],[Experience Years]]&lt;=7,"Mid Level",IF(Table1[[#This Row],[Experience Years]]&lt;=15,"Senior Level")))</f>
        <v>Mid Level</v>
      </c>
      <c r="N1475" s="1">
        <f>AVERAGE(Table1[[#This Row],[Interview Score]:[Personality Score]])</f>
        <v>66.666666666666671</v>
      </c>
      <c r="O147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75" s="2" t="str">
        <f t="shared" si="23"/>
        <v>10-20</v>
      </c>
    </row>
    <row r="1476" spans="1:16" x14ac:dyDescent="0.25">
      <c r="A1476">
        <v>20</v>
      </c>
      <c r="B1476" s="2">
        <v>0</v>
      </c>
      <c r="C1476" s="2">
        <v>2</v>
      </c>
      <c r="D1476" s="2">
        <v>12</v>
      </c>
      <c r="E1476" s="2">
        <v>1</v>
      </c>
      <c r="F1476" s="1">
        <v>14.069865829999999</v>
      </c>
      <c r="G1476" s="2">
        <v>35</v>
      </c>
      <c r="H1476" s="2">
        <v>72</v>
      </c>
      <c r="I1476" s="2">
        <v>61</v>
      </c>
      <c r="J1476" s="2">
        <v>2</v>
      </c>
      <c r="K1476" s="2">
        <v>1</v>
      </c>
      <c r="L1476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76" s="2" t="str">
        <f>IF(Table1[[#This Row],[Experience Years]]&lt;=2,"Entry Level",IF(Table1[[#This Row],[Experience Years]]&lt;=7,"Mid Level",IF(Table1[[#This Row],[Experience Years]]&lt;=15,"Senior Level")))</f>
        <v>Senior Level</v>
      </c>
      <c r="N1476" s="1">
        <f>AVERAGE(Table1[[#This Row],[Interview Score]:[Personality Score]])</f>
        <v>56</v>
      </c>
      <c r="O147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76" s="2" t="str">
        <f t="shared" si="23"/>
        <v>10-20</v>
      </c>
    </row>
    <row r="1477" spans="1:16" x14ac:dyDescent="0.25">
      <c r="A1477">
        <v>49</v>
      </c>
      <c r="B1477" s="2">
        <v>0</v>
      </c>
      <c r="C1477" s="2">
        <v>1</v>
      </c>
      <c r="D1477" s="2">
        <v>14</v>
      </c>
      <c r="E1477" s="2">
        <v>5</v>
      </c>
      <c r="F1477" s="1">
        <v>48.329928639999999</v>
      </c>
      <c r="G1477" s="2">
        <v>2</v>
      </c>
      <c r="H1477" s="2">
        <v>73</v>
      </c>
      <c r="I1477" s="2">
        <v>95</v>
      </c>
      <c r="J1477" s="2">
        <v>1</v>
      </c>
      <c r="K1477" s="2">
        <v>0</v>
      </c>
      <c r="L147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77" s="2" t="str">
        <f>IF(Table1[[#This Row],[Experience Years]]&lt;=2,"Entry Level",IF(Table1[[#This Row],[Experience Years]]&lt;=7,"Mid Level",IF(Table1[[#This Row],[Experience Years]]&lt;=15,"Senior Level")))</f>
        <v>Senior Level</v>
      </c>
      <c r="N1477" s="1">
        <f>AVERAGE(Table1[[#This Row],[Interview Score]:[Personality Score]])</f>
        <v>56.666666666666664</v>
      </c>
      <c r="O147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77" s="2" t="str">
        <f t="shared" si="23"/>
        <v>40-50</v>
      </c>
    </row>
    <row r="1478" spans="1:16" x14ac:dyDescent="0.25">
      <c r="A1478">
        <v>23</v>
      </c>
      <c r="B1478" s="2">
        <v>0</v>
      </c>
      <c r="C1478" s="2">
        <v>2</v>
      </c>
      <c r="D1478" s="2">
        <v>9</v>
      </c>
      <c r="E1478" s="2">
        <v>2</v>
      </c>
      <c r="F1478" s="1">
        <v>37.315175019999998</v>
      </c>
      <c r="G1478" s="2">
        <v>57</v>
      </c>
      <c r="H1478" s="2">
        <v>80</v>
      </c>
      <c r="I1478" s="2">
        <v>25</v>
      </c>
      <c r="J1478" s="2">
        <v>2</v>
      </c>
      <c r="K1478" s="2">
        <v>1</v>
      </c>
      <c r="L1478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78" s="2" t="str">
        <f>IF(Table1[[#This Row],[Experience Years]]&lt;=2,"Entry Level",IF(Table1[[#This Row],[Experience Years]]&lt;=7,"Mid Level",IF(Table1[[#This Row],[Experience Years]]&lt;=15,"Senior Level")))</f>
        <v>Senior Level</v>
      </c>
      <c r="N1478" s="1">
        <f>AVERAGE(Table1[[#This Row],[Interview Score]:[Personality Score]])</f>
        <v>54</v>
      </c>
      <c r="O147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78" s="2" t="str">
        <f t="shared" si="23"/>
        <v>30-40</v>
      </c>
    </row>
    <row r="1479" spans="1:16" x14ac:dyDescent="0.25">
      <c r="A1479">
        <v>41</v>
      </c>
      <c r="B1479" s="2">
        <v>0</v>
      </c>
      <c r="C1479" s="2">
        <v>4</v>
      </c>
      <c r="D1479" s="2">
        <v>9</v>
      </c>
      <c r="E1479" s="2">
        <v>4</v>
      </c>
      <c r="F1479" s="1">
        <v>11.984106669999999</v>
      </c>
      <c r="G1479" s="2">
        <v>87</v>
      </c>
      <c r="H1479" s="2">
        <v>11</v>
      </c>
      <c r="I1479" s="2">
        <v>65</v>
      </c>
      <c r="J1479" s="2">
        <v>1</v>
      </c>
      <c r="K1479" s="2">
        <v>1</v>
      </c>
      <c r="L1479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79" s="2" t="str">
        <f>IF(Table1[[#This Row],[Experience Years]]&lt;=2,"Entry Level",IF(Table1[[#This Row],[Experience Years]]&lt;=7,"Mid Level",IF(Table1[[#This Row],[Experience Years]]&lt;=15,"Senior Level")))</f>
        <v>Senior Level</v>
      </c>
      <c r="N1479" s="1">
        <f>AVERAGE(Table1[[#This Row],[Interview Score]:[Personality Score]])</f>
        <v>54.333333333333336</v>
      </c>
      <c r="O147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79" s="2" t="str">
        <f t="shared" si="23"/>
        <v>10-20</v>
      </c>
    </row>
    <row r="1480" spans="1:16" x14ac:dyDescent="0.25">
      <c r="A1480">
        <v>21</v>
      </c>
      <c r="B1480" s="2">
        <v>1</v>
      </c>
      <c r="C1480" s="2">
        <v>3</v>
      </c>
      <c r="D1480" s="2">
        <v>13</v>
      </c>
      <c r="E1480" s="2">
        <v>2</v>
      </c>
      <c r="F1480" s="1">
        <v>23.454169629999999</v>
      </c>
      <c r="G1480" s="2">
        <v>54</v>
      </c>
      <c r="H1480" s="2">
        <v>69</v>
      </c>
      <c r="I1480" s="2">
        <v>11</v>
      </c>
      <c r="J1480" s="2">
        <v>1</v>
      </c>
      <c r="K1480" s="2">
        <v>1</v>
      </c>
      <c r="L1480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80" t="str">
        <f>IF(Table1[[#This Row],[Experience Years]]&lt;=2,"Entry Level",IF(Table1[[#This Row],[Experience Years]]&lt;=7,"Mid Level",IF(Table1[[#This Row],[Experience Years]]&lt;=15,"Senior Level")))</f>
        <v>Senior Level</v>
      </c>
      <c r="N1480" s="1">
        <f>AVERAGE(Table1[[#This Row],[Interview Score]:[Personality Score]])</f>
        <v>44.666666666666664</v>
      </c>
      <c r="O148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80" s="2" t="str">
        <f t="shared" si="23"/>
        <v>20-30</v>
      </c>
    </row>
    <row r="1481" spans="1:16" x14ac:dyDescent="0.25">
      <c r="A1481">
        <v>29</v>
      </c>
      <c r="B1481" s="2">
        <v>0</v>
      </c>
      <c r="C1481" s="2">
        <v>4</v>
      </c>
      <c r="D1481" s="2">
        <v>3</v>
      </c>
      <c r="E1481" s="2">
        <v>5</v>
      </c>
      <c r="F1481" s="1">
        <v>40.82258848</v>
      </c>
      <c r="G1481" s="2">
        <v>56</v>
      </c>
      <c r="H1481" s="2">
        <v>18</v>
      </c>
      <c r="I1481" s="2">
        <v>21</v>
      </c>
      <c r="J1481" s="2">
        <v>2</v>
      </c>
      <c r="K1481" s="2">
        <v>1</v>
      </c>
      <c r="L1481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81" s="2" t="str">
        <f>IF(Table1[[#This Row],[Experience Years]]&lt;=2,"Entry Level",IF(Table1[[#This Row],[Experience Years]]&lt;=7,"Mid Level",IF(Table1[[#This Row],[Experience Years]]&lt;=15,"Senior Level")))</f>
        <v>Mid Level</v>
      </c>
      <c r="N1481" s="1">
        <f>AVERAGE(Table1[[#This Row],[Interview Score]:[Personality Score]])</f>
        <v>31.666666666666668</v>
      </c>
      <c r="O148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81" s="2" t="str">
        <f t="shared" si="23"/>
        <v>40-50</v>
      </c>
    </row>
    <row r="1482" spans="1:16" x14ac:dyDescent="0.25">
      <c r="A1482">
        <v>24</v>
      </c>
      <c r="B1482" s="2">
        <v>0</v>
      </c>
      <c r="C1482" s="2">
        <v>2</v>
      </c>
      <c r="D1482" s="2">
        <v>14</v>
      </c>
      <c r="E1482" s="2">
        <v>4</v>
      </c>
      <c r="F1482" s="1">
        <v>28.353149550000001</v>
      </c>
      <c r="G1482" s="2">
        <v>16</v>
      </c>
      <c r="H1482" s="2">
        <v>40</v>
      </c>
      <c r="I1482" s="2">
        <v>16</v>
      </c>
      <c r="J1482" s="2">
        <v>2</v>
      </c>
      <c r="K1482" s="2">
        <v>1</v>
      </c>
      <c r="L1482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82" s="2" t="str">
        <f>IF(Table1[[#This Row],[Experience Years]]&lt;=2,"Entry Level",IF(Table1[[#This Row],[Experience Years]]&lt;=7,"Mid Level",IF(Table1[[#This Row],[Experience Years]]&lt;=15,"Senior Level")))</f>
        <v>Senior Level</v>
      </c>
      <c r="N1482" s="1">
        <f>AVERAGE(Table1[[#This Row],[Interview Score]:[Personality Score]])</f>
        <v>24</v>
      </c>
      <c r="O148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82" s="2" t="str">
        <f t="shared" si="23"/>
        <v>20-30</v>
      </c>
    </row>
    <row r="1483" spans="1:16" x14ac:dyDescent="0.25">
      <c r="A1483">
        <v>46</v>
      </c>
      <c r="B1483" s="2">
        <v>1</v>
      </c>
      <c r="C1483" s="2">
        <v>2</v>
      </c>
      <c r="D1483" s="2">
        <v>13</v>
      </c>
      <c r="E1483" s="2">
        <v>4</v>
      </c>
      <c r="F1483" s="1">
        <v>33.49760491</v>
      </c>
      <c r="G1483" s="2">
        <v>38</v>
      </c>
      <c r="H1483" s="2">
        <v>52</v>
      </c>
      <c r="I1483" s="2">
        <v>6</v>
      </c>
      <c r="J1483" s="2">
        <v>2</v>
      </c>
      <c r="K1483" s="2">
        <v>1</v>
      </c>
      <c r="L1483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83" t="str">
        <f>IF(Table1[[#This Row],[Experience Years]]&lt;=2,"Entry Level",IF(Table1[[#This Row],[Experience Years]]&lt;=7,"Mid Level",IF(Table1[[#This Row],[Experience Years]]&lt;=15,"Senior Level")))</f>
        <v>Senior Level</v>
      </c>
      <c r="N1483" s="1">
        <f>AVERAGE(Table1[[#This Row],[Interview Score]:[Personality Score]])</f>
        <v>32</v>
      </c>
      <c r="O148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83" s="2" t="str">
        <f t="shared" si="23"/>
        <v>30-40</v>
      </c>
    </row>
    <row r="1484" spans="1:16" x14ac:dyDescent="0.25">
      <c r="A1484">
        <v>29</v>
      </c>
      <c r="B1484" s="2">
        <v>0</v>
      </c>
      <c r="C1484" s="2">
        <v>1</v>
      </c>
      <c r="D1484" s="2">
        <v>8</v>
      </c>
      <c r="E1484" s="2">
        <v>2</v>
      </c>
      <c r="F1484" s="1">
        <v>38.688410099999999</v>
      </c>
      <c r="G1484" s="2">
        <v>89</v>
      </c>
      <c r="H1484" s="2">
        <v>28</v>
      </c>
      <c r="I1484" s="2">
        <v>67</v>
      </c>
      <c r="J1484" s="2">
        <v>2</v>
      </c>
      <c r="K1484" s="2">
        <v>1</v>
      </c>
      <c r="L1484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84" s="2" t="str">
        <f>IF(Table1[[#This Row],[Experience Years]]&lt;=2,"Entry Level",IF(Table1[[#This Row],[Experience Years]]&lt;=7,"Mid Level",IF(Table1[[#This Row],[Experience Years]]&lt;=15,"Senior Level")))</f>
        <v>Senior Level</v>
      </c>
      <c r="N1484" s="1">
        <f>AVERAGE(Table1[[#This Row],[Interview Score]:[Personality Score]])</f>
        <v>61.333333333333336</v>
      </c>
      <c r="O148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84" s="2" t="str">
        <f t="shared" si="23"/>
        <v>30-40</v>
      </c>
    </row>
    <row r="1485" spans="1:16" x14ac:dyDescent="0.25">
      <c r="A1485">
        <v>20</v>
      </c>
      <c r="B1485" s="2">
        <v>0</v>
      </c>
      <c r="C1485" s="2">
        <v>1</v>
      </c>
      <c r="D1485" s="2">
        <v>4</v>
      </c>
      <c r="E1485" s="2">
        <v>2</v>
      </c>
      <c r="F1485" s="1">
        <v>32.100459440000002</v>
      </c>
      <c r="G1485" s="2">
        <v>67</v>
      </c>
      <c r="H1485" s="2">
        <v>69</v>
      </c>
      <c r="I1485" s="2">
        <v>36</v>
      </c>
      <c r="J1485" s="2">
        <v>3</v>
      </c>
      <c r="K1485" s="2">
        <v>1</v>
      </c>
      <c r="L1485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85" s="2" t="str">
        <f>IF(Table1[[#This Row],[Experience Years]]&lt;=2,"Entry Level",IF(Table1[[#This Row],[Experience Years]]&lt;=7,"Mid Level",IF(Table1[[#This Row],[Experience Years]]&lt;=15,"Senior Level")))</f>
        <v>Mid Level</v>
      </c>
      <c r="N1485" s="1">
        <f>AVERAGE(Table1[[#This Row],[Interview Score]:[Personality Score]])</f>
        <v>57.333333333333336</v>
      </c>
      <c r="O148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85" s="2" t="str">
        <f t="shared" si="23"/>
        <v>30-40</v>
      </c>
    </row>
    <row r="1486" spans="1:16" x14ac:dyDescent="0.25">
      <c r="A1486">
        <v>41</v>
      </c>
      <c r="B1486" s="2">
        <v>1</v>
      </c>
      <c r="C1486" s="2">
        <v>1</v>
      </c>
      <c r="D1486" s="2">
        <v>7</v>
      </c>
      <c r="E1486" s="2">
        <v>1</v>
      </c>
      <c r="F1486" s="1">
        <v>28.0039661</v>
      </c>
      <c r="G1486" s="2">
        <v>54</v>
      </c>
      <c r="H1486" s="2">
        <v>58</v>
      </c>
      <c r="I1486" s="2">
        <v>37</v>
      </c>
      <c r="J1486" s="2">
        <v>2</v>
      </c>
      <c r="K1486" s="2">
        <v>0</v>
      </c>
      <c r="L1486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86" t="str">
        <f>IF(Table1[[#This Row],[Experience Years]]&lt;=2,"Entry Level",IF(Table1[[#This Row],[Experience Years]]&lt;=7,"Mid Level",IF(Table1[[#This Row],[Experience Years]]&lt;=15,"Senior Level")))</f>
        <v>Mid Level</v>
      </c>
      <c r="N1486" s="1">
        <f>AVERAGE(Table1[[#This Row],[Interview Score]:[Personality Score]])</f>
        <v>49.666666666666664</v>
      </c>
      <c r="O148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86" s="2" t="str">
        <f t="shared" si="23"/>
        <v>20-30</v>
      </c>
    </row>
    <row r="1487" spans="1:16" x14ac:dyDescent="0.25">
      <c r="A1487">
        <v>25</v>
      </c>
      <c r="B1487" s="2">
        <v>0</v>
      </c>
      <c r="C1487" s="2">
        <v>2</v>
      </c>
      <c r="D1487" s="2">
        <v>8</v>
      </c>
      <c r="E1487" s="2">
        <v>5</v>
      </c>
      <c r="F1487" s="1">
        <v>38.480714220000003</v>
      </c>
      <c r="G1487" s="2">
        <v>44</v>
      </c>
      <c r="H1487" s="2">
        <v>88</v>
      </c>
      <c r="I1487" s="2">
        <v>95</v>
      </c>
      <c r="J1487" s="2">
        <v>2</v>
      </c>
      <c r="K1487" s="2">
        <v>0</v>
      </c>
      <c r="L1487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87" s="2" t="str">
        <f>IF(Table1[[#This Row],[Experience Years]]&lt;=2,"Entry Level",IF(Table1[[#This Row],[Experience Years]]&lt;=7,"Mid Level",IF(Table1[[#This Row],[Experience Years]]&lt;=15,"Senior Level")))</f>
        <v>Senior Level</v>
      </c>
      <c r="N1487" s="1">
        <f>AVERAGE(Table1[[#This Row],[Interview Score]:[Personality Score]])</f>
        <v>75.666666666666671</v>
      </c>
      <c r="O148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70-79</v>
      </c>
      <c r="P1487" s="2" t="str">
        <f t="shared" si="23"/>
        <v>30-40</v>
      </c>
    </row>
    <row r="1488" spans="1:16" x14ac:dyDescent="0.25">
      <c r="A1488">
        <v>32</v>
      </c>
      <c r="B1488" s="2">
        <v>0</v>
      </c>
      <c r="C1488" s="2">
        <v>1</v>
      </c>
      <c r="D1488" s="2">
        <v>9</v>
      </c>
      <c r="E1488" s="2">
        <v>1</v>
      </c>
      <c r="F1488" s="1">
        <v>37.378151770000002</v>
      </c>
      <c r="G1488" s="2">
        <v>75</v>
      </c>
      <c r="H1488" s="2">
        <v>63</v>
      </c>
      <c r="I1488" s="2">
        <v>10</v>
      </c>
      <c r="J1488" s="2">
        <v>1</v>
      </c>
      <c r="K1488" s="2">
        <v>0</v>
      </c>
      <c r="L1488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88" s="2" t="str">
        <f>IF(Table1[[#This Row],[Experience Years]]&lt;=2,"Entry Level",IF(Table1[[#This Row],[Experience Years]]&lt;=7,"Mid Level",IF(Table1[[#This Row],[Experience Years]]&lt;=15,"Senior Level")))</f>
        <v>Senior Level</v>
      </c>
      <c r="N1488" s="1">
        <f>AVERAGE(Table1[[#This Row],[Interview Score]:[Personality Score]])</f>
        <v>49.333333333333336</v>
      </c>
      <c r="O148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88" s="2" t="str">
        <f t="shared" si="23"/>
        <v>30-40</v>
      </c>
    </row>
    <row r="1489" spans="1:16" x14ac:dyDescent="0.25">
      <c r="A1489">
        <v>50</v>
      </c>
      <c r="B1489" s="2">
        <v>0</v>
      </c>
      <c r="C1489" s="2">
        <v>2</v>
      </c>
      <c r="D1489" s="2">
        <v>4</v>
      </c>
      <c r="E1489" s="2">
        <v>4</v>
      </c>
      <c r="F1489" s="1">
        <v>32.493620010000001</v>
      </c>
      <c r="G1489" s="2">
        <v>0</v>
      </c>
      <c r="H1489" s="2">
        <v>23</v>
      </c>
      <c r="I1489" s="2">
        <v>0</v>
      </c>
      <c r="J1489" s="2">
        <v>1</v>
      </c>
      <c r="K1489" s="2">
        <v>1</v>
      </c>
      <c r="L1489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89" s="2" t="str">
        <f>IF(Table1[[#This Row],[Experience Years]]&lt;=2,"Entry Level",IF(Table1[[#This Row],[Experience Years]]&lt;=7,"Mid Level",IF(Table1[[#This Row],[Experience Years]]&lt;=15,"Senior Level")))</f>
        <v>Mid Level</v>
      </c>
      <c r="N1489" s="1">
        <f>AVERAGE(Table1[[#This Row],[Interview Score]:[Personality Score]])</f>
        <v>7.666666666666667</v>
      </c>
      <c r="O148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89" s="2" t="str">
        <f t="shared" si="23"/>
        <v>30-40</v>
      </c>
    </row>
    <row r="1490" spans="1:16" x14ac:dyDescent="0.25">
      <c r="A1490">
        <v>34</v>
      </c>
      <c r="B1490" s="2">
        <v>1</v>
      </c>
      <c r="C1490" s="2">
        <v>4</v>
      </c>
      <c r="D1490" s="2">
        <v>5</v>
      </c>
      <c r="E1490" s="2">
        <v>2</v>
      </c>
      <c r="F1490" s="1">
        <v>18.989470669999999</v>
      </c>
      <c r="G1490" s="2">
        <v>20</v>
      </c>
      <c r="H1490" s="2">
        <v>88</v>
      </c>
      <c r="I1490" s="2">
        <v>24</v>
      </c>
      <c r="J1490" s="2">
        <v>2</v>
      </c>
      <c r="K1490" s="2">
        <v>1</v>
      </c>
      <c r="L1490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90" t="str">
        <f>IF(Table1[[#This Row],[Experience Years]]&lt;=2,"Entry Level",IF(Table1[[#This Row],[Experience Years]]&lt;=7,"Mid Level",IF(Table1[[#This Row],[Experience Years]]&lt;=15,"Senior Level")))</f>
        <v>Mid Level</v>
      </c>
      <c r="N1490" s="1">
        <f>AVERAGE(Table1[[#This Row],[Interview Score]:[Personality Score]])</f>
        <v>44</v>
      </c>
      <c r="O149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90" s="2" t="str">
        <f t="shared" si="23"/>
        <v>10-20</v>
      </c>
    </row>
    <row r="1491" spans="1:16" x14ac:dyDescent="0.25">
      <c r="A1491">
        <v>23</v>
      </c>
      <c r="B1491" s="2">
        <v>0</v>
      </c>
      <c r="C1491" s="2">
        <v>2</v>
      </c>
      <c r="D1491" s="2">
        <v>0</v>
      </c>
      <c r="E1491" s="2">
        <v>4</v>
      </c>
      <c r="F1491" s="1">
        <v>21.290604609999999</v>
      </c>
      <c r="G1491" s="2">
        <v>82</v>
      </c>
      <c r="H1491" s="2">
        <v>15</v>
      </c>
      <c r="I1491" s="2">
        <v>41</v>
      </c>
      <c r="J1491" s="2">
        <v>2</v>
      </c>
      <c r="K1491" s="2">
        <v>1</v>
      </c>
      <c r="L1491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91" s="2" t="str">
        <f>IF(Table1[[#This Row],[Experience Years]]&lt;=2,"Entry Level",IF(Table1[[#This Row],[Experience Years]]&lt;=7,"Mid Level",IF(Table1[[#This Row],[Experience Years]]&lt;=15,"Senior Level")))</f>
        <v>Entry Level</v>
      </c>
      <c r="N1491" s="1">
        <f>AVERAGE(Table1[[#This Row],[Interview Score]:[Personality Score]])</f>
        <v>46</v>
      </c>
      <c r="O149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91" s="2" t="str">
        <f t="shared" si="23"/>
        <v>20-30</v>
      </c>
    </row>
    <row r="1492" spans="1:16" x14ac:dyDescent="0.25">
      <c r="A1492">
        <v>32</v>
      </c>
      <c r="B1492" s="2">
        <v>0</v>
      </c>
      <c r="C1492" s="2">
        <v>3</v>
      </c>
      <c r="D1492" s="2">
        <v>10</v>
      </c>
      <c r="E1492" s="2">
        <v>4</v>
      </c>
      <c r="F1492" s="1">
        <v>49.521927439999999</v>
      </c>
      <c r="G1492" s="2">
        <v>20</v>
      </c>
      <c r="H1492" s="2">
        <v>51</v>
      </c>
      <c r="I1492" s="2">
        <v>51</v>
      </c>
      <c r="J1492" s="2">
        <v>2</v>
      </c>
      <c r="K1492" s="2">
        <v>0</v>
      </c>
      <c r="L1492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92" s="2" t="str">
        <f>IF(Table1[[#This Row],[Experience Years]]&lt;=2,"Entry Level",IF(Table1[[#This Row],[Experience Years]]&lt;=7,"Mid Level",IF(Table1[[#This Row],[Experience Years]]&lt;=15,"Senior Level")))</f>
        <v>Senior Level</v>
      </c>
      <c r="N1492" s="1">
        <f>AVERAGE(Table1[[#This Row],[Interview Score]:[Personality Score]])</f>
        <v>40.666666666666664</v>
      </c>
      <c r="O1492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92" s="2" t="str">
        <f t="shared" si="23"/>
        <v>40-50</v>
      </c>
    </row>
    <row r="1493" spans="1:16" x14ac:dyDescent="0.25">
      <c r="A1493">
        <v>43</v>
      </c>
      <c r="B1493" s="2">
        <v>1</v>
      </c>
      <c r="C1493" s="2">
        <v>2</v>
      </c>
      <c r="D1493" s="2">
        <v>15</v>
      </c>
      <c r="E1493" s="2">
        <v>3</v>
      </c>
      <c r="F1493" s="1">
        <v>6.6192966149999997</v>
      </c>
      <c r="G1493" s="2">
        <v>51</v>
      </c>
      <c r="H1493" s="2">
        <v>79</v>
      </c>
      <c r="I1493" s="2">
        <v>23</v>
      </c>
      <c r="J1493" s="2">
        <v>2</v>
      </c>
      <c r="K1493" s="2">
        <v>0</v>
      </c>
      <c r="L1493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93" t="str">
        <f>IF(Table1[[#This Row],[Experience Years]]&lt;=2,"Entry Level",IF(Table1[[#This Row],[Experience Years]]&lt;=7,"Mid Level",IF(Table1[[#This Row],[Experience Years]]&lt;=15,"Senior Level")))</f>
        <v>Senior Level</v>
      </c>
      <c r="N1493" s="1">
        <f>AVERAGE(Table1[[#This Row],[Interview Score]:[Personality Score]])</f>
        <v>51</v>
      </c>
      <c r="O1493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50-59</v>
      </c>
      <c r="P1493" s="2" t="str">
        <f t="shared" si="23"/>
        <v>0-10</v>
      </c>
    </row>
    <row r="1494" spans="1:16" x14ac:dyDescent="0.25">
      <c r="A1494">
        <v>39</v>
      </c>
      <c r="B1494" s="2">
        <v>0</v>
      </c>
      <c r="C1494" s="2">
        <v>2</v>
      </c>
      <c r="D1494" s="2">
        <v>11</v>
      </c>
      <c r="E1494" s="2">
        <v>3</v>
      </c>
      <c r="F1494" s="1">
        <v>14.42524586</v>
      </c>
      <c r="G1494" s="2">
        <v>81</v>
      </c>
      <c r="H1494" s="2">
        <v>5</v>
      </c>
      <c r="I1494" s="2">
        <v>52</v>
      </c>
      <c r="J1494" s="2">
        <v>2</v>
      </c>
      <c r="K1494" s="2">
        <v>0</v>
      </c>
      <c r="L1494" s="2" t="str">
        <f>IF(Table1[[#This Row],[Age]]&lt;=25,"20-25",IF(Table1[[#This Row],[Age]]&lt;=30,"26-30",IF(Table1[[#This Row],[Age]]&lt;=35,"31-35",IF(Table1[[#This Row],[Age]]&lt;=40,"36-40",IF(Table1[[#This Row],[Age]]&lt;=45,"41-45","46-50")))))</f>
        <v>36-40</v>
      </c>
      <c r="M1494" s="2" t="str">
        <f>IF(Table1[[#This Row],[Experience Years]]&lt;=2,"Entry Level",IF(Table1[[#This Row],[Experience Years]]&lt;=7,"Mid Level",IF(Table1[[#This Row],[Experience Years]]&lt;=15,"Senior Level")))</f>
        <v>Senior Level</v>
      </c>
      <c r="N1494" s="1">
        <f>AVERAGE(Table1[[#This Row],[Interview Score]:[Personality Score]])</f>
        <v>46</v>
      </c>
      <c r="O1494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94" s="2" t="str">
        <f t="shared" si="23"/>
        <v>10-20</v>
      </c>
    </row>
    <row r="1495" spans="1:16" x14ac:dyDescent="0.25">
      <c r="A1495">
        <v>43</v>
      </c>
      <c r="B1495" s="2">
        <v>1</v>
      </c>
      <c r="C1495" s="2">
        <v>2</v>
      </c>
      <c r="D1495" s="2">
        <v>14</v>
      </c>
      <c r="E1495" s="2">
        <v>4</v>
      </c>
      <c r="F1495" s="1">
        <v>25.620087959999999</v>
      </c>
      <c r="G1495" s="2">
        <v>42</v>
      </c>
      <c r="H1495" s="2">
        <v>36</v>
      </c>
      <c r="I1495" s="2">
        <v>55</v>
      </c>
      <c r="J1495" s="2">
        <v>1</v>
      </c>
      <c r="K1495" s="2">
        <v>0</v>
      </c>
      <c r="L1495" s="2" t="str">
        <f>IF(Table1[[#This Row],[Age]]&lt;=25,"20-25",IF(Table1[[#This Row],[Age]]&lt;=30,"26-30",IF(Table1[[#This Row],[Age]]&lt;=35,"31-35",IF(Table1[[#This Row],[Age]]&lt;=40,"36-40",IF(Table1[[#This Row],[Age]]&lt;=45,"41-45","46-50")))))</f>
        <v>41-45</v>
      </c>
      <c r="M1495" t="str">
        <f>IF(Table1[[#This Row],[Experience Years]]&lt;=2,"Entry Level",IF(Table1[[#This Row],[Experience Years]]&lt;=7,"Mid Level",IF(Table1[[#This Row],[Experience Years]]&lt;=15,"Senior Level")))</f>
        <v>Senior Level</v>
      </c>
      <c r="N1495" s="1">
        <f>AVERAGE(Table1[[#This Row],[Interview Score]:[Personality Score]])</f>
        <v>44.333333333333336</v>
      </c>
      <c r="O1495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95" s="2" t="str">
        <f t="shared" si="23"/>
        <v>20-30</v>
      </c>
    </row>
    <row r="1496" spans="1:16" x14ac:dyDescent="0.25">
      <c r="A1496">
        <v>34</v>
      </c>
      <c r="B1496" s="2">
        <v>1</v>
      </c>
      <c r="C1496" s="2">
        <v>1</v>
      </c>
      <c r="D1496" s="2">
        <v>6</v>
      </c>
      <c r="E1496" s="2">
        <v>2</v>
      </c>
      <c r="F1496" s="1">
        <v>42.836484310000003</v>
      </c>
      <c r="G1496" s="2">
        <v>51</v>
      </c>
      <c r="H1496" s="2">
        <v>84</v>
      </c>
      <c r="I1496" s="2">
        <v>62</v>
      </c>
      <c r="J1496" s="2">
        <v>1</v>
      </c>
      <c r="K1496" s="2">
        <v>0</v>
      </c>
      <c r="L1496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496" t="str">
        <f>IF(Table1[[#This Row],[Experience Years]]&lt;=2,"Entry Level",IF(Table1[[#This Row],[Experience Years]]&lt;=7,"Mid Level",IF(Table1[[#This Row],[Experience Years]]&lt;=15,"Senior Level")))</f>
        <v>Mid Level</v>
      </c>
      <c r="N1496" s="1">
        <f>AVERAGE(Table1[[#This Row],[Interview Score]:[Personality Score]])</f>
        <v>65.666666666666671</v>
      </c>
      <c r="O1496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96" s="2" t="str">
        <f t="shared" si="23"/>
        <v>40-50</v>
      </c>
    </row>
    <row r="1497" spans="1:16" x14ac:dyDescent="0.25">
      <c r="A1497">
        <v>48</v>
      </c>
      <c r="B1497" s="2">
        <v>0</v>
      </c>
      <c r="C1497" s="2">
        <v>2</v>
      </c>
      <c r="D1497" s="2">
        <v>3</v>
      </c>
      <c r="E1497" s="2">
        <v>4</v>
      </c>
      <c r="F1497" s="1">
        <v>9.1837831859999994</v>
      </c>
      <c r="G1497" s="2">
        <v>66</v>
      </c>
      <c r="H1497" s="2">
        <v>3</v>
      </c>
      <c r="I1497" s="2">
        <v>80</v>
      </c>
      <c r="J1497" s="2">
        <v>3</v>
      </c>
      <c r="K1497" s="2">
        <v>1</v>
      </c>
      <c r="L1497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497" s="2" t="str">
        <f>IF(Table1[[#This Row],[Experience Years]]&lt;=2,"Entry Level",IF(Table1[[#This Row],[Experience Years]]&lt;=7,"Mid Level",IF(Table1[[#This Row],[Experience Years]]&lt;=15,"Senior Level")))</f>
        <v>Mid Level</v>
      </c>
      <c r="N1497" s="1">
        <f>AVERAGE(Table1[[#This Row],[Interview Score]:[Personality Score]])</f>
        <v>49.666666666666664</v>
      </c>
      <c r="O1497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97" s="2" t="str">
        <f t="shared" si="23"/>
        <v>0-10</v>
      </c>
    </row>
    <row r="1498" spans="1:16" x14ac:dyDescent="0.25">
      <c r="A1498">
        <v>27</v>
      </c>
      <c r="B1498" s="2">
        <v>1</v>
      </c>
      <c r="C1498" s="2">
        <v>2</v>
      </c>
      <c r="D1498" s="2">
        <v>10</v>
      </c>
      <c r="E1498" s="2">
        <v>3</v>
      </c>
      <c r="F1498" s="1">
        <v>14.847730909999999</v>
      </c>
      <c r="G1498" s="2">
        <v>43</v>
      </c>
      <c r="H1498" s="2">
        <v>97</v>
      </c>
      <c r="I1498" s="2">
        <v>7</v>
      </c>
      <c r="J1498" s="2">
        <v>2</v>
      </c>
      <c r="K1498" s="2">
        <v>0</v>
      </c>
      <c r="L1498" s="2" t="str">
        <f>IF(Table1[[#This Row],[Age]]&lt;=25,"20-25",IF(Table1[[#This Row],[Age]]&lt;=30,"26-30",IF(Table1[[#This Row],[Age]]&lt;=35,"31-35",IF(Table1[[#This Row],[Age]]&lt;=40,"36-40",IF(Table1[[#This Row],[Age]]&lt;=45,"41-45","46-50")))))</f>
        <v>26-30</v>
      </c>
      <c r="M1498" t="str">
        <f>IF(Table1[[#This Row],[Experience Years]]&lt;=2,"Entry Level",IF(Table1[[#This Row],[Experience Years]]&lt;=7,"Mid Level",IF(Table1[[#This Row],[Experience Years]]&lt;=15,"Senior Level")))</f>
        <v>Senior Level</v>
      </c>
      <c r="N1498" s="1">
        <f>AVERAGE(Table1[[#This Row],[Interview Score]:[Personality Score]])</f>
        <v>49</v>
      </c>
      <c r="O1498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498" s="2" t="str">
        <f t="shared" si="23"/>
        <v>10-20</v>
      </c>
    </row>
    <row r="1499" spans="1:16" x14ac:dyDescent="0.25">
      <c r="A1499">
        <v>24</v>
      </c>
      <c r="B1499" s="2">
        <v>1</v>
      </c>
      <c r="C1499" s="2">
        <v>1</v>
      </c>
      <c r="D1499" s="2">
        <v>1</v>
      </c>
      <c r="E1499" s="2">
        <v>2</v>
      </c>
      <c r="F1499" s="1">
        <v>4.2899108899999998</v>
      </c>
      <c r="G1499" s="2">
        <v>31</v>
      </c>
      <c r="H1499" s="2">
        <v>91</v>
      </c>
      <c r="I1499" s="2">
        <v>58</v>
      </c>
      <c r="J1499" s="2">
        <v>1</v>
      </c>
      <c r="K1499" s="2">
        <v>1</v>
      </c>
      <c r="L1499" s="2" t="str">
        <f>IF(Table1[[#This Row],[Age]]&lt;=25,"20-25",IF(Table1[[#This Row],[Age]]&lt;=30,"26-30",IF(Table1[[#This Row],[Age]]&lt;=35,"31-35",IF(Table1[[#This Row],[Age]]&lt;=40,"36-40",IF(Table1[[#This Row],[Age]]&lt;=45,"41-45","46-50")))))</f>
        <v>20-25</v>
      </c>
      <c r="M1499" t="str">
        <f>IF(Table1[[#This Row],[Experience Years]]&lt;=2,"Entry Level",IF(Table1[[#This Row],[Experience Years]]&lt;=7,"Mid Level",IF(Table1[[#This Row],[Experience Years]]&lt;=15,"Senior Level")))</f>
        <v>Entry Level</v>
      </c>
      <c r="N1499" s="1">
        <f>AVERAGE(Table1[[#This Row],[Interview Score]:[Personality Score]])</f>
        <v>60</v>
      </c>
      <c r="O1499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60-69</v>
      </c>
      <c r="P1499" s="2" t="str">
        <f t="shared" si="23"/>
        <v>0-10</v>
      </c>
    </row>
    <row r="1500" spans="1:16" x14ac:dyDescent="0.25">
      <c r="A1500">
        <v>48</v>
      </c>
      <c r="B1500" s="2">
        <v>0</v>
      </c>
      <c r="C1500" s="2">
        <v>2</v>
      </c>
      <c r="D1500" s="2">
        <v>4</v>
      </c>
      <c r="E1500" s="2">
        <v>4</v>
      </c>
      <c r="F1500" s="1">
        <v>36.2992633</v>
      </c>
      <c r="G1500" s="2">
        <v>9</v>
      </c>
      <c r="H1500" s="2">
        <v>37</v>
      </c>
      <c r="I1500" s="2">
        <v>44</v>
      </c>
      <c r="J1500" s="2">
        <v>2</v>
      </c>
      <c r="K1500" s="2">
        <v>1</v>
      </c>
      <c r="L1500" s="2" t="str">
        <f>IF(Table1[[#This Row],[Age]]&lt;=25,"20-25",IF(Table1[[#This Row],[Age]]&lt;=30,"26-30",IF(Table1[[#This Row],[Age]]&lt;=35,"31-35",IF(Table1[[#This Row],[Age]]&lt;=40,"36-40",IF(Table1[[#This Row],[Age]]&lt;=45,"41-45","46-50")))))</f>
        <v>46-50</v>
      </c>
      <c r="M1500" s="2" t="str">
        <f>IF(Table1[[#This Row],[Experience Years]]&lt;=2,"Entry Level",IF(Table1[[#This Row],[Experience Years]]&lt;=7,"Mid Level",IF(Table1[[#This Row],[Experience Years]]&lt;=15,"Senior Level")))</f>
        <v>Mid Level</v>
      </c>
      <c r="N1500" s="1">
        <f>AVERAGE(Table1[[#This Row],[Interview Score]:[Personality Score]])</f>
        <v>30</v>
      </c>
      <c r="O1500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500" s="2" t="str">
        <f t="shared" si="23"/>
        <v>30-40</v>
      </c>
    </row>
    <row r="1501" spans="1:16" x14ac:dyDescent="0.25">
      <c r="A1501">
        <v>34</v>
      </c>
      <c r="B1501" s="2">
        <v>1</v>
      </c>
      <c r="C1501" s="2">
        <v>2</v>
      </c>
      <c r="D1501" s="2">
        <v>11</v>
      </c>
      <c r="E1501" s="2">
        <v>5</v>
      </c>
      <c r="F1501" s="1">
        <v>12.910471769999999</v>
      </c>
      <c r="G1501" s="2">
        <v>63</v>
      </c>
      <c r="H1501" s="2">
        <v>40</v>
      </c>
      <c r="I1501" s="2">
        <v>26</v>
      </c>
      <c r="J1501" s="2">
        <v>2</v>
      </c>
      <c r="K1501" s="2">
        <v>1</v>
      </c>
      <c r="L1501" s="2" t="str">
        <f>IF(Table1[[#This Row],[Age]]&lt;=25,"20-25",IF(Table1[[#This Row],[Age]]&lt;=30,"26-30",IF(Table1[[#This Row],[Age]]&lt;=35,"31-35",IF(Table1[[#This Row],[Age]]&lt;=40,"36-40",IF(Table1[[#This Row],[Age]]&lt;=45,"41-45","46-50")))))</f>
        <v>31-35</v>
      </c>
      <c r="M1501" t="str">
        <f>IF(Table1[[#This Row],[Experience Years]]&lt;=2,"Entry Level",IF(Table1[[#This Row],[Experience Years]]&lt;=7,"Mid Level",IF(Table1[[#This Row],[Experience Years]]&lt;=15,"Senior Level")))</f>
        <v>Senior Level</v>
      </c>
      <c r="N1501" s="1">
        <f>AVERAGE(Table1[[#This Row],[Interview Score]:[Personality Score]])</f>
        <v>43</v>
      </c>
      <c r="O1501" s="2" t="str">
        <f>IF(Table1[[#This Row],[Overall Assessment Score]]&lt;50,"0-49",IF(Table1[[#This Row],[Overall Assessment Score]]&lt;60,"50-59",IF(Table1[[#This Row],[Overall Assessment Score]]&lt;70,"60-69",IF(Table1[[#This Row],[Overall Assessment Score]]&lt;80,"70-79",IF(Table1[[#This Row],[Overall Assessment Score]]&lt;90,"80-89","90-100")))))</f>
        <v>0-49</v>
      </c>
      <c r="P1501" s="2" t="str">
        <f t="shared" si="23"/>
        <v>10-20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6EEF-8027-455E-9E93-104450304E17}">
  <dimension ref="A1:C8"/>
  <sheetViews>
    <sheetView workbookViewId="0">
      <selection activeCell="F12" sqref="F12"/>
    </sheetView>
  </sheetViews>
  <sheetFormatPr defaultRowHeight="15" x14ac:dyDescent="0.25"/>
  <cols>
    <col min="1" max="1" width="21.85546875" bestFit="1" customWidth="1"/>
    <col min="2" max="2" width="14.28515625" bestFit="1" customWidth="1"/>
    <col min="3" max="3" width="14.5703125" bestFit="1" customWidth="1"/>
  </cols>
  <sheetData>
    <row r="1" spans="1:3" x14ac:dyDescent="0.25">
      <c r="A1" s="7" t="s">
        <v>17</v>
      </c>
      <c r="B1" s="8" t="s">
        <v>18</v>
      </c>
      <c r="C1" s="9" t="s">
        <v>19</v>
      </c>
    </row>
    <row r="2" spans="1:3" x14ac:dyDescent="0.25">
      <c r="A2" s="5" t="s">
        <v>0</v>
      </c>
      <c r="B2" s="3">
        <f>MIN(Table1[Age])</f>
        <v>20</v>
      </c>
      <c r="C2" s="6">
        <f>MAX(Table1[Age])</f>
        <v>50</v>
      </c>
    </row>
    <row r="3" spans="1:3" x14ac:dyDescent="0.25">
      <c r="A3" s="5" t="s">
        <v>2</v>
      </c>
      <c r="B3" s="3">
        <f>MIN(Table1[Experience Years])</f>
        <v>0</v>
      </c>
      <c r="C3" s="6">
        <f>MAX(Table1[Experience Years])</f>
        <v>15</v>
      </c>
    </row>
    <row r="4" spans="1:3" x14ac:dyDescent="0.25">
      <c r="A4" s="5" t="s">
        <v>3</v>
      </c>
      <c r="B4" s="3">
        <f>MIN(Table1[Previous Companies])</f>
        <v>1</v>
      </c>
      <c r="C4" s="6">
        <f>MAX(Table1[Previous Companies])</f>
        <v>5</v>
      </c>
    </row>
    <row r="5" spans="1:3" x14ac:dyDescent="0.25">
      <c r="A5" s="5" t="s">
        <v>4</v>
      </c>
      <c r="B5" s="4">
        <f>MIN(Table1[Distance From Company])</f>
        <v>1.0313758310000001</v>
      </c>
      <c r="C5" s="6">
        <f>MAX(Table1[Distance From Company])</f>
        <v>50.99246222</v>
      </c>
    </row>
    <row r="6" spans="1:3" x14ac:dyDescent="0.25">
      <c r="A6" s="5" t="s">
        <v>5</v>
      </c>
      <c r="B6" s="3">
        <f>MIN(Table1[Interview Score])</f>
        <v>0</v>
      </c>
      <c r="C6" s="6">
        <f>MAX(Table1[Interview Score])</f>
        <v>100</v>
      </c>
    </row>
    <row r="7" spans="1:3" x14ac:dyDescent="0.25">
      <c r="A7" s="5" t="s">
        <v>6</v>
      </c>
      <c r="B7" s="3">
        <f>MIN(Table1[Skill Score])</f>
        <v>0</v>
      </c>
      <c r="C7" s="6">
        <f>MAX(Table1[Skill Score])</f>
        <v>100</v>
      </c>
    </row>
    <row r="8" spans="1:3" x14ac:dyDescent="0.25">
      <c r="A8" s="10" t="s">
        <v>7</v>
      </c>
      <c r="B8" s="11">
        <f>MIN(Table1[Personality Score])</f>
        <v>0</v>
      </c>
      <c r="C8" s="12">
        <f>MAX(Table1[Personality Score])</f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48E6-CFFE-47FC-BC84-1C8CC98181FE}">
  <dimension ref="A2:J179"/>
  <sheetViews>
    <sheetView tabSelected="1" topLeftCell="A134" workbookViewId="0">
      <selection activeCell="E135" sqref="E135"/>
    </sheetView>
  </sheetViews>
  <sheetFormatPr defaultRowHeight="15" x14ac:dyDescent="0.25"/>
  <cols>
    <col min="1" max="1" width="22.7109375" bestFit="1" customWidth="1"/>
    <col min="2" max="2" width="16.28515625" bestFit="1" customWidth="1"/>
    <col min="3" max="3" width="20.28515625" bestFit="1" customWidth="1"/>
    <col min="4" max="4" width="11.28515625" bestFit="1" customWidth="1"/>
    <col min="5" max="5" width="34.5703125" bestFit="1" customWidth="1"/>
    <col min="6" max="6" width="41" bestFit="1" customWidth="1"/>
    <col min="7" max="7" width="10.28515625" customWidth="1"/>
  </cols>
  <sheetData>
    <row r="2" spans="1:5" ht="18.75" x14ac:dyDescent="0.3">
      <c r="A2" s="13" t="s">
        <v>23</v>
      </c>
    </row>
    <row r="3" spans="1:5" x14ac:dyDescent="0.25">
      <c r="A3" s="14" t="s">
        <v>27</v>
      </c>
      <c r="B3" s="14" t="s">
        <v>26</v>
      </c>
    </row>
    <row r="4" spans="1:5" x14ac:dyDescent="0.25">
      <c r="A4" s="14" t="s">
        <v>24</v>
      </c>
      <c r="B4" s="2">
        <v>0</v>
      </c>
      <c r="C4" s="2">
        <v>1</v>
      </c>
      <c r="D4" s="2" t="s">
        <v>25</v>
      </c>
    </row>
    <row r="5" spans="1:5" x14ac:dyDescent="0.25">
      <c r="A5" s="15">
        <v>0</v>
      </c>
      <c r="B5" s="16">
        <v>0.6889763779527559</v>
      </c>
      <c r="C5" s="16">
        <v>0.3110236220472441</v>
      </c>
      <c r="D5" s="16">
        <v>1</v>
      </c>
      <c r="E5" s="1"/>
    </row>
    <row r="6" spans="1:5" x14ac:dyDescent="0.25">
      <c r="A6" s="15">
        <v>1</v>
      </c>
      <c r="B6" s="16">
        <v>0.69105691056910568</v>
      </c>
      <c r="C6" s="16">
        <v>0.30894308943089432</v>
      </c>
      <c r="D6" s="16">
        <v>1</v>
      </c>
      <c r="E6" s="1"/>
    </row>
    <row r="7" spans="1:5" x14ac:dyDescent="0.25">
      <c r="A7" s="15" t="s">
        <v>25</v>
      </c>
      <c r="B7" s="16">
        <v>0.69</v>
      </c>
      <c r="C7" s="16">
        <v>0.31</v>
      </c>
      <c r="D7" s="16">
        <v>1</v>
      </c>
      <c r="E7" s="1"/>
    </row>
    <row r="10" spans="1:5" ht="18.75" x14ac:dyDescent="0.3">
      <c r="A10" s="13" t="s">
        <v>28</v>
      </c>
    </row>
    <row r="11" spans="1:5" x14ac:dyDescent="0.25">
      <c r="A11" s="14" t="s">
        <v>27</v>
      </c>
      <c r="B11" s="14" t="s">
        <v>26</v>
      </c>
    </row>
    <row r="12" spans="1:5" x14ac:dyDescent="0.25">
      <c r="A12" s="14" t="s">
        <v>24</v>
      </c>
      <c r="B12" s="2">
        <v>0</v>
      </c>
      <c r="C12" s="2">
        <v>1</v>
      </c>
      <c r="D12" s="2" t="s">
        <v>25</v>
      </c>
    </row>
    <row r="13" spans="1:5" x14ac:dyDescent="0.25">
      <c r="A13" s="15">
        <v>1</v>
      </c>
      <c r="B13" s="16">
        <v>0.7719869706840391</v>
      </c>
      <c r="C13" s="16">
        <v>0.2280130293159609</v>
      </c>
      <c r="D13" s="16">
        <v>1</v>
      </c>
    </row>
    <row r="14" spans="1:5" x14ac:dyDescent="0.25">
      <c r="A14" s="15">
        <v>2</v>
      </c>
      <c r="B14" s="16">
        <v>0.76621621621621616</v>
      </c>
      <c r="C14" s="16">
        <v>0.23378378378378378</v>
      </c>
      <c r="D14" s="16">
        <v>1</v>
      </c>
    </row>
    <row r="15" spans="1:5" x14ac:dyDescent="0.25">
      <c r="A15" s="15">
        <v>3</v>
      </c>
      <c r="B15" s="16">
        <v>0.54258675078864349</v>
      </c>
      <c r="C15" s="16">
        <v>0.45741324921135645</v>
      </c>
      <c r="D15" s="16">
        <v>1</v>
      </c>
    </row>
    <row r="16" spans="1:5" x14ac:dyDescent="0.25">
      <c r="A16" s="15">
        <v>4</v>
      </c>
      <c r="B16" s="16">
        <v>0.43382352941176472</v>
      </c>
      <c r="C16" s="16">
        <v>0.56617647058823528</v>
      </c>
      <c r="D16" s="16">
        <v>1</v>
      </c>
    </row>
    <row r="17" spans="1:4" x14ac:dyDescent="0.25">
      <c r="A17" s="15" t="s">
        <v>25</v>
      </c>
      <c r="B17" s="16">
        <v>0.69</v>
      </c>
      <c r="C17" s="16">
        <v>0.31</v>
      </c>
      <c r="D17" s="16">
        <v>1</v>
      </c>
    </row>
    <row r="20" spans="1:4" ht="18.75" x14ac:dyDescent="0.3">
      <c r="A20" s="13" t="s">
        <v>29</v>
      </c>
    </row>
    <row r="21" spans="1:4" x14ac:dyDescent="0.25">
      <c r="A21" s="14" t="s">
        <v>27</v>
      </c>
      <c r="B21" s="14" t="s">
        <v>26</v>
      </c>
    </row>
    <row r="22" spans="1:4" x14ac:dyDescent="0.25">
      <c r="A22" s="14" t="s">
        <v>24</v>
      </c>
      <c r="B22" s="2">
        <v>0</v>
      </c>
      <c r="C22" s="2">
        <v>1</v>
      </c>
      <c r="D22" s="2" t="s">
        <v>25</v>
      </c>
    </row>
    <row r="23" spans="1:4" x14ac:dyDescent="0.25">
      <c r="A23" s="17" t="s">
        <v>30</v>
      </c>
      <c r="B23" s="16">
        <v>0.80740740740740746</v>
      </c>
      <c r="C23" s="16">
        <v>0.19259259259259259</v>
      </c>
      <c r="D23" s="16">
        <v>1</v>
      </c>
    </row>
    <row r="24" spans="1:4" x14ac:dyDescent="0.25">
      <c r="A24" s="17" t="s">
        <v>31</v>
      </c>
      <c r="B24" s="16">
        <v>0.70897155361050324</v>
      </c>
      <c r="C24" s="16">
        <v>0.29102844638949671</v>
      </c>
      <c r="D24" s="16">
        <v>1</v>
      </c>
    </row>
    <row r="25" spans="1:4" x14ac:dyDescent="0.25">
      <c r="A25" s="17" t="s">
        <v>32</v>
      </c>
      <c r="B25" s="16">
        <v>0.63777490297542039</v>
      </c>
      <c r="C25" s="16">
        <v>0.36222509702457956</v>
      </c>
      <c r="D25" s="16">
        <v>1</v>
      </c>
    </row>
    <row r="26" spans="1:4" x14ac:dyDescent="0.25">
      <c r="A26" s="17" t="s">
        <v>25</v>
      </c>
      <c r="B26" s="16">
        <v>0.69</v>
      </c>
      <c r="C26" s="16">
        <v>0.31</v>
      </c>
      <c r="D26" s="16">
        <v>1</v>
      </c>
    </row>
    <row r="29" spans="1:4" ht="18.75" x14ac:dyDescent="0.3">
      <c r="A29" s="18" t="s">
        <v>33</v>
      </c>
    </row>
    <row r="30" spans="1:4" x14ac:dyDescent="0.25">
      <c r="A30" s="14" t="s">
        <v>27</v>
      </c>
      <c r="B30" s="14" t="s">
        <v>26</v>
      </c>
    </row>
    <row r="31" spans="1:4" x14ac:dyDescent="0.25">
      <c r="A31" s="14" t="s">
        <v>24</v>
      </c>
      <c r="B31" s="2">
        <v>0</v>
      </c>
      <c r="C31" s="2">
        <v>1</v>
      </c>
      <c r="D31" s="2" t="s">
        <v>25</v>
      </c>
    </row>
    <row r="32" spans="1:4" x14ac:dyDescent="0.25">
      <c r="A32" s="17" t="s">
        <v>34</v>
      </c>
      <c r="B32" s="16">
        <v>0.71698113207547165</v>
      </c>
      <c r="C32" s="16">
        <v>0.28301886792452829</v>
      </c>
      <c r="D32" s="16">
        <v>1</v>
      </c>
    </row>
    <row r="33" spans="1:4" x14ac:dyDescent="0.25">
      <c r="A33" s="17" t="s">
        <v>35</v>
      </c>
      <c r="B33" s="16">
        <v>0.6280193236714976</v>
      </c>
      <c r="C33" s="16">
        <v>0.3719806763285024</v>
      </c>
      <c r="D33" s="16">
        <v>1</v>
      </c>
    </row>
    <row r="34" spans="1:4" x14ac:dyDescent="0.25">
      <c r="A34" s="17" t="s">
        <v>36</v>
      </c>
      <c r="B34" s="16">
        <v>0.69603524229074887</v>
      </c>
      <c r="C34" s="16">
        <v>0.30396475770925108</v>
      </c>
      <c r="D34" s="16">
        <v>1</v>
      </c>
    </row>
    <row r="35" spans="1:4" x14ac:dyDescent="0.25">
      <c r="A35" s="17" t="s">
        <v>37</v>
      </c>
      <c r="B35" s="16">
        <v>0.72608695652173916</v>
      </c>
      <c r="C35" s="16">
        <v>0.27391304347826084</v>
      </c>
      <c r="D35" s="16">
        <v>1</v>
      </c>
    </row>
    <row r="36" spans="1:4" x14ac:dyDescent="0.25">
      <c r="A36" s="17" t="s">
        <v>38</v>
      </c>
      <c r="B36" s="16">
        <v>0.66538461538461535</v>
      </c>
      <c r="C36" s="16">
        <v>0.33461538461538459</v>
      </c>
      <c r="D36" s="16">
        <v>1</v>
      </c>
    </row>
    <row r="37" spans="1:4" x14ac:dyDescent="0.25">
      <c r="A37" s="17" t="s">
        <v>39</v>
      </c>
      <c r="B37" s="16">
        <v>0.69379844961240311</v>
      </c>
      <c r="C37" s="16">
        <v>0.30620155038759689</v>
      </c>
      <c r="D37" s="16">
        <v>1</v>
      </c>
    </row>
    <row r="38" spans="1:4" x14ac:dyDescent="0.25">
      <c r="A38" s="17" t="s">
        <v>25</v>
      </c>
      <c r="B38" s="16">
        <v>0.69</v>
      </c>
      <c r="C38" s="16">
        <v>0.31</v>
      </c>
      <c r="D38" s="16">
        <v>1</v>
      </c>
    </row>
    <row r="41" spans="1:4" ht="18.75" x14ac:dyDescent="0.3">
      <c r="A41" s="13" t="s">
        <v>40</v>
      </c>
    </row>
    <row r="42" spans="1:4" x14ac:dyDescent="0.25">
      <c r="A42" s="14" t="s">
        <v>27</v>
      </c>
      <c r="B42" s="14" t="s">
        <v>26</v>
      </c>
    </row>
    <row r="43" spans="1:4" x14ac:dyDescent="0.25">
      <c r="A43" s="14" t="s">
        <v>24</v>
      </c>
      <c r="B43" s="2">
        <v>0</v>
      </c>
      <c r="C43" s="2">
        <v>1</v>
      </c>
      <c r="D43" s="2" t="s">
        <v>25</v>
      </c>
    </row>
    <row r="44" spans="1:4" x14ac:dyDescent="0.25">
      <c r="A44" s="15">
        <v>1</v>
      </c>
      <c r="B44" s="16">
        <v>0.28314606741573034</v>
      </c>
      <c r="C44" s="16">
        <v>0.71685393258426966</v>
      </c>
      <c r="D44" s="16">
        <v>1</v>
      </c>
    </row>
    <row r="45" spans="1:4" x14ac:dyDescent="0.25">
      <c r="A45" s="15">
        <v>2</v>
      </c>
      <c r="B45" s="16">
        <v>0.86363636363636365</v>
      </c>
      <c r="C45" s="16">
        <v>0.13636363636363635</v>
      </c>
      <c r="D45" s="16">
        <v>1</v>
      </c>
    </row>
    <row r="46" spans="1:4" x14ac:dyDescent="0.25">
      <c r="A46" s="15">
        <v>3</v>
      </c>
      <c r="B46" s="16">
        <v>0.85614035087719298</v>
      </c>
      <c r="C46" s="16">
        <v>0.14385964912280702</v>
      </c>
      <c r="D46" s="16">
        <v>1</v>
      </c>
    </row>
    <row r="47" spans="1:4" x14ac:dyDescent="0.25">
      <c r="A47" s="15" t="s">
        <v>25</v>
      </c>
      <c r="B47" s="16">
        <v>0.69</v>
      </c>
      <c r="C47" s="16">
        <v>0.31</v>
      </c>
      <c r="D47" s="16">
        <v>1</v>
      </c>
    </row>
    <row r="49" spans="1:5" ht="18.75" x14ac:dyDescent="0.3">
      <c r="A49" s="13" t="s">
        <v>41</v>
      </c>
    </row>
    <row r="50" spans="1:5" x14ac:dyDescent="0.25">
      <c r="A50" s="14" t="s">
        <v>24</v>
      </c>
      <c r="B50" t="s">
        <v>42</v>
      </c>
      <c r="C50" t="s">
        <v>43</v>
      </c>
      <c r="D50" t="s">
        <v>44</v>
      </c>
      <c r="E50" t="s">
        <v>45</v>
      </c>
    </row>
    <row r="51" spans="1:5" x14ac:dyDescent="0.25">
      <c r="A51" s="15">
        <v>0</v>
      </c>
      <c r="B51" s="2">
        <v>47.762318840579709</v>
      </c>
      <c r="C51" s="2">
        <v>47.110144927536233</v>
      </c>
      <c r="D51" s="2">
        <v>46.059903381642513</v>
      </c>
      <c r="E51" s="1">
        <v>46.977455716586086</v>
      </c>
    </row>
    <row r="52" spans="1:5" x14ac:dyDescent="0.25">
      <c r="A52" s="15">
        <v>1</v>
      </c>
      <c r="B52" s="2">
        <v>56.8</v>
      </c>
      <c r="C52" s="2">
        <v>60.032258064516128</v>
      </c>
      <c r="D52" s="2">
        <v>56.793548387096777</v>
      </c>
      <c r="E52" s="1">
        <v>57.875268817204223</v>
      </c>
    </row>
    <row r="53" spans="1:5" x14ac:dyDescent="0.25">
      <c r="A53" s="15" t="s">
        <v>25</v>
      </c>
      <c r="B53" s="2">
        <v>50.564</v>
      </c>
      <c r="C53" s="2">
        <v>51.116</v>
      </c>
      <c r="D53" s="2">
        <v>49.387333333333331</v>
      </c>
      <c r="E53" s="1">
        <v>50.355777777777625</v>
      </c>
    </row>
    <row r="55" spans="1:5" x14ac:dyDescent="0.25">
      <c r="A55" s="19" t="s">
        <v>46</v>
      </c>
    </row>
    <row r="57" spans="1:5" ht="18.75" x14ac:dyDescent="0.3">
      <c r="A57" s="13" t="s">
        <v>47</v>
      </c>
    </row>
    <row r="58" spans="1:5" x14ac:dyDescent="0.25">
      <c r="A58" s="14" t="s">
        <v>24</v>
      </c>
      <c r="B58" t="s">
        <v>42</v>
      </c>
      <c r="C58" t="s">
        <v>43</v>
      </c>
      <c r="D58" t="s">
        <v>44</v>
      </c>
      <c r="E58" t="s">
        <v>45</v>
      </c>
    </row>
    <row r="59" spans="1:5" x14ac:dyDescent="0.25">
      <c r="A59" s="15">
        <v>0</v>
      </c>
      <c r="B59" s="2">
        <v>51.15223097112861</v>
      </c>
      <c r="C59" s="2">
        <v>50.759842519685037</v>
      </c>
      <c r="D59" s="2">
        <v>48.702099737532805</v>
      </c>
      <c r="E59" s="1">
        <v>50.204724409448836</v>
      </c>
    </row>
    <row r="60" spans="1:5" x14ac:dyDescent="0.25">
      <c r="A60" s="15">
        <v>1</v>
      </c>
      <c r="B60" s="2">
        <v>49.956639566395665</v>
      </c>
      <c r="C60" s="2">
        <v>51.483739837398375</v>
      </c>
      <c r="D60" s="2">
        <v>50.094850948509482</v>
      </c>
      <c r="E60" s="1">
        <v>50.511743450767845</v>
      </c>
    </row>
    <row r="61" spans="1:5" x14ac:dyDescent="0.25">
      <c r="A61" s="15" t="s">
        <v>25</v>
      </c>
      <c r="B61" s="2">
        <v>50.564</v>
      </c>
      <c r="C61" s="2">
        <v>51.116</v>
      </c>
      <c r="D61" s="2">
        <v>49.387333333333331</v>
      </c>
      <c r="E61" s="1">
        <v>50.35577777777776</v>
      </c>
    </row>
    <row r="63" spans="1:5" ht="18.75" x14ac:dyDescent="0.3">
      <c r="A63" s="13" t="s">
        <v>50</v>
      </c>
    </row>
    <row r="65" spans="1:5" x14ac:dyDescent="0.25">
      <c r="A65" s="14" t="s">
        <v>24</v>
      </c>
      <c r="B65" t="s">
        <v>42</v>
      </c>
      <c r="C65" t="s">
        <v>43</v>
      </c>
      <c r="D65" t="s">
        <v>44</v>
      </c>
      <c r="E65" t="s">
        <v>45</v>
      </c>
    </row>
    <row r="66" spans="1:5" x14ac:dyDescent="0.25">
      <c r="A66" s="17" t="s">
        <v>34</v>
      </c>
      <c r="B66" s="2">
        <v>50.704402515723274</v>
      </c>
      <c r="C66" s="2">
        <v>51.210691823899374</v>
      </c>
      <c r="D66" s="2">
        <v>46.911949685534594</v>
      </c>
      <c r="E66" s="1">
        <v>49.609014675052372</v>
      </c>
    </row>
    <row r="67" spans="1:5" x14ac:dyDescent="0.25">
      <c r="A67" s="17" t="s">
        <v>35</v>
      </c>
      <c r="B67" s="2">
        <v>51.676328502415458</v>
      </c>
      <c r="C67" s="2">
        <v>55.072463768115945</v>
      </c>
      <c r="D67" s="2">
        <v>46.584541062801932</v>
      </c>
      <c r="E67" s="1">
        <v>51.111111111111114</v>
      </c>
    </row>
    <row r="68" spans="1:5" x14ac:dyDescent="0.25">
      <c r="A68" s="17" t="s">
        <v>36</v>
      </c>
      <c r="B68" s="2">
        <v>51.651982378854626</v>
      </c>
      <c r="C68" s="2">
        <v>49.105726872246699</v>
      </c>
      <c r="D68" s="2">
        <v>51.651982378854626</v>
      </c>
      <c r="E68" s="1">
        <v>50.803230543318641</v>
      </c>
    </row>
    <row r="69" spans="1:5" x14ac:dyDescent="0.25">
      <c r="A69" s="17" t="s">
        <v>37</v>
      </c>
      <c r="B69" s="2">
        <v>50.665217391304346</v>
      </c>
      <c r="C69" s="2">
        <v>49.491304347826087</v>
      </c>
      <c r="D69" s="2">
        <v>51.021739130434781</v>
      </c>
      <c r="E69" s="1">
        <v>50.392753623188426</v>
      </c>
    </row>
    <row r="70" spans="1:5" x14ac:dyDescent="0.25">
      <c r="A70" s="17" t="s">
        <v>38</v>
      </c>
      <c r="B70" s="2">
        <v>50.392307692307689</v>
      </c>
      <c r="C70" s="2">
        <v>50.169230769230772</v>
      </c>
      <c r="D70" s="2">
        <v>51.476923076923079</v>
      </c>
      <c r="E70" s="1">
        <v>50.679487179487197</v>
      </c>
    </row>
    <row r="71" spans="1:5" x14ac:dyDescent="0.25">
      <c r="A71" s="17" t="s">
        <v>39</v>
      </c>
      <c r="B71" s="2">
        <v>48.624031007751938</v>
      </c>
      <c r="C71" s="2">
        <v>51.996124031007753</v>
      </c>
      <c r="D71" s="2">
        <v>49.131782945736433</v>
      </c>
      <c r="E71" s="1">
        <v>49.917312661498713</v>
      </c>
    </row>
    <row r="72" spans="1:5" x14ac:dyDescent="0.25">
      <c r="A72" s="17" t="s">
        <v>25</v>
      </c>
      <c r="B72" s="2">
        <v>50.564</v>
      </c>
      <c r="C72" s="2">
        <v>51.116</v>
      </c>
      <c r="D72" s="2">
        <v>49.387333333333331</v>
      </c>
      <c r="E72" s="1">
        <v>50.355777777777789</v>
      </c>
    </row>
    <row r="74" spans="1:5" ht="18.75" x14ac:dyDescent="0.3">
      <c r="A74" s="13" t="s">
        <v>48</v>
      </c>
    </row>
    <row r="75" spans="1:5" x14ac:dyDescent="0.25">
      <c r="A75" s="14" t="s">
        <v>24</v>
      </c>
      <c r="B75" t="s">
        <v>42</v>
      </c>
      <c r="C75" t="s">
        <v>43</v>
      </c>
      <c r="D75" t="s">
        <v>44</v>
      </c>
      <c r="E75" t="s">
        <v>45</v>
      </c>
    </row>
    <row r="76" spans="1:5" x14ac:dyDescent="0.25">
      <c r="A76" s="15">
        <v>1</v>
      </c>
      <c r="B76" s="2">
        <v>49.736156351791529</v>
      </c>
      <c r="C76" s="2">
        <v>52.309446254071659</v>
      </c>
      <c r="D76" s="2">
        <v>49.804560260586321</v>
      </c>
      <c r="E76" s="1">
        <v>50.616720955483146</v>
      </c>
    </row>
    <row r="77" spans="1:5" x14ac:dyDescent="0.25">
      <c r="A77" s="15">
        <v>2</v>
      </c>
      <c r="B77" s="2">
        <v>50.344594594594597</v>
      </c>
      <c r="C77" s="2">
        <v>51.643243243243241</v>
      </c>
      <c r="D77" s="2">
        <v>48.444594594594598</v>
      </c>
      <c r="E77" s="1">
        <v>50.144144144144121</v>
      </c>
    </row>
    <row r="78" spans="1:5" x14ac:dyDescent="0.25">
      <c r="A78" s="15">
        <v>3</v>
      </c>
      <c r="B78" s="2">
        <v>52.498422712933753</v>
      </c>
      <c r="C78" s="2">
        <v>50.378548895899051</v>
      </c>
      <c r="D78" s="2">
        <v>48.851735015772867</v>
      </c>
      <c r="E78" s="1">
        <v>50.576235541535233</v>
      </c>
    </row>
    <row r="79" spans="1:5" x14ac:dyDescent="0.25">
      <c r="A79" s="15">
        <v>4</v>
      </c>
      <c r="B79" s="2">
        <v>49.117647058823529</v>
      </c>
      <c r="C79" s="2">
        <v>47.272058823529413</v>
      </c>
      <c r="D79" s="2">
        <v>54.823529411764703</v>
      </c>
      <c r="E79" s="1">
        <v>50.404411764705877</v>
      </c>
    </row>
    <row r="80" spans="1:5" x14ac:dyDescent="0.25">
      <c r="A80" s="15" t="s">
        <v>25</v>
      </c>
      <c r="B80" s="2">
        <v>50.564</v>
      </c>
      <c r="C80" s="2">
        <v>51.116</v>
      </c>
      <c r="D80" s="2">
        <v>49.387333333333331</v>
      </c>
      <c r="E80" s="1">
        <v>50.355777777777831</v>
      </c>
    </row>
    <row r="82" spans="1:5" ht="18.75" x14ac:dyDescent="0.3">
      <c r="A82" s="13" t="s">
        <v>49</v>
      </c>
    </row>
    <row r="83" spans="1:5" x14ac:dyDescent="0.25">
      <c r="A83" s="14" t="s">
        <v>24</v>
      </c>
      <c r="B83" t="s">
        <v>42</v>
      </c>
      <c r="C83" t="s">
        <v>43</v>
      </c>
      <c r="D83" t="s">
        <v>44</v>
      </c>
      <c r="E83" t="s">
        <v>45</v>
      </c>
    </row>
    <row r="84" spans="1:5" x14ac:dyDescent="0.25">
      <c r="A84" s="17" t="s">
        <v>30</v>
      </c>
      <c r="B84" s="2">
        <v>50.75925925925926</v>
      </c>
      <c r="C84" s="2">
        <v>51.270370370370372</v>
      </c>
      <c r="D84" s="2">
        <v>49.670370370370371</v>
      </c>
      <c r="E84" s="1">
        <v>50.566666666666649</v>
      </c>
    </row>
    <row r="85" spans="1:5" x14ac:dyDescent="0.25">
      <c r="A85" s="17" t="s">
        <v>31</v>
      </c>
      <c r="B85" s="2">
        <v>51.827133479212257</v>
      </c>
      <c r="C85" s="2">
        <v>50.354485776805255</v>
      </c>
      <c r="D85" s="2">
        <v>48.665207877461704</v>
      </c>
      <c r="E85" s="1">
        <v>50.282275711159691</v>
      </c>
    </row>
    <row r="86" spans="1:5" x14ac:dyDescent="0.25">
      <c r="A86" s="17" t="s">
        <v>32</v>
      </c>
      <c r="B86" s="2">
        <v>49.7490297542044</v>
      </c>
      <c r="C86" s="2">
        <v>51.512289780077623</v>
      </c>
      <c r="D86" s="2">
        <v>49.715394566623544</v>
      </c>
      <c r="E86" s="1">
        <v>50.325571366968553</v>
      </c>
    </row>
    <row r="87" spans="1:5" x14ac:dyDescent="0.25">
      <c r="A87" s="17" t="s">
        <v>25</v>
      </c>
      <c r="B87" s="2">
        <v>50.564</v>
      </c>
      <c r="C87" s="2">
        <v>51.116</v>
      </c>
      <c r="D87" s="2">
        <v>49.387333333333331</v>
      </c>
      <c r="E87" s="1">
        <v>50.355777777777732</v>
      </c>
    </row>
    <row r="89" spans="1:5" ht="18.75" x14ac:dyDescent="0.3">
      <c r="A89" s="13" t="s">
        <v>52</v>
      </c>
      <c r="B89" s="20"/>
    </row>
    <row r="90" spans="1:5" x14ac:dyDescent="0.25">
      <c r="A90" s="14" t="s">
        <v>27</v>
      </c>
      <c r="B90" s="14" t="s">
        <v>26</v>
      </c>
    </row>
    <row r="91" spans="1:5" x14ac:dyDescent="0.25">
      <c r="A91" s="14" t="s">
        <v>24</v>
      </c>
      <c r="B91" s="2">
        <v>0</v>
      </c>
      <c r="C91" s="2">
        <v>1</v>
      </c>
      <c r="D91" s="2" t="s">
        <v>25</v>
      </c>
    </row>
    <row r="92" spans="1:5" x14ac:dyDescent="0.25">
      <c r="A92" s="17" t="s">
        <v>53</v>
      </c>
      <c r="B92" s="16">
        <v>0.81971830985915495</v>
      </c>
      <c r="C92" s="16">
        <v>0.18028169014084508</v>
      </c>
      <c r="D92" s="16">
        <v>1</v>
      </c>
    </row>
    <row r="93" spans="1:5" x14ac:dyDescent="0.25">
      <c r="A93" s="17" t="s">
        <v>54</v>
      </c>
      <c r="B93" s="16">
        <v>0.64571428571428569</v>
      </c>
      <c r="C93" s="16">
        <v>0.35428571428571426</v>
      </c>
      <c r="D93" s="16">
        <v>1</v>
      </c>
    </row>
    <row r="94" spans="1:5" x14ac:dyDescent="0.25">
      <c r="A94" s="17" t="s">
        <v>55</v>
      </c>
      <c r="B94" s="16">
        <v>0.55642023346303504</v>
      </c>
      <c r="C94" s="16">
        <v>0.44357976653696496</v>
      </c>
      <c r="D94" s="16">
        <v>1</v>
      </c>
    </row>
    <row r="95" spans="1:5" x14ac:dyDescent="0.25">
      <c r="A95" s="17" t="s">
        <v>56</v>
      </c>
      <c r="B95" s="16">
        <v>0.5</v>
      </c>
      <c r="C95" s="16">
        <v>0.5</v>
      </c>
      <c r="D95" s="16">
        <v>1</v>
      </c>
    </row>
    <row r="96" spans="1:5" x14ac:dyDescent="0.25">
      <c r="A96" s="17" t="s">
        <v>57</v>
      </c>
      <c r="B96" s="16">
        <v>0.35897435897435898</v>
      </c>
      <c r="C96" s="16">
        <v>0.64102564102564108</v>
      </c>
      <c r="D96" s="16">
        <v>1</v>
      </c>
    </row>
    <row r="97" spans="1:5" x14ac:dyDescent="0.25">
      <c r="A97" s="17" t="s">
        <v>58</v>
      </c>
      <c r="B97" s="16">
        <v>0</v>
      </c>
      <c r="C97" s="16">
        <v>1</v>
      </c>
      <c r="D97" s="16">
        <v>1</v>
      </c>
    </row>
    <row r="98" spans="1:5" x14ac:dyDescent="0.25">
      <c r="A98" s="17" t="s">
        <v>25</v>
      </c>
      <c r="B98" s="16">
        <v>0.69</v>
      </c>
      <c r="C98" s="16">
        <v>0.31</v>
      </c>
      <c r="D98" s="16">
        <v>1</v>
      </c>
    </row>
    <row r="100" spans="1:5" ht="18.75" x14ac:dyDescent="0.3">
      <c r="A100" s="13" t="s">
        <v>59</v>
      </c>
    </row>
    <row r="101" spans="1:5" x14ac:dyDescent="0.25">
      <c r="A101" s="14" t="s">
        <v>45</v>
      </c>
      <c r="B101" s="14" t="s">
        <v>26</v>
      </c>
    </row>
    <row r="102" spans="1:5" x14ac:dyDescent="0.25">
      <c r="A102" s="14" t="s">
        <v>24</v>
      </c>
      <c r="B102" s="2">
        <v>0</v>
      </c>
      <c r="C102" s="2">
        <v>1</v>
      </c>
      <c r="D102" s="2" t="s">
        <v>25</v>
      </c>
    </row>
    <row r="103" spans="1:5" x14ac:dyDescent="0.25">
      <c r="A103" s="15">
        <v>0</v>
      </c>
      <c r="B103" s="1">
        <v>47.024126984127037</v>
      </c>
      <c r="C103" s="1">
        <v>57.250351617440273</v>
      </c>
      <c r="D103" s="1">
        <v>50.204724409448922</v>
      </c>
    </row>
    <row r="104" spans="1:5" x14ac:dyDescent="0.25">
      <c r="A104" s="15">
        <v>1</v>
      </c>
      <c r="B104" s="1">
        <v>46.929411764705897</v>
      </c>
      <c r="C104" s="1">
        <v>58.524853801169613</v>
      </c>
      <c r="D104" s="1">
        <v>50.511743450767888</v>
      </c>
    </row>
    <row r="105" spans="1:5" x14ac:dyDescent="0.25">
      <c r="A105" s="15" t="s">
        <v>25</v>
      </c>
      <c r="B105" s="1">
        <v>46.977455716586157</v>
      </c>
      <c r="C105" s="1">
        <v>57.875268817204294</v>
      </c>
      <c r="D105" s="1">
        <v>50.355777777777845</v>
      </c>
    </row>
    <row r="107" spans="1:5" ht="18.75" x14ac:dyDescent="0.25">
      <c r="A107" s="21" t="s">
        <v>60</v>
      </c>
    </row>
    <row r="108" spans="1:5" x14ac:dyDescent="0.25">
      <c r="A108" s="14" t="s">
        <v>24</v>
      </c>
      <c r="B108" t="s">
        <v>42</v>
      </c>
      <c r="C108" t="s">
        <v>43</v>
      </c>
      <c r="D108" t="s">
        <v>44</v>
      </c>
      <c r="E108" t="s">
        <v>45</v>
      </c>
    </row>
    <row r="109" spans="1:5" x14ac:dyDescent="0.25">
      <c r="A109" s="15">
        <v>1</v>
      </c>
      <c r="B109" s="2">
        <v>51.397752808988763</v>
      </c>
      <c r="C109" s="2">
        <v>52.512359550561797</v>
      </c>
      <c r="D109" s="2">
        <v>49.67640449438202</v>
      </c>
      <c r="E109" s="1">
        <v>51.195505617977489</v>
      </c>
    </row>
    <row r="110" spans="1:5" x14ac:dyDescent="0.25">
      <c r="A110" s="15">
        <v>2</v>
      </c>
      <c r="B110" s="2">
        <v>49.138961038961043</v>
      </c>
      <c r="C110" s="2">
        <v>50.73116883116883</v>
      </c>
      <c r="D110" s="2">
        <v>48.86753246753247</v>
      </c>
      <c r="E110" s="1">
        <v>49.579220779220776</v>
      </c>
    </row>
    <row r="111" spans="1:5" x14ac:dyDescent="0.25">
      <c r="A111" s="15">
        <v>3</v>
      </c>
      <c r="B111" s="2">
        <v>53.112280701754386</v>
      </c>
      <c r="C111" s="2">
        <v>49.97543859649123</v>
      </c>
      <c r="D111" s="2">
        <v>50.340350877192982</v>
      </c>
      <c r="E111" s="1">
        <v>51.142690058479516</v>
      </c>
    </row>
    <row r="112" spans="1:5" x14ac:dyDescent="0.25">
      <c r="A112" s="15" t="s">
        <v>25</v>
      </c>
      <c r="B112" s="2">
        <v>50.564</v>
      </c>
      <c r="C112" s="2">
        <v>51.116</v>
      </c>
      <c r="D112" s="2">
        <v>49.387333333333331</v>
      </c>
      <c r="E112" s="1">
        <v>50.355777777777789</v>
      </c>
    </row>
    <row r="115" spans="1:7" ht="18.75" x14ac:dyDescent="0.3">
      <c r="A115" s="13" t="s">
        <v>62</v>
      </c>
    </row>
    <row r="116" spans="1:7" x14ac:dyDescent="0.25">
      <c r="A116" s="14" t="s">
        <v>27</v>
      </c>
      <c r="B116" s="14" t="s">
        <v>26</v>
      </c>
    </row>
    <row r="117" spans="1:7" x14ac:dyDescent="0.25">
      <c r="A117" s="14" t="s">
        <v>24</v>
      </c>
      <c r="B117" s="2">
        <v>0</v>
      </c>
      <c r="C117" s="2">
        <v>1</v>
      </c>
      <c r="D117" s="2" t="s">
        <v>25</v>
      </c>
    </row>
    <row r="118" spans="1:7" x14ac:dyDescent="0.25">
      <c r="A118" s="17" t="s">
        <v>63</v>
      </c>
      <c r="B118" s="16">
        <v>0.67132867132867136</v>
      </c>
      <c r="C118" s="16">
        <v>0.32867132867132864</v>
      </c>
      <c r="D118" s="16">
        <v>1</v>
      </c>
    </row>
    <row r="119" spans="1:7" x14ac:dyDescent="0.25">
      <c r="A119" s="17" t="s">
        <v>64</v>
      </c>
      <c r="B119" s="16">
        <v>0.70627062706270627</v>
      </c>
      <c r="C119" s="16">
        <v>0.29372937293729373</v>
      </c>
      <c r="D119" s="16">
        <v>1</v>
      </c>
    </row>
    <row r="120" spans="1:7" x14ac:dyDescent="0.25">
      <c r="A120" s="17" t="s">
        <v>65</v>
      </c>
      <c r="B120" s="16">
        <v>0.70446735395189009</v>
      </c>
      <c r="C120" s="16">
        <v>0.29553264604810997</v>
      </c>
      <c r="D120" s="16">
        <v>1</v>
      </c>
    </row>
    <row r="121" spans="1:7" x14ac:dyDescent="0.25">
      <c r="A121" s="17" t="s">
        <v>66</v>
      </c>
      <c r="B121" s="16">
        <v>0.64802631578947367</v>
      </c>
      <c r="C121" s="16">
        <v>0.35197368421052633</v>
      </c>
      <c r="D121" s="16">
        <v>1</v>
      </c>
    </row>
    <row r="122" spans="1:7" x14ac:dyDescent="0.25">
      <c r="A122" s="17" t="s">
        <v>67</v>
      </c>
      <c r="B122" s="16">
        <v>0.72695035460992907</v>
      </c>
      <c r="C122" s="16">
        <v>0.27304964539007093</v>
      </c>
      <c r="D122" s="16">
        <v>1</v>
      </c>
    </row>
    <row r="123" spans="1:7" x14ac:dyDescent="0.25">
      <c r="A123" s="17" t="s">
        <v>68</v>
      </c>
      <c r="B123" s="16">
        <v>0.6470588235294118</v>
      </c>
      <c r="C123" s="16">
        <v>0.35294117647058826</v>
      </c>
      <c r="D123" s="16">
        <v>1</v>
      </c>
    </row>
    <row r="124" spans="1:7" x14ac:dyDescent="0.25">
      <c r="A124" s="17" t="s">
        <v>25</v>
      </c>
      <c r="B124" s="16">
        <v>0.69</v>
      </c>
      <c r="C124" s="16">
        <v>0.31</v>
      </c>
      <c r="D124" s="16">
        <v>1</v>
      </c>
    </row>
    <row r="127" spans="1:7" ht="18.75" x14ac:dyDescent="0.25">
      <c r="A127" s="34" t="s">
        <v>75</v>
      </c>
      <c r="B127" s="33"/>
      <c r="C127" s="33"/>
      <c r="D127" s="33"/>
      <c r="E127" s="33"/>
      <c r="F127" s="33"/>
      <c r="G127" s="33"/>
    </row>
    <row r="128" spans="1:7" ht="18.75" x14ac:dyDescent="0.25">
      <c r="A128" s="35" t="s">
        <v>27</v>
      </c>
      <c r="B128" s="35" t="s">
        <v>26</v>
      </c>
      <c r="C128" s="33"/>
      <c r="D128" s="33"/>
      <c r="E128" s="33"/>
      <c r="F128" s="36" t="s">
        <v>69</v>
      </c>
      <c r="G128" s="36" t="s">
        <v>70</v>
      </c>
    </row>
    <row r="129" spans="1:10" x14ac:dyDescent="0.25">
      <c r="A129" s="35" t="s">
        <v>24</v>
      </c>
      <c r="B129" s="32">
        <v>0</v>
      </c>
      <c r="C129" s="32">
        <v>1</v>
      </c>
      <c r="D129" s="32" t="s">
        <v>25</v>
      </c>
      <c r="E129" s="33"/>
      <c r="F129" s="37" t="s">
        <v>71</v>
      </c>
      <c r="G129" s="40">
        <v>0.3110236220472441</v>
      </c>
    </row>
    <row r="130" spans="1:10" x14ac:dyDescent="0.25">
      <c r="A130" s="32">
        <v>0</v>
      </c>
      <c r="B130" s="38">
        <v>0.6889763779527559</v>
      </c>
      <c r="C130" s="38">
        <v>0.3110236220472441</v>
      </c>
      <c r="D130" s="38">
        <v>1</v>
      </c>
      <c r="E130" s="33"/>
      <c r="F130" s="37" t="s">
        <v>72</v>
      </c>
      <c r="G130" s="40">
        <v>0.30894308943089432</v>
      </c>
    </row>
    <row r="131" spans="1:10" x14ac:dyDescent="0.25">
      <c r="A131" s="32">
        <v>1</v>
      </c>
      <c r="B131" s="38">
        <v>0.69105691056910568</v>
      </c>
      <c r="C131" s="38">
        <v>0.30894308943089432</v>
      </c>
      <c r="D131" s="38">
        <v>1</v>
      </c>
      <c r="E131" s="33"/>
      <c r="F131" s="37" t="s">
        <v>73</v>
      </c>
      <c r="G131" s="40">
        <f>G129-G130</f>
        <v>2.0805326163497728E-3</v>
      </c>
    </row>
    <row r="132" spans="1:10" x14ac:dyDescent="0.25">
      <c r="A132" s="32" t="s">
        <v>25</v>
      </c>
      <c r="B132" s="38">
        <v>0.69</v>
      </c>
      <c r="C132" s="38">
        <v>0.31</v>
      </c>
      <c r="D132" s="38">
        <v>1</v>
      </c>
      <c r="E132" s="33"/>
      <c r="F132" s="37" t="s">
        <v>74</v>
      </c>
      <c r="G132" s="41">
        <f>G130/G129</f>
        <v>0.9933106926005969</v>
      </c>
    </row>
    <row r="133" spans="1:10" x14ac:dyDescent="0.25">
      <c r="A133" s="33"/>
      <c r="B133" s="33"/>
      <c r="C133" s="33"/>
      <c r="D133" s="33"/>
      <c r="E133" s="33"/>
      <c r="F133" s="33"/>
      <c r="G133" s="33"/>
    </row>
    <row r="134" spans="1:10" x14ac:dyDescent="0.25">
      <c r="A134" s="39"/>
      <c r="B134" s="33"/>
      <c r="C134" s="39"/>
      <c r="D134" s="33"/>
      <c r="E134" s="33"/>
      <c r="F134" s="24"/>
      <c r="G134" s="33"/>
    </row>
    <row r="135" spans="1:10" ht="18.75" x14ac:dyDescent="0.25">
      <c r="A135" s="34" t="s">
        <v>76</v>
      </c>
      <c r="B135" s="33"/>
      <c r="C135" s="33"/>
      <c r="D135" s="33"/>
      <c r="E135" s="33"/>
      <c r="F135" s="33"/>
      <c r="G135" s="33"/>
    </row>
    <row r="136" spans="1:10" ht="18.75" x14ac:dyDescent="0.25">
      <c r="A136" s="35" t="s">
        <v>27</v>
      </c>
      <c r="B136" s="35" t="s">
        <v>26</v>
      </c>
      <c r="C136" s="33"/>
      <c r="D136" s="33"/>
      <c r="E136" s="33"/>
      <c r="F136" s="36" t="s">
        <v>69</v>
      </c>
      <c r="G136" s="36" t="s">
        <v>70</v>
      </c>
    </row>
    <row r="137" spans="1:10" x14ac:dyDescent="0.25">
      <c r="A137" s="35" t="s">
        <v>24</v>
      </c>
      <c r="B137" s="32">
        <v>0</v>
      </c>
      <c r="C137" s="32">
        <v>1</v>
      </c>
      <c r="D137" s="32" t="s">
        <v>25</v>
      </c>
      <c r="E137" s="33"/>
      <c r="F137" s="37" t="s">
        <v>77</v>
      </c>
      <c r="G137" s="40">
        <v>0.22800000000000001</v>
      </c>
    </row>
    <row r="138" spans="1:10" x14ac:dyDescent="0.25">
      <c r="A138" s="32">
        <v>1</v>
      </c>
      <c r="B138" s="38">
        <v>0.7719869706840391</v>
      </c>
      <c r="C138" s="38">
        <v>0.2280130293159609</v>
      </c>
      <c r="D138" s="38">
        <v>1</v>
      </c>
      <c r="E138" s="33"/>
      <c r="F138" s="37" t="s">
        <v>78</v>
      </c>
      <c r="G138" s="40">
        <v>0.23380000000000001</v>
      </c>
    </row>
    <row r="139" spans="1:10" x14ac:dyDescent="0.25">
      <c r="A139" s="32">
        <v>2</v>
      </c>
      <c r="B139" s="38">
        <v>0.76621621621621616</v>
      </c>
      <c r="C139" s="38">
        <v>0.23378378378378378</v>
      </c>
      <c r="D139" s="38">
        <v>1</v>
      </c>
      <c r="E139" s="33"/>
      <c r="F139" s="37" t="s">
        <v>79</v>
      </c>
      <c r="G139" s="40">
        <v>0.45739999999999997</v>
      </c>
    </row>
    <row r="140" spans="1:10" x14ac:dyDescent="0.25">
      <c r="A140" s="32">
        <v>3</v>
      </c>
      <c r="B140" s="38">
        <v>0.54258675078864349</v>
      </c>
      <c r="C140" s="38">
        <v>0.45741324921135645</v>
      </c>
      <c r="D140" s="38">
        <v>1</v>
      </c>
      <c r="E140" s="33"/>
      <c r="F140" s="37" t="s">
        <v>80</v>
      </c>
      <c r="G140" s="40">
        <v>0.56620000000000004</v>
      </c>
    </row>
    <row r="141" spans="1:10" x14ac:dyDescent="0.25">
      <c r="A141" s="32">
        <v>4</v>
      </c>
      <c r="B141" s="38">
        <v>0.43382352941176472</v>
      </c>
      <c r="C141" s="38">
        <v>0.56617647058823528</v>
      </c>
      <c r="D141" s="38">
        <v>1</v>
      </c>
      <c r="E141" s="33"/>
      <c r="F141" s="37" t="s">
        <v>83</v>
      </c>
      <c r="G141" s="40">
        <f>G140-G137</f>
        <v>0.33820000000000006</v>
      </c>
    </row>
    <row r="142" spans="1:10" x14ac:dyDescent="0.25">
      <c r="A142" s="32" t="s">
        <v>25</v>
      </c>
      <c r="B142" s="38">
        <v>0.69</v>
      </c>
      <c r="C142" s="38">
        <v>0.31</v>
      </c>
      <c r="D142" s="38">
        <v>1</v>
      </c>
      <c r="E142" s="33"/>
      <c r="F142" s="37" t="s">
        <v>82</v>
      </c>
      <c r="G142" s="41">
        <f>G137/G140</f>
        <v>0.40268456375838924</v>
      </c>
    </row>
    <row r="143" spans="1:10" x14ac:dyDescent="0.25">
      <c r="A143" s="33"/>
      <c r="B143" s="33"/>
      <c r="C143" s="33"/>
      <c r="D143" s="33"/>
      <c r="E143" s="33"/>
      <c r="F143" s="33"/>
      <c r="G143" s="33"/>
    </row>
    <row r="144" spans="1:10" x14ac:dyDescent="0.25">
      <c r="A144" s="42"/>
      <c r="B144" s="42"/>
      <c r="C144" s="42"/>
      <c r="D144" s="42"/>
      <c r="E144" s="42"/>
      <c r="F144" s="24"/>
      <c r="G144" s="42"/>
      <c r="H144" s="25"/>
      <c r="I144" s="25"/>
      <c r="J144" s="25"/>
    </row>
    <row r="145" spans="1:7" ht="18.75" x14ac:dyDescent="0.25">
      <c r="A145" s="34" t="s">
        <v>84</v>
      </c>
      <c r="B145" s="33"/>
      <c r="C145" s="33"/>
      <c r="D145" s="33"/>
      <c r="E145" s="33"/>
      <c r="F145" s="33"/>
      <c r="G145" s="33"/>
    </row>
    <row r="146" spans="1:7" ht="18.75" x14ac:dyDescent="0.25">
      <c r="A146" s="35" t="s">
        <v>27</v>
      </c>
      <c r="B146" s="35" t="s">
        <v>26</v>
      </c>
      <c r="C146" s="33"/>
      <c r="D146" s="33"/>
      <c r="E146" s="33"/>
      <c r="F146" s="36" t="s">
        <v>69</v>
      </c>
      <c r="G146" s="36" t="s">
        <v>70</v>
      </c>
    </row>
    <row r="147" spans="1:7" x14ac:dyDescent="0.25">
      <c r="A147" s="35" t="s">
        <v>24</v>
      </c>
      <c r="B147" s="32">
        <v>0</v>
      </c>
      <c r="C147" s="32">
        <v>1</v>
      </c>
      <c r="D147" s="32" t="s">
        <v>25</v>
      </c>
      <c r="E147" s="33"/>
      <c r="F147" s="37" t="s">
        <v>85</v>
      </c>
      <c r="G147" s="40">
        <v>0.28299999999999997</v>
      </c>
    </row>
    <row r="148" spans="1:7" x14ac:dyDescent="0.25">
      <c r="A148" s="33" t="s">
        <v>34</v>
      </c>
      <c r="B148" s="38">
        <v>0.71698113207547165</v>
      </c>
      <c r="C148" s="38">
        <v>0.28301886792452829</v>
      </c>
      <c r="D148" s="38">
        <v>1</v>
      </c>
      <c r="E148" s="33"/>
      <c r="F148" s="37" t="s">
        <v>86</v>
      </c>
      <c r="G148" s="40">
        <v>0.372</v>
      </c>
    </row>
    <row r="149" spans="1:7" x14ac:dyDescent="0.25">
      <c r="A149" s="33" t="s">
        <v>35</v>
      </c>
      <c r="B149" s="38">
        <v>0.6280193236714976</v>
      </c>
      <c r="C149" s="38">
        <v>0.3719806763285024</v>
      </c>
      <c r="D149" s="38">
        <v>1</v>
      </c>
      <c r="E149" s="33"/>
      <c r="F149" s="37" t="s">
        <v>87</v>
      </c>
      <c r="G149" s="40">
        <v>0.30399999999999999</v>
      </c>
    </row>
    <row r="150" spans="1:7" x14ac:dyDescent="0.25">
      <c r="A150" s="33" t="s">
        <v>36</v>
      </c>
      <c r="B150" s="38">
        <v>0.69603524229074887</v>
      </c>
      <c r="C150" s="38">
        <v>0.30396475770925108</v>
      </c>
      <c r="D150" s="38">
        <v>1</v>
      </c>
      <c r="E150" s="33"/>
      <c r="F150" s="37" t="s">
        <v>88</v>
      </c>
      <c r="G150" s="40">
        <v>0.27389999999999998</v>
      </c>
    </row>
    <row r="151" spans="1:7" x14ac:dyDescent="0.25">
      <c r="A151" s="33" t="s">
        <v>37</v>
      </c>
      <c r="B151" s="38">
        <v>0.72608695652173916</v>
      </c>
      <c r="C151" s="38">
        <v>0.27391304347826084</v>
      </c>
      <c r="D151" s="38">
        <v>1</v>
      </c>
      <c r="E151" s="33"/>
      <c r="F151" s="37" t="s">
        <v>89</v>
      </c>
      <c r="G151" s="40">
        <v>0.33460000000000001</v>
      </c>
    </row>
    <row r="152" spans="1:7" x14ac:dyDescent="0.25">
      <c r="A152" s="33" t="s">
        <v>38</v>
      </c>
      <c r="B152" s="38">
        <v>0.66538461538461535</v>
      </c>
      <c r="C152" s="38">
        <v>0.33461538461538459</v>
      </c>
      <c r="D152" s="38">
        <v>1</v>
      </c>
      <c r="E152" s="33"/>
      <c r="F152" s="37" t="s">
        <v>90</v>
      </c>
      <c r="G152" s="40">
        <v>0.30620000000000003</v>
      </c>
    </row>
    <row r="153" spans="1:7" x14ac:dyDescent="0.25">
      <c r="A153" s="33" t="s">
        <v>39</v>
      </c>
      <c r="B153" s="38">
        <v>0.69379844961240311</v>
      </c>
      <c r="C153" s="38">
        <v>0.30620155038759689</v>
      </c>
      <c r="D153" s="38">
        <v>1</v>
      </c>
      <c r="E153" s="33"/>
      <c r="F153" s="37" t="s">
        <v>91</v>
      </c>
      <c r="G153" s="40">
        <f>G148-G150</f>
        <v>9.8100000000000021E-2</v>
      </c>
    </row>
    <row r="154" spans="1:7" x14ac:dyDescent="0.25">
      <c r="A154" s="33" t="s">
        <v>25</v>
      </c>
      <c r="B154" s="38">
        <v>0.69</v>
      </c>
      <c r="C154" s="38">
        <v>0.31</v>
      </c>
      <c r="D154" s="38">
        <v>1</v>
      </c>
      <c r="E154" s="33"/>
      <c r="F154" s="37" t="s">
        <v>93</v>
      </c>
      <c r="G154" s="41">
        <f>G150/G148</f>
        <v>0.73629032258064508</v>
      </c>
    </row>
    <row r="155" spans="1:7" x14ac:dyDescent="0.25">
      <c r="A155" s="33"/>
      <c r="B155" s="33"/>
      <c r="C155" s="33"/>
      <c r="D155" s="33"/>
      <c r="E155" s="33"/>
      <c r="F155" s="33"/>
      <c r="G155" s="33"/>
    </row>
    <row r="156" spans="1:7" x14ac:dyDescent="0.25">
      <c r="A156" s="33"/>
      <c r="B156" s="33"/>
      <c r="C156" s="33"/>
      <c r="D156" s="33"/>
      <c r="E156" s="33"/>
      <c r="F156" s="24"/>
      <c r="G156" s="33"/>
    </row>
    <row r="157" spans="1:7" x14ac:dyDescent="0.25">
      <c r="A157" s="33"/>
      <c r="B157" s="33"/>
      <c r="C157" s="33"/>
      <c r="D157" s="33"/>
      <c r="E157" s="33"/>
      <c r="F157" s="31"/>
      <c r="G157" s="33"/>
    </row>
    <row r="158" spans="1:7" ht="18.75" x14ac:dyDescent="0.25">
      <c r="A158" s="34" t="s">
        <v>94</v>
      </c>
      <c r="B158" s="33"/>
      <c r="C158" s="33"/>
      <c r="D158" s="33"/>
      <c r="E158" s="33"/>
      <c r="F158" s="33"/>
      <c r="G158" s="33"/>
    </row>
    <row r="159" spans="1:7" ht="18.75" x14ac:dyDescent="0.25">
      <c r="A159" s="35" t="s">
        <v>27</v>
      </c>
      <c r="B159" s="35" t="s">
        <v>26</v>
      </c>
      <c r="C159" s="33"/>
      <c r="D159" s="33"/>
      <c r="E159" s="33"/>
      <c r="F159" s="36" t="s">
        <v>69</v>
      </c>
      <c r="G159" s="36" t="s">
        <v>70</v>
      </c>
    </row>
    <row r="160" spans="1:7" x14ac:dyDescent="0.25">
      <c r="A160" s="35" t="s">
        <v>24</v>
      </c>
      <c r="B160" s="32">
        <v>0</v>
      </c>
      <c r="C160" s="32">
        <v>1</v>
      </c>
      <c r="D160" s="32" t="s">
        <v>25</v>
      </c>
      <c r="E160" s="33"/>
      <c r="F160" s="37" t="s">
        <v>95</v>
      </c>
      <c r="G160" s="40">
        <v>0.19259999999999999</v>
      </c>
    </row>
    <row r="161" spans="1:7" x14ac:dyDescent="0.25">
      <c r="A161" s="33" t="s">
        <v>30</v>
      </c>
      <c r="B161" s="38">
        <v>0.80740740740740746</v>
      </c>
      <c r="C161" s="38">
        <v>0.19259259259259259</v>
      </c>
      <c r="D161" s="38">
        <v>1</v>
      </c>
      <c r="E161" s="33"/>
      <c r="F161" s="37" t="s">
        <v>96</v>
      </c>
      <c r="G161" s="40">
        <v>0.29099999999999998</v>
      </c>
    </row>
    <row r="162" spans="1:7" x14ac:dyDescent="0.25">
      <c r="A162" s="33" t="s">
        <v>31</v>
      </c>
      <c r="B162" s="38">
        <v>0.70897155361050324</v>
      </c>
      <c r="C162" s="38">
        <v>0.29102844638949671</v>
      </c>
      <c r="D162" s="38">
        <v>1</v>
      </c>
      <c r="E162" s="33"/>
      <c r="F162" s="37" t="s">
        <v>97</v>
      </c>
      <c r="G162" s="40">
        <v>0.36220000000000002</v>
      </c>
    </row>
    <row r="163" spans="1:7" x14ac:dyDescent="0.25">
      <c r="A163" s="33" t="s">
        <v>32</v>
      </c>
      <c r="B163" s="38">
        <v>0.63777490297542039</v>
      </c>
      <c r="C163" s="38">
        <v>0.36222509702457956</v>
      </c>
      <c r="D163" s="38">
        <v>1</v>
      </c>
      <c r="E163" s="33"/>
      <c r="F163" s="37" t="s">
        <v>98</v>
      </c>
      <c r="G163" s="40">
        <f>G162-G160</f>
        <v>0.16960000000000003</v>
      </c>
    </row>
    <row r="164" spans="1:7" x14ac:dyDescent="0.25">
      <c r="A164" s="33" t="s">
        <v>25</v>
      </c>
      <c r="B164" s="38">
        <v>0.69</v>
      </c>
      <c r="C164" s="38">
        <v>0.31</v>
      </c>
      <c r="D164" s="38">
        <v>1</v>
      </c>
      <c r="E164" s="33"/>
      <c r="F164" s="37" t="s">
        <v>100</v>
      </c>
      <c r="G164" s="41">
        <f>G160/G162</f>
        <v>0.53175041413583646</v>
      </c>
    </row>
    <row r="165" spans="1:7" x14ac:dyDescent="0.25">
      <c r="A165" s="33"/>
      <c r="B165" s="33"/>
      <c r="C165" s="33"/>
      <c r="D165" s="33"/>
      <c r="E165" s="33"/>
      <c r="F165" s="33"/>
      <c r="G165" s="33"/>
    </row>
    <row r="166" spans="1:7" x14ac:dyDescent="0.25">
      <c r="A166" s="33"/>
      <c r="B166" s="33"/>
      <c r="C166" s="33"/>
      <c r="D166" s="33"/>
      <c r="E166" s="33"/>
      <c r="F166" s="24"/>
      <c r="G166" s="33"/>
    </row>
    <row r="167" spans="1:7" ht="18.75" x14ac:dyDescent="0.25">
      <c r="A167" s="34" t="s">
        <v>101</v>
      </c>
      <c r="B167" s="33"/>
      <c r="C167" s="33"/>
      <c r="D167" s="33"/>
      <c r="E167" s="33"/>
      <c r="F167" s="33"/>
      <c r="G167" s="33"/>
    </row>
    <row r="168" spans="1:7" ht="18.75" x14ac:dyDescent="0.25">
      <c r="A168" s="35" t="s">
        <v>27</v>
      </c>
      <c r="B168" s="35" t="s">
        <v>26</v>
      </c>
      <c r="C168" s="33"/>
      <c r="D168" s="33"/>
      <c r="E168" s="33"/>
      <c r="F168" s="36" t="s">
        <v>69</v>
      </c>
      <c r="G168" s="36" t="s">
        <v>70</v>
      </c>
    </row>
    <row r="169" spans="1:7" x14ac:dyDescent="0.25">
      <c r="A169" s="35" t="s">
        <v>24</v>
      </c>
      <c r="B169" s="32">
        <v>0</v>
      </c>
      <c r="C169" s="32">
        <v>1</v>
      </c>
      <c r="D169" s="32" t="s">
        <v>25</v>
      </c>
      <c r="E169" s="33"/>
      <c r="F169" s="37" t="s">
        <v>102</v>
      </c>
      <c r="G169" s="40">
        <v>0.32869999999999999</v>
      </c>
    </row>
    <row r="170" spans="1:7" x14ac:dyDescent="0.25">
      <c r="A170" s="33" t="s">
        <v>63</v>
      </c>
      <c r="B170" s="38">
        <v>0.67132867132867136</v>
      </c>
      <c r="C170" s="38">
        <v>0.32867132867132864</v>
      </c>
      <c r="D170" s="38">
        <v>1</v>
      </c>
      <c r="E170" s="33"/>
      <c r="F170" s="37" t="s">
        <v>103</v>
      </c>
      <c r="G170" s="40">
        <v>0.29370000000000002</v>
      </c>
    </row>
    <row r="171" spans="1:7" x14ac:dyDescent="0.25">
      <c r="A171" s="33" t="s">
        <v>64</v>
      </c>
      <c r="B171" s="38">
        <v>0.70627062706270627</v>
      </c>
      <c r="C171" s="38">
        <v>0.29372937293729373</v>
      </c>
      <c r="D171" s="38">
        <v>1</v>
      </c>
      <c r="E171" s="33"/>
      <c r="F171" s="37" t="s">
        <v>104</v>
      </c>
      <c r="G171" s="40">
        <v>0.29549999999999998</v>
      </c>
    </row>
    <row r="172" spans="1:7" x14ac:dyDescent="0.25">
      <c r="A172" s="33" t="s">
        <v>65</v>
      </c>
      <c r="B172" s="38">
        <v>0.70446735395189009</v>
      </c>
      <c r="C172" s="38">
        <v>0.29553264604810997</v>
      </c>
      <c r="D172" s="38">
        <v>1</v>
      </c>
      <c r="E172" s="33"/>
      <c r="F172" s="37" t="s">
        <v>105</v>
      </c>
      <c r="G172" s="40">
        <v>0.35199999999999998</v>
      </c>
    </row>
    <row r="173" spans="1:7" x14ac:dyDescent="0.25">
      <c r="A173" s="33" t="s">
        <v>66</v>
      </c>
      <c r="B173" s="38">
        <v>0.64802631578947367</v>
      </c>
      <c r="C173" s="38">
        <v>0.35197368421052633</v>
      </c>
      <c r="D173" s="38">
        <v>1</v>
      </c>
      <c r="E173" s="33"/>
      <c r="F173" s="37" t="s">
        <v>106</v>
      </c>
      <c r="G173" s="40">
        <v>0.27300000000000002</v>
      </c>
    </row>
    <row r="174" spans="1:7" x14ac:dyDescent="0.25">
      <c r="A174" s="33" t="s">
        <v>67</v>
      </c>
      <c r="B174" s="38">
        <v>0.72695035460992907</v>
      </c>
      <c r="C174" s="38">
        <v>0.27304964539007093</v>
      </c>
      <c r="D174" s="38">
        <v>1</v>
      </c>
      <c r="E174" s="33"/>
      <c r="F174" s="37" t="s">
        <v>107</v>
      </c>
      <c r="G174" s="40">
        <v>0.35289999999999999</v>
      </c>
    </row>
    <row r="175" spans="1:7" x14ac:dyDescent="0.25">
      <c r="A175" s="33" t="s">
        <v>68</v>
      </c>
      <c r="B175" s="38">
        <v>0.6470588235294118</v>
      </c>
      <c r="C175" s="38">
        <v>0.35294117647058826</v>
      </c>
      <c r="D175" s="38">
        <v>1</v>
      </c>
      <c r="E175" s="33"/>
      <c r="F175" s="37" t="s">
        <v>108</v>
      </c>
      <c r="G175" s="40">
        <f>G174-G173</f>
        <v>7.9899999999999971E-2</v>
      </c>
    </row>
    <row r="176" spans="1:7" x14ac:dyDescent="0.25">
      <c r="A176" s="33" t="s">
        <v>25</v>
      </c>
      <c r="B176" s="38">
        <v>0.69</v>
      </c>
      <c r="C176" s="38">
        <v>0.31</v>
      </c>
      <c r="D176" s="38">
        <v>1</v>
      </c>
      <c r="E176" s="33"/>
      <c r="F176" s="37" t="s">
        <v>110</v>
      </c>
      <c r="G176" s="41">
        <f>G173/G174</f>
        <v>0.77359025219608957</v>
      </c>
    </row>
    <row r="177" spans="1:7" x14ac:dyDescent="0.25">
      <c r="A177" s="33"/>
      <c r="B177" s="33"/>
      <c r="C177" s="33"/>
      <c r="D177" s="33"/>
      <c r="E177" s="33"/>
      <c r="F177" s="33"/>
      <c r="G177" s="33"/>
    </row>
    <row r="178" spans="1:7" x14ac:dyDescent="0.25">
      <c r="A178" s="33"/>
      <c r="B178" s="33"/>
      <c r="C178" s="33"/>
      <c r="D178" s="33"/>
      <c r="E178" s="33"/>
      <c r="F178" s="24"/>
      <c r="G178" s="33"/>
    </row>
    <row r="179" spans="1:7" x14ac:dyDescent="0.25">
      <c r="A179" s="33"/>
      <c r="B179" s="33"/>
      <c r="C179" s="33"/>
      <c r="D179" s="33"/>
      <c r="E179" s="33"/>
      <c r="F179" s="33"/>
      <c r="G179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D9BE-A90F-4C72-81DB-4DD578466223}">
  <dimension ref="A1:F8"/>
  <sheetViews>
    <sheetView zoomScale="99" workbookViewId="0">
      <selection activeCell="D18" sqref="D18"/>
    </sheetView>
  </sheetViews>
  <sheetFormatPr defaultRowHeight="15" x14ac:dyDescent="0.25"/>
  <cols>
    <col min="1" max="1" width="19.85546875" bestFit="1" customWidth="1"/>
    <col min="2" max="2" width="22.85546875" bestFit="1" customWidth="1"/>
    <col min="3" max="3" width="23.28515625" bestFit="1" customWidth="1"/>
    <col min="4" max="4" width="26.140625" bestFit="1" customWidth="1"/>
    <col min="5" max="5" width="23.7109375" bestFit="1" customWidth="1"/>
    <col min="6" max="6" width="25.5703125" bestFit="1" customWidth="1"/>
  </cols>
  <sheetData>
    <row r="1" spans="1:6" ht="21" x14ac:dyDescent="0.35">
      <c r="A1" s="30" t="s">
        <v>111</v>
      </c>
      <c r="B1" s="30"/>
      <c r="C1" s="30"/>
      <c r="D1" s="30"/>
      <c r="E1" s="30"/>
      <c r="F1" s="30"/>
    </row>
    <row r="3" spans="1:6" x14ac:dyDescent="0.25">
      <c r="A3" s="26" t="s">
        <v>112</v>
      </c>
      <c r="B3" s="26" t="s">
        <v>113</v>
      </c>
      <c r="C3" s="26" t="s">
        <v>114</v>
      </c>
      <c r="D3" s="26" t="s">
        <v>73</v>
      </c>
      <c r="E3" s="26" t="s">
        <v>74</v>
      </c>
      <c r="F3" s="26" t="s">
        <v>115</v>
      </c>
    </row>
    <row r="4" spans="1:6" x14ac:dyDescent="0.25">
      <c r="A4" s="3" t="s">
        <v>1</v>
      </c>
      <c r="B4" s="23">
        <v>0.30894308943089432</v>
      </c>
      <c r="C4" s="23">
        <v>0.3110236220472441</v>
      </c>
      <c r="D4" s="22" t="s">
        <v>120</v>
      </c>
      <c r="E4" s="29">
        <f>B4/C4</f>
        <v>0.9933106926005969</v>
      </c>
      <c r="F4" s="3" t="s">
        <v>116</v>
      </c>
    </row>
    <row r="5" spans="1:6" x14ac:dyDescent="0.25">
      <c r="A5" s="3" t="s">
        <v>8</v>
      </c>
      <c r="B5" s="27">
        <v>0.22800000000000001</v>
      </c>
      <c r="C5" s="27">
        <v>0.56620000000000004</v>
      </c>
      <c r="D5" s="22" t="s">
        <v>81</v>
      </c>
      <c r="E5" s="29">
        <f>B5/C5</f>
        <v>0.40268456375838924</v>
      </c>
      <c r="F5" s="3" t="s">
        <v>117</v>
      </c>
    </row>
    <row r="6" spans="1:6" x14ac:dyDescent="0.25">
      <c r="A6" s="3" t="s">
        <v>20</v>
      </c>
      <c r="B6" s="28">
        <v>0.27389999999999998</v>
      </c>
      <c r="C6" s="28">
        <v>0.372</v>
      </c>
      <c r="D6" s="22" t="s">
        <v>92</v>
      </c>
      <c r="E6" s="29">
        <f t="shared" ref="E6:E8" si="0">B6/C6</f>
        <v>0.73629032258064508</v>
      </c>
      <c r="F6" s="3" t="s">
        <v>118</v>
      </c>
    </row>
    <row r="7" spans="1:6" x14ac:dyDescent="0.25">
      <c r="A7" s="3" t="s">
        <v>21</v>
      </c>
      <c r="B7" s="28">
        <v>0.19259999999999999</v>
      </c>
      <c r="C7" s="28">
        <v>0.36220000000000002</v>
      </c>
      <c r="D7" s="22" t="s">
        <v>99</v>
      </c>
      <c r="E7" s="29">
        <f t="shared" si="0"/>
        <v>0.53175041413583646</v>
      </c>
      <c r="F7" s="3" t="s">
        <v>119</v>
      </c>
    </row>
    <row r="8" spans="1:6" x14ac:dyDescent="0.25">
      <c r="A8" s="3" t="s">
        <v>61</v>
      </c>
      <c r="B8" s="28">
        <v>0.27300000000000002</v>
      </c>
      <c r="C8" s="28">
        <v>0.35289999999999999</v>
      </c>
      <c r="D8" s="22" t="s">
        <v>109</v>
      </c>
      <c r="E8" s="29">
        <f t="shared" si="0"/>
        <v>0.77359025219608957</v>
      </c>
      <c r="F8" s="3" t="s">
        <v>118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Summary_Statistics</vt:lpstr>
      <vt:lpstr>Pivot_Table </vt:lpstr>
      <vt:lpstr>Fairness_Summary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Nikku</dc:creator>
  <cp:lastModifiedBy>Manu Mani</cp:lastModifiedBy>
  <dcterms:created xsi:type="dcterms:W3CDTF">2026-08-10T18:30:02Z</dcterms:created>
  <dcterms:modified xsi:type="dcterms:W3CDTF">2026-08-12T09:50:47Z</dcterms:modified>
</cp:coreProperties>
</file>